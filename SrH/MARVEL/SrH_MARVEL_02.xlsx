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gei\molecules\SrH\xls\"/>
    </mc:Choice>
  </mc:AlternateContent>
  <xr:revisionPtr revIDLastSave="0" documentId="13_ncr:1_{C5337AE9-B4A6-464D-9BFB-5C534F960DA6}" xr6:coauthVersionLast="47" xr6:coauthVersionMax="47" xr10:uidLastSave="{00000000-0000-0000-0000-000000000000}"/>
  <bookViews>
    <workbookView xWindow="-96" yWindow="-96" windowWidth="20928" windowHeight="12696" xr2:uid="{DE5E8F63-33A1-4C53-8FC4-302403296527}"/>
  </bookViews>
  <sheets>
    <sheet name="trans" sheetId="1" r:id="rId1"/>
    <sheet name="en" sheetId="2" r:id="rId2"/>
    <sheet name="PGOP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R846" i="1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2" i="3"/>
  <c r="U989" i="1"/>
  <c r="V989" i="1" s="1"/>
  <c r="U1003" i="1"/>
  <c r="V1003" i="1" s="1"/>
  <c r="U1004" i="1"/>
  <c r="V1004" i="1" s="1"/>
  <c r="U1005" i="1"/>
  <c r="V1005" i="1" s="1"/>
  <c r="U1006" i="1"/>
  <c r="V1006" i="1" s="1"/>
  <c r="U1019" i="1"/>
  <c r="V1019" i="1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2" i="2"/>
  <c r="U181" i="3"/>
  <c r="S181" i="3"/>
  <c r="Q181" i="3"/>
  <c r="P181" i="3"/>
  <c r="R181" i="3" s="1"/>
  <c r="U180" i="3"/>
  <c r="S180" i="3"/>
  <c r="Q180" i="3"/>
  <c r="P180" i="3"/>
  <c r="R180" i="3" s="1"/>
  <c r="U179" i="3"/>
  <c r="S179" i="3"/>
  <c r="R179" i="3"/>
  <c r="Q179" i="3"/>
  <c r="P179" i="3"/>
  <c r="U178" i="3"/>
  <c r="S178" i="3"/>
  <c r="R178" i="3"/>
  <c r="Q178" i="3"/>
  <c r="P178" i="3"/>
  <c r="U177" i="3"/>
  <c r="S177" i="3"/>
  <c r="Q177" i="3"/>
  <c r="P177" i="3"/>
  <c r="R177" i="3" s="1"/>
  <c r="U176" i="3"/>
  <c r="R176" i="3" s="1"/>
  <c r="S176" i="3"/>
  <c r="Q176" i="3"/>
  <c r="P176" i="3"/>
  <c r="U175" i="3"/>
  <c r="S175" i="3"/>
  <c r="Q175" i="3"/>
  <c r="P175" i="3"/>
  <c r="R175" i="3" s="1"/>
  <c r="U174" i="3"/>
  <c r="S174" i="3"/>
  <c r="Q174" i="3"/>
  <c r="P174" i="3"/>
  <c r="R174" i="3" s="1"/>
  <c r="U173" i="3"/>
  <c r="S173" i="3"/>
  <c r="Q173" i="3"/>
  <c r="P173" i="3"/>
  <c r="R173" i="3" s="1"/>
  <c r="U172" i="3"/>
  <c r="S172" i="3"/>
  <c r="Q172" i="3"/>
  <c r="P172" i="3"/>
  <c r="R172" i="3" s="1"/>
  <c r="U171" i="3"/>
  <c r="S171" i="3"/>
  <c r="R171" i="3"/>
  <c r="Q171" i="3"/>
  <c r="P171" i="3"/>
  <c r="U170" i="3"/>
  <c r="S170" i="3"/>
  <c r="R170" i="3"/>
  <c r="Q170" i="3"/>
  <c r="P170" i="3"/>
  <c r="U169" i="3"/>
  <c r="S169" i="3"/>
  <c r="Q169" i="3"/>
  <c r="P169" i="3"/>
  <c r="R169" i="3" s="1"/>
  <c r="U168" i="3"/>
  <c r="R168" i="3" s="1"/>
  <c r="S168" i="3"/>
  <c r="Q168" i="3"/>
  <c r="P168" i="3"/>
  <c r="U167" i="3"/>
  <c r="S167" i="3"/>
  <c r="Q167" i="3"/>
  <c r="P167" i="3"/>
  <c r="R167" i="3" s="1"/>
  <c r="U166" i="3"/>
  <c r="S166" i="3"/>
  <c r="Q166" i="3"/>
  <c r="P166" i="3"/>
  <c r="R166" i="3" s="1"/>
  <c r="U165" i="3"/>
  <c r="S165" i="3"/>
  <c r="Q165" i="3"/>
  <c r="P165" i="3"/>
  <c r="R165" i="3" s="1"/>
  <c r="U164" i="3"/>
  <c r="S164" i="3"/>
  <c r="Q164" i="3"/>
  <c r="P164" i="3"/>
  <c r="R164" i="3" s="1"/>
  <c r="U163" i="3"/>
  <c r="S163" i="3"/>
  <c r="R163" i="3"/>
  <c r="Q163" i="3"/>
  <c r="P163" i="3"/>
  <c r="U162" i="3"/>
  <c r="S162" i="3"/>
  <c r="R162" i="3"/>
  <c r="Q162" i="3"/>
  <c r="P162" i="3"/>
  <c r="U161" i="3"/>
  <c r="S161" i="3"/>
  <c r="Q161" i="3"/>
  <c r="P161" i="3"/>
  <c r="R161" i="3" s="1"/>
  <c r="U160" i="3"/>
  <c r="R160" i="3" s="1"/>
  <c r="S160" i="3"/>
  <c r="Q160" i="3"/>
  <c r="P160" i="3"/>
  <c r="U159" i="3"/>
  <c r="S159" i="3"/>
  <c r="Q159" i="3"/>
  <c r="P159" i="3"/>
  <c r="R159" i="3" s="1"/>
  <c r="U158" i="3"/>
  <c r="S158" i="3"/>
  <c r="Q158" i="3"/>
  <c r="P158" i="3"/>
  <c r="R158" i="3" s="1"/>
  <c r="U157" i="3"/>
  <c r="S157" i="3"/>
  <c r="Q157" i="3"/>
  <c r="P157" i="3"/>
  <c r="R157" i="3" s="1"/>
  <c r="U156" i="3"/>
  <c r="S156" i="3"/>
  <c r="Q156" i="3"/>
  <c r="P156" i="3"/>
  <c r="R156" i="3" s="1"/>
  <c r="U155" i="3"/>
  <c r="S155" i="3"/>
  <c r="R155" i="3"/>
  <c r="Q155" i="3"/>
  <c r="P155" i="3"/>
  <c r="U154" i="3"/>
  <c r="S154" i="3"/>
  <c r="R154" i="3"/>
  <c r="Q154" i="3"/>
  <c r="P154" i="3"/>
  <c r="U153" i="3"/>
  <c r="S153" i="3"/>
  <c r="Q153" i="3"/>
  <c r="P153" i="3"/>
  <c r="R153" i="3" s="1"/>
  <c r="U152" i="3"/>
  <c r="S152" i="3"/>
  <c r="Q152" i="3"/>
  <c r="P152" i="3"/>
  <c r="R152" i="3" s="1"/>
  <c r="U151" i="3"/>
  <c r="S151" i="3"/>
  <c r="Q151" i="3"/>
  <c r="P151" i="3"/>
  <c r="R151" i="3" s="1"/>
  <c r="U150" i="3"/>
  <c r="S150" i="3"/>
  <c r="Q150" i="3"/>
  <c r="P150" i="3"/>
  <c r="R150" i="3" s="1"/>
  <c r="U149" i="3"/>
  <c r="S149" i="3"/>
  <c r="Q149" i="3"/>
  <c r="P149" i="3"/>
  <c r="R149" i="3" s="1"/>
  <c r="U148" i="3"/>
  <c r="S148" i="3"/>
  <c r="Q148" i="3"/>
  <c r="P148" i="3"/>
  <c r="R148" i="3" s="1"/>
  <c r="U147" i="3"/>
  <c r="S147" i="3"/>
  <c r="R147" i="3"/>
  <c r="Q147" i="3"/>
  <c r="P147" i="3"/>
  <c r="U146" i="3"/>
  <c r="S146" i="3"/>
  <c r="Q146" i="3"/>
  <c r="P146" i="3"/>
  <c r="R146" i="3" s="1"/>
  <c r="U145" i="3"/>
  <c r="S145" i="3"/>
  <c r="Q145" i="3"/>
  <c r="P145" i="3"/>
  <c r="R145" i="3" s="1"/>
  <c r="U144" i="3"/>
  <c r="S144" i="3"/>
  <c r="Q144" i="3"/>
  <c r="P144" i="3"/>
  <c r="R144" i="3" s="1"/>
  <c r="U143" i="3"/>
  <c r="S143" i="3"/>
  <c r="Q143" i="3"/>
  <c r="P143" i="3"/>
  <c r="R143" i="3" s="1"/>
  <c r="U142" i="3"/>
  <c r="S142" i="3"/>
  <c r="Q142" i="3"/>
  <c r="P142" i="3"/>
  <c r="R142" i="3" s="1"/>
  <c r="U141" i="3"/>
  <c r="S141" i="3"/>
  <c r="Q141" i="3"/>
  <c r="P141" i="3"/>
  <c r="R141" i="3" s="1"/>
  <c r="U140" i="3"/>
  <c r="S140" i="3"/>
  <c r="Q140" i="3"/>
  <c r="P140" i="3"/>
  <c r="R140" i="3" s="1"/>
  <c r="U139" i="3"/>
  <c r="S139" i="3"/>
  <c r="R139" i="3"/>
  <c r="Q139" i="3"/>
  <c r="P139" i="3"/>
  <c r="U138" i="3"/>
  <c r="S138" i="3"/>
  <c r="Q138" i="3"/>
  <c r="P138" i="3"/>
  <c r="R138" i="3" s="1"/>
  <c r="U137" i="3"/>
  <c r="S137" i="3"/>
  <c r="Q137" i="3"/>
  <c r="P137" i="3"/>
  <c r="R137" i="3" s="1"/>
  <c r="U136" i="3"/>
  <c r="S136" i="3"/>
  <c r="Q136" i="3"/>
  <c r="P136" i="3"/>
  <c r="R136" i="3" s="1"/>
  <c r="U135" i="3"/>
  <c r="S135" i="3"/>
  <c r="Q135" i="3"/>
  <c r="P135" i="3"/>
  <c r="R135" i="3" s="1"/>
  <c r="U134" i="3"/>
  <c r="S134" i="3"/>
  <c r="Q134" i="3"/>
  <c r="P134" i="3"/>
  <c r="R134" i="3" s="1"/>
  <c r="U133" i="3"/>
  <c r="S133" i="3"/>
  <c r="Q133" i="3"/>
  <c r="P133" i="3"/>
  <c r="R133" i="3" s="1"/>
  <c r="U132" i="3"/>
  <c r="S132" i="3"/>
  <c r="Q132" i="3"/>
  <c r="P132" i="3"/>
  <c r="R132" i="3" s="1"/>
  <c r="U131" i="3"/>
  <c r="S131" i="3"/>
  <c r="R131" i="3"/>
  <c r="Q131" i="3"/>
  <c r="P131" i="3"/>
  <c r="U130" i="3"/>
  <c r="S130" i="3"/>
  <c r="R130" i="3"/>
  <c r="Q130" i="3"/>
  <c r="P130" i="3"/>
  <c r="U129" i="3"/>
  <c r="S129" i="3"/>
  <c r="Q129" i="3"/>
  <c r="P129" i="3"/>
  <c r="R129" i="3" s="1"/>
  <c r="U128" i="3"/>
  <c r="S128" i="3"/>
  <c r="Q128" i="3"/>
  <c r="P128" i="3"/>
  <c r="R128" i="3" s="1"/>
  <c r="U127" i="3"/>
  <c r="S127" i="3"/>
  <c r="Q127" i="3"/>
  <c r="P127" i="3"/>
  <c r="R127" i="3" s="1"/>
  <c r="U126" i="3"/>
  <c r="S126" i="3"/>
  <c r="Q126" i="3"/>
  <c r="P126" i="3"/>
  <c r="R126" i="3" s="1"/>
  <c r="U125" i="3"/>
  <c r="S125" i="3"/>
  <c r="Q125" i="3"/>
  <c r="P125" i="3"/>
  <c r="R125" i="3" s="1"/>
  <c r="U124" i="3"/>
  <c r="S124" i="3"/>
  <c r="Q124" i="3"/>
  <c r="P124" i="3"/>
  <c r="R124" i="3" s="1"/>
  <c r="U123" i="3"/>
  <c r="S123" i="3"/>
  <c r="R123" i="3"/>
  <c r="Q123" i="3"/>
  <c r="P123" i="3"/>
  <c r="U122" i="3"/>
  <c r="S122" i="3"/>
  <c r="Q122" i="3"/>
  <c r="P122" i="3"/>
  <c r="R122" i="3" s="1"/>
  <c r="U121" i="3"/>
  <c r="S121" i="3"/>
  <c r="Q121" i="3"/>
  <c r="P121" i="3"/>
  <c r="R121" i="3" s="1"/>
  <c r="U120" i="3"/>
  <c r="S120" i="3"/>
  <c r="Q120" i="3"/>
  <c r="P120" i="3"/>
  <c r="R120" i="3" s="1"/>
  <c r="U119" i="3"/>
  <c r="S119" i="3"/>
  <c r="Q119" i="3"/>
  <c r="P119" i="3"/>
  <c r="R119" i="3" s="1"/>
  <c r="U118" i="3"/>
  <c r="S118" i="3"/>
  <c r="Q118" i="3"/>
  <c r="P118" i="3"/>
  <c r="R118" i="3" s="1"/>
  <c r="U117" i="3"/>
  <c r="S117" i="3"/>
  <c r="Q117" i="3"/>
  <c r="P117" i="3"/>
  <c r="R117" i="3" s="1"/>
  <c r="U116" i="3"/>
  <c r="S116" i="3"/>
  <c r="Q116" i="3"/>
  <c r="P116" i="3"/>
  <c r="R116" i="3" s="1"/>
  <c r="U115" i="3"/>
  <c r="S115" i="3"/>
  <c r="R115" i="3"/>
  <c r="Q115" i="3"/>
  <c r="P115" i="3"/>
  <c r="U114" i="3"/>
  <c r="S114" i="3"/>
  <c r="Q114" i="3"/>
  <c r="P114" i="3"/>
  <c r="R114" i="3" s="1"/>
  <c r="U113" i="3"/>
  <c r="S113" i="3"/>
  <c r="Q113" i="3"/>
  <c r="P113" i="3"/>
  <c r="R113" i="3" s="1"/>
  <c r="U112" i="3"/>
  <c r="S112" i="3"/>
  <c r="Q112" i="3"/>
  <c r="P112" i="3"/>
  <c r="R112" i="3" s="1"/>
  <c r="U111" i="3"/>
  <c r="S111" i="3"/>
  <c r="Q111" i="3"/>
  <c r="P111" i="3"/>
  <c r="R111" i="3" s="1"/>
  <c r="U110" i="3"/>
  <c r="S110" i="3"/>
  <c r="Q110" i="3"/>
  <c r="P110" i="3"/>
  <c r="R110" i="3" s="1"/>
  <c r="U109" i="3"/>
  <c r="S109" i="3"/>
  <c r="Q109" i="3"/>
  <c r="P109" i="3"/>
  <c r="R109" i="3" s="1"/>
  <c r="U108" i="3"/>
  <c r="S108" i="3"/>
  <c r="Q108" i="3"/>
  <c r="P108" i="3"/>
  <c r="R108" i="3" s="1"/>
  <c r="U107" i="3"/>
  <c r="S107" i="3"/>
  <c r="R107" i="3"/>
  <c r="Q107" i="3"/>
  <c r="P107" i="3"/>
  <c r="U106" i="3"/>
  <c r="S106" i="3"/>
  <c r="Q106" i="3"/>
  <c r="P106" i="3"/>
  <c r="R106" i="3" s="1"/>
  <c r="U105" i="3"/>
  <c r="S105" i="3"/>
  <c r="Q105" i="3"/>
  <c r="P105" i="3"/>
  <c r="R105" i="3" s="1"/>
  <c r="U104" i="3"/>
  <c r="S104" i="3"/>
  <c r="Q104" i="3"/>
  <c r="P104" i="3"/>
  <c r="R104" i="3" s="1"/>
  <c r="U103" i="3"/>
  <c r="S103" i="3"/>
  <c r="Q103" i="3"/>
  <c r="P103" i="3"/>
  <c r="R103" i="3" s="1"/>
  <c r="U102" i="3"/>
  <c r="S102" i="3"/>
  <c r="Q102" i="3"/>
  <c r="P102" i="3"/>
  <c r="R102" i="3" s="1"/>
  <c r="U101" i="3"/>
  <c r="S101" i="3"/>
  <c r="Q101" i="3"/>
  <c r="P101" i="3"/>
  <c r="R101" i="3" s="1"/>
  <c r="U100" i="3"/>
  <c r="S100" i="3"/>
  <c r="Q100" i="3"/>
  <c r="P100" i="3"/>
  <c r="R100" i="3" s="1"/>
  <c r="U99" i="3"/>
  <c r="S99" i="3"/>
  <c r="R99" i="3"/>
  <c r="Q99" i="3"/>
  <c r="P99" i="3"/>
  <c r="U98" i="3"/>
  <c r="S98" i="3"/>
  <c r="Q98" i="3"/>
  <c r="P98" i="3"/>
  <c r="R98" i="3" s="1"/>
  <c r="U97" i="3"/>
  <c r="S97" i="3"/>
  <c r="Q97" i="3"/>
  <c r="P97" i="3"/>
  <c r="R97" i="3" s="1"/>
  <c r="U96" i="3"/>
  <c r="S96" i="3"/>
  <c r="Q96" i="3"/>
  <c r="P96" i="3"/>
  <c r="R96" i="3" s="1"/>
  <c r="U95" i="3"/>
  <c r="S95" i="3"/>
  <c r="Q95" i="3"/>
  <c r="P95" i="3"/>
  <c r="R95" i="3" s="1"/>
  <c r="U94" i="3"/>
  <c r="S94" i="3"/>
  <c r="Q94" i="3"/>
  <c r="P94" i="3"/>
  <c r="R94" i="3" s="1"/>
  <c r="U93" i="3"/>
  <c r="S93" i="3"/>
  <c r="Q93" i="3"/>
  <c r="P93" i="3"/>
  <c r="R93" i="3" s="1"/>
  <c r="U92" i="3"/>
  <c r="S92" i="3"/>
  <c r="Q92" i="3"/>
  <c r="P92" i="3"/>
  <c r="R92" i="3" s="1"/>
  <c r="U91" i="3"/>
  <c r="S91" i="3"/>
  <c r="R91" i="3"/>
  <c r="Q91" i="3"/>
  <c r="P91" i="3"/>
  <c r="U90" i="3"/>
  <c r="S90" i="3"/>
  <c r="Q90" i="3"/>
  <c r="P90" i="3"/>
  <c r="R90" i="3" s="1"/>
  <c r="U89" i="3"/>
  <c r="S89" i="3"/>
  <c r="Q89" i="3"/>
  <c r="P89" i="3"/>
  <c r="R89" i="3" s="1"/>
  <c r="U88" i="3"/>
  <c r="S88" i="3"/>
  <c r="Q88" i="3"/>
  <c r="P88" i="3"/>
  <c r="R88" i="3" s="1"/>
  <c r="U87" i="3"/>
  <c r="S87" i="3"/>
  <c r="Q87" i="3"/>
  <c r="P87" i="3"/>
  <c r="R87" i="3" s="1"/>
  <c r="U86" i="3"/>
  <c r="S86" i="3"/>
  <c r="Q86" i="3"/>
  <c r="P86" i="3"/>
  <c r="R86" i="3" s="1"/>
  <c r="U85" i="3"/>
  <c r="S85" i="3"/>
  <c r="Q85" i="3"/>
  <c r="P85" i="3"/>
  <c r="R85" i="3" s="1"/>
  <c r="U84" i="3"/>
  <c r="S84" i="3"/>
  <c r="Q84" i="3"/>
  <c r="P84" i="3"/>
  <c r="R84" i="3" s="1"/>
  <c r="U83" i="3"/>
  <c r="S83" i="3"/>
  <c r="R83" i="3"/>
  <c r="Q83" i="3"/>
  <c r="P83" i="3"/>
  <c r="U82" i="3"/>
  <c r="S82" i="3"/>
  <c r="Q82" i="3"/>
  <c r="P82" i="3"/>
  <c r="R82" i="3" s="1"/>
  <c r="U81" i="3"/>
  <c r="S81" i="3"/>
  <c r="Q81" i="3"/>
  <c r="P81" i="3"/>
  <c r="R81" i="3" s="1"/>
  <c r="U80" i="3"/>
  <c r="S80" i="3"/>
  <c r="Q80" i="3"/>
  <c r="P80" i="3"/>
  <c r="R80" i="3" s="1"/>
  <c r="U79" i="3"/>
  <c r="S79" i="3"/>
  <c r="Q79" i="3"/>
  <c r="P79" i="3"/>
  <c r="R79" i="3" s="1"/>
  <c r="U78" i="3"/>
  <c r="S78" i="3"/>
  <c r="Q78" i="3"/>
  <c r="P78" i="3"/>
  <c r="R78" i="3" s="1"/>
  <c r="U77" i="3"/>
  <c r="S77" i="3"/>
  <c r="Q77" i="3"/>
  <c r="P77" i="3"/>
  <c r="R77" i="3" s="1"/>
  <c r="U76" i="3"/>
  <c r="S76" i="3"/>
  <c r="Q76" i="3"/>
  <c r="P76" i="3"/>
  <c r="R76" i="3" s="1"/>
  <c r="U75" i="3"/>
  <c r="S75" i="3"/>
  <c r="R75" i="3"/>
  <c r="Q75" i="3"/>
  <c r="P75" i="3"/>
  <c r="U74" i="3"/>
  <c r="S74" i="3"/>
  <c r="Q74" i="3"/>
  <c r="P74" i="3"/>
  <c r="R74" i="3" s="1"/>
  <c r="U73" i="3"/>
  <c r="S73" i="3"/>
  <c r="Q73" i="3"/>
  <c r="P73" i="3"/>
  <c r="R73" i="3" s="1"/>
  <c r="U72" i="3"/>
  <c r="S72" i="3"/>
  <c r="Q72" i="3"/>
  <c r="P72" i="3"/>
  <c r="R72" i="3" s="1"/>
  <c r="U71" i="3"/>
  <c r="S71" i="3"/>
  <c r="Q71" i="3"/>
  <c r="P71" i="3"/>
  <c r="R71" i="3" s="1"/>
  <c r="U70" i="3"/>
  <c r="S70" i="3"/>
  <c r="Q70" i="3"/>
  <c r="P70" i="3"/>
  <c r="R70" i="3" s="1"/>
  <c r="U69" i="3"/>
  <c r="S69" i="3"/>
  <c r="Q69" i="3"/>
  <c r="P69" i="3"/>
  <c r="R69" i="3" s="1"/>
  <c r="U68" i="3"/>
  <c r="S68" i="3"/>
  <c r="Q68" i="3"/>
  <c r="P68" i="3"/>
  <c r="R68" i="3" s="1"/>
  <c r="U67" i="3"/>
  <c r="S67" i="3"/>
  <c r="R67" i="3"/>
  <c r="Q67" i="3"/>
  <c r="P67" i="3"/>
  <c r="U66" i="3"/>
  <c r="S66" i="3"/>
  <c r="R66" i="3"/>
  <c r="Q66" i="3"/>
  <c r="P66" i="3"/>
  <c r="U65" i="3"/>
  <c r="S65" i="3"/>
  <c r="Q65" i="3"/>
  <c r="P65" i="3"/>
  <c r="R65" i="3" s="1"/>
  <c r="U64" i="3"/>
  <c r="S64" i="3"/>
  <c r="Q64" i="3"/>
  <c r="P64" i="3"/>
  <c r="R64" i="3" s="1"/>
  <c r="U63" i="3"/>
  <c r="S63" i="3"/>
  <c r="Q63" i="3"/>
  <c r="P63" i="3"/>
  <c r="R63" i="3" s="1"/>
  <c r="U62" i="3"/>
  <c r="S62" i="3"/>
  <c r="Q62" i="3"/>
  <c r="P62" i="3"/>
  <c r="R62" i="3" s="1"/>
  <c r="U61" i="3"/>
  <c r="S61" i="3"/>
  <c r="Q61" i="3"/>
  <c r="P61" i="3"/>
  <c r="R61" i="3" s="1"/>
  <c r="U60" i="3"/>
  <c r="S60" i="3"/>
  <c r="Q60" i="3"/>
  <c r="P60" i="3"/>
  <c r="R60" i="3" s="1"/>
  <c r="U59" i="3"/>
  <c r="S59" i="3"/>
  <c r="R59" i="3"/>
  <c r="Q59" i="3"/>
  <c r="P59" i="3"/>
  <c r="U58" i="3"/>
  <c r="S58" i="3"/>
  <c r="Q58" i="3"/>
  <c r="P58" i="3"/>
  <c r="R58" i="3" s="1"/>
  <c r="U57" i="3"/>
  <c r="S57" i="3"/>
  <c r="Q57" i="3"/>
  <c r="P57" i="3"/>
  <c r="R57" i="3" s="1"/>
  <c r="U56" i="3"/>
  <c r="S56" i="3"/>
  <c r="Q56" i="3"/>
  <c r="P56" i="3"/>
  <c r="R56" i="3" s="1"/>
  <c r="U55" i="3"/>
  <c r="S55" i="3"/>
  <c r="Q55" i="3"/>
  <c r="P55" i="3"/>
  <c r="R55" i="3" s="1"/>
  <c r="U54" i="3"/>
  <c r="S54" i="3"/>
  <c r="Q54" i="3"/>
  <c r="P54" i="3"/>
  <c r="R54" i="3" s="1"/>
  <c r="U53" i="3"/>
  <c r="S53" i="3"/>
  <c r="Q53" i="3"/>
  <c r="P53" i="3"/>
  <c r="R53" i="3" s="1"/>
  <c r="U52" i="3"/>
  <c r="S52" i="3"/>
  <c r="Q52" i="3"/>
  <c r="P52" i="3"/>
  <c r="R52" i="3" s="1"/>
  <c r="U51" i="3"/>
  <c r="S51" i="3"/>
  <c r="R51" i="3"/>
  <c r="Q51" i="3"/>
  <c r="P51" i="3"/>
  <c r="U50" i="3"/>
  <c r="S50" i="3"/>
  <c r="Q50" i="3"/>
  <c r="P50" i="3"/>
  <c r="R50" i="3" s="1"/>
  <c r="U49" i="3"/>
  <c r="S49" i="3"/>
  <c r="Q49" i="3"/>
  <c r="P49" i="3"/>
  <c r="R49" i="3" s="1"/>
  <c r="U48" i="3"/>
  <c r="S48" i="3"/>
  <c r="Q48" i="3"/>
  <c r="P48" i="3"/>
  <c r="R48" i="3" s="1"/>
  <c r="U47" i="3"/>
  <c r="S47" i="3"/>
  <c r="Q47" i="3"/>
  <c r="P47" i="3"/>
  <c r="R47" i="3" s="1"/>
  <c r="U46" i="3"/>
  <c r="S46" i="3"/>
  <c r="Q46" i="3"/>
  <c r="P46" i="3"/>
  <c r="R46" i="3" s="1"/>
  <c r="U45" i="3"/>
  <c r="S45" i="3"/>
  <c r="Q45" i="3"/>
  <c r="P45" i="3"/>
  <c r="R45" i="3" s="1"/>
  <c r="U44" i="3"/>
  <c r="S44" i="3"/>
  <c r="Q44" i="3"/>
  <c r="P44" i="3"/>
  <c r="R44" i="3" s="1"/>
  <c r="U43" i="3"/>
  <c r="S43" i="3"/>
  <c r="R43" i="3"/>
  <c r="Q43" i="3"/>
  <c r="P43" i="3"/>
  <c r="U42" i="3"/>
  <c r="S42" i="3"/>
  <c r="Q42" i="3"/>
  <c r="P42" i="3"/>
  <c r="R42" i="3" s="1"/>
  <c r="U41" i="3"/>
  <c r="S41" i="3"/>
  <c r="Q41" i="3"/>
  <c r="P41" i="3"/>
  <c r="R41" i="3" s="1"/>
  <c r="U40" i="3"/>
  <c r="S40" i="3"/>
  <c r="Q40" i="3"/>
  <c r="P40" i="3"/>
  <c r="R40" i="3" s="1"/>
  <c r="U39" i="3"/>
  <c r="S39" i="3"/>
  <c r="Q39" i="3"/>
  <c r="P39" i="3"/>
  <c r="R39" i="3" s="1"/>
  <c r="U38" i="3"/>
  <c r="S38" i="3"/>
  <c r="Q38" i="3"/>
  <c r="P38" i="3"/>
  <c r="R38" i="3" s="1"/>
  <c r="U37" i="3"/>
  <c r="S37" i="3"/>
  <c r="Q37" i="3"/>
  <c r="P37" i="3"/>
  <c r="R37" i="3" s="1"/>
  <c r="U36" i="3"/>
  <c r="S36" i="3"/>
  <c r="Q36" i="3"/>
  <c r="P36" i="3"/>
  <c r="R36" i="3" s="1"/>
  <c r="U35" i="3"/>
  <c r="S35" i="3"/>
  <c r="R35" i="3"/>
  <c r="Q35" i="3"/>
  <c r="P35" i="3"/>
  <c r="U34" i="3"/>
  <c r="S34" i="3"/>
  <c r="Q34" i="3"/>
  <c r="P34" i="3"/>
  <c r="R34" i="3" s="1"/>
  <c r="U33" i="3"/>
  <c r="S33" i="3"/>
  <c r="Q33" i="3"/>
  <c r="P33" i="3"/>
  <c r="R33" i="3" s="1"/>
  <c r="U32" i="3"/>
  <c r="S32" i="3"/>
  <c r="Q32" i="3"/>
  <c r="P32" i="3"/>
  <c r="R32" i="3" s="1"/>
  <c r="U31" i="3"/>
  <c r="S31" i="3"/>
  <c r="Q31" i="3"/>
  <c r="P31" i="3"/>
  <c r="R31" i="3" s="1"/>
  <c r="U30" i="3"/>
  <c r="S30" i="3"/>
  <c r="Q30" i="3"/>
  <c r="P30" i="3"/>
  <c r="R30" i="3" s="1"/>
  <c r="U29" i="3"/>
  <c r="S29" i="3"/>
  <c r="Q29" i="3"/>
  <c r="P29" i="3"/>
  <c r="R29" i="3" s="1"/>
  <c r="U28" i="3"/>
  <c r="S28" i="3"/>
  <c r="R28" i="3"/>
  <c r="Q28" i="3"/>
  <c r="P28" i="3"/>
  <c r="U27" i="3"/>
  <c r="S27" i="3"/>
  <c r="R27" i="3"/>
  <c r="Q27" i="3"/>
  <c r="P27" i="3"/>
  <c r="U26" i="3"/>
  <c r="S26" i="3"/>
  <c r="Q26" i="3"/>
  <c r="P26" i="3"/>
  <c r="R26" i="3" s="1"/>
  <c r="U25" i="3"/>
  <c r="S25" i="3"/>
  <c r="Q25" i="3"/>
  <c r="P25" i="3"/>
  <c r="R25" i="3" s="1"/>
  <c r="U24" i="3"/>
  <c r="S24" i="3"/>
  <c r="Q24" i="3"/>
  <c r="P24" i="3"/>
  <c r="R24" i="3" s="1"/>
  <c r="U23" i="3"/>
  <c r="S23" i="3"/>
  <c r="Q23" i="3"/>
  <c r="P23" i="3"/>
  <c r="R23" i="3" s="1"/>
  <c r="U22" i="3"/>
  <c r="S22" i="3"/>
  <c r="Q22" i="3"/>
  <c r="P22" i="3"/>
  <c r="R22" i="3" s="1"/>
  <c r="U21" i="3"/>
  <c r="S21" i="3"/>
  <c r="Q21" i="3"/>
  <c r="P21" i="3"/>
  <c r="R21" i="3" s="1"/>
  <c r="U20" i="3"/>
  <c r="S20" i="3"/>
  <c r="Q20" i="3"/>
  <c r="P20" i="3"/>
  <c r="R20" i="3" s="1"/>
  <c r="U19" i="3"/>
  <c r="S19" i="3"/>
  <c r="R19" i="3"/>
  <c r="Q19" i="3"/>
  <c r="P19" i="3"/>
  <c r="U18" i="3"/>
  <c r="S18" i="3"/>
  <c r="Q18" i="3"/>
  <c r="P18" i="3"/>
  <c r="R18" i="3" s="1"/>
  <c r="U17" i="3"/>
  <c r="S17" i="3"/>
  <c r="Q17" i="3"/>
  <c r="P17" i="3"/>
  <c r="R17" i="3" s="1"/>
  <c r="U16" i="3"/>
  <c r="S16" i="3"/>
  <c r="Q16" i="3"/>
  <c r="P16" i="3"/>
  <c r="R16" i="3" s="1"/>
  <c r="U15" i="3"/>
  <c r="S15" i="3"/>
  <c r="Q15" i="3"/>
  <c r="P15" i="3"/>
  <c r="R15" i="3" s="1"/>
  <c r="U14" i="3"/>
  <c r="S14" i="3"/>
  <c r="Q14" i="3"/>
  <c r="P14" i="3"/>
  <c r="R14" i="3" s="1"/>
  <c r="U13" i="3"/>
  <c r="S13" i="3"/>
  <c r="R13" i="3"/>
  <c r="Q13" i="3"/>
  <c r="P13" i="3"/>
  <c r="U12" i="3"/>
  <c r="S12" i="3"/>
  <c r="Q12" i="3"/>
  <c r="P12" i="3"/>
  <c r="R12" i="3" s="1"/>
  <c r="U11" i="3"/>
  <c r="S11" i="3"/>
  <c r="R11" i="3"/>
  <c r="Q11" i="3"/>
  <c r="P11" i="3"/>
  <c r="U10" i="3"/>
  <c r="S10" i="3"/>
  <c r="Q10" i="3"/>
  <c r="P10" i="3"/>
  <c r="R10" i="3" s="1"/>
  <c r="U9" i="3"/>
  <c r="S9" i="3"/>
  <c r="Q9" i="3"/>
  <c r="P9" i="3"/>
  <c r="R9" i="3" s="1"/>
  <c r="U8" i="3"/>
  <c r="S8" i="3"/>
  <c r="Q8" i="3"/>
  <c r="P8" i="3"/>
  <c r="R8" i="3" s="1"/>
  <c r="U7" i="3"/>
  <c r="S7" i="3"/>
  <c r="Q7" i="3"/>
  <c r="P7" i="3"/>
  <c r="R7" i="3" s="1"/>
  <c r="U6" i="3"/>
  <c r="S6" i="3"/>
  <c r="Q6" i="3"/>
  <c r="P6" i="3"/>
  <c r="R6" i="3" s="1"/>
  <c r="U5" i="3"/>
  <c r="S5" i="3"/>
  <c r="Q5" i="3"/>
  <c r="P5" i="3"/>
  <c r="R5" i="3" s="1"/>
  <c r="U4" i="3"/>
  <c r="S4" i="3"/>
  <c r="Q4" i="3"/>
  <c r="P4" i="3"/>
  <c r="R4" i="3" s="1"/>
  <c r="U3" i="3"/>
  <c r="S3" i="3"/>
  <c r="R3" i="3"/>
  <c r="Q3" i="3"/>
  <c r="P3" i="3"/>
  <c r="U2" i="3"/>
  <c r="S2" i="3"/>
  <c r="Q2" i="3"/>
  <c r="P2" i="3"/>
  <c r="R2" i="3" s="1"/>
  <c r="P160" i="1"/>
  <c r="P189" i="1"/>
  <c r="P46" i="1"/>
  <c r="P213" i="1"/>
  <c r="P58" i="1"/>
  <c r="P201" i="1"/>
  <c r="P70" i="1"/>
  <c r="P200" i="1"/>
  <c r="P176" i="1"/>
  <c r="P188" i="1"/>
  <c r="P208" i="1"/>
  <c r="P136" i="1"/>
  <c r="P112" i="1"/>
  <c r="P196" i="1"/>
  <c r="P124" i="1"/>
  <c r="P184" i="1"/>
  <c r="R184" i="1" s="1"/>
  <c r="P82" i="1"/>
  <c r="P261" i="1"/>
  <c r="P118" i="1"/>
  <c r="P190" i="1"/>
  <c r="P237" i="1"/>
  <c r="P166" i="1"/>
  <c r="P94" i="1"/>
  <c r="P106" i="1"/>
  <c r="P142" i="1"/>
  <c r="P249" i="1"/>
  <c r="P225" i="1"/>
  <c r="P178" i="1"/>
  <c r="P154" i="1"/>
  <c r="P130" i="1"/>
  <c r="P236" i="1"/>
  <c r="P302" i="1"/>
  <c r="P402" i="1"/>
  <c r="P390" i="1"/>
  <c r="P292" i="1"/>
  <c r="P377" i="1"/>
  <c r="P260" i="1"/>
  <c r="P362" i="1"/>
  <c r="P212" i="1"/>
  <c r="P224" i="1"/>
  <c r="P248" i="1"/>
  <c r="P353" i="1"/>
  <c r="P395" i="1"/>
  <c r="P312" i="1"/>
  <c r="P282" i="1"/>
  <c r="P404" i="1"/>
  <c r="P369" i="1"/>
  <c r="P271" i="1"/>
  <c r="P400" i="1"/>
  <c r="P383" i="1"/>
  <c r="P170" i="1"/>
  <c r="P182" i="1"/>
  <c r="P325" i="1"/>
  <c r="P134" i="1"/>
  <c r="P146" i="1"/>
  <c r="P296" i="1"/>
  <c r="P110" i="1"/>
  <c r="P194" i="1"/>
  <c r="P286" i="1"/>
  <c r="P316" i="1"/>
  <c r="P218" i="1"/>
  <c r="P122" i="1"/>
  <c r="P334" i="1"/>
  <c r="P306" i="1"/>
  <c r="P206" i="1"/>
  <c r="P158" i="1"/>
  <c r="P77" i="1"/>
  <c r="P245" i="1"/>
  <c r="P41" i="1"/>
  <c r="P209" i="1"/>
  <c r="P29" i="1"/>
  <c r="P89" i="1"/>
  <c r="P197" i="1"/>
  <c r="P233" i="1"/>
  <c r="P65" i="1"/>
  <c r="P53" i="1"/>
  <c r="P257" i="1"/>
  <c r="P221" i="1"/>
  <c r="P119" i="1"/>
  <c r="P314" i="1"/>
  <c r="P284" i="1"/>
  <c r="P239" i="1"/>
  <c r="P83" i="1"/>
  <c r="P263" i="1"/>
  <c r="P59" i="1"/>
  <c r="P95" i="1"/>
  <c r="P227" i="1"/>
  <c r="P323" i="1"/>
  <c r="P107" i="1"/>
  <c r="P71" i="1"/>
  <c r="P304" i="1"/>
  <c r="P274" i="1"/>
  <c r="P294" i="1"/>
  <c r="P251" i="1"/>
  <c r="P503" i="1"/>
  <c r="P487" i="1"/>
  <c r="R487" i="1" s="1"/>
  <c r="P613" i="1"/>
  <c r="P600" i="1"/>
  <c r="P455" i="1"/>
  <c r="P463" i="1"/>
  <c r="P582" i="1"/>
  <c r="P570" i="1"/>
  <c r="P439" i="1"/>
  <c r="P479" i="1"/>
  <c r="P564" i="1"/>
  <c r="P594" i="1"/>
  <c r="P511" i="1"/>
  <c r="P447" i="1"/>
  <c r="P618" i="1"/>
  <c r="P576" i="1"/>
  <c r="P495" i="1"/>
  <c r="P471" i="1"/>
  <c r="P607" i="1"/>
  <c r="P588" i="1"/>
  <c r="P562" i="1"/>
  <c r="P545" i="1"/>
  <c r="P637" i="1"/>
  <c r="P515" i="1"/>
  <c r="P621" i="1"/>
  <c r="P523" i="1"/>
  <c r="P629" i="1"/>
  <c r="P499" i="1"/>
  <c r="P539" i="1"/>
  <c r="P616" i="1"/>
  <c r="P633" i="1"/>
  <c r="P556" i="1"/>
  <c r="P507" i="1"/>
  <c r="P635" i="1"/>
  <c r="R635" i="1" s="1"/>
  <c r="P631" i="1"/>
  <c r="P550" i="1"/>
  <c r="P531" i="1"/>
  <c r="P626" i="1"/>
  <c r="P449" i="1"/>
  <c r="P549" i="1"/>
  <c r="P560" i="1"/>
  <c r="P433" i="1"/>
  <c r="P420" i="1"/>
  <c r="P543" i="1"/>
  <c r="P413" i="1"/>
  <c r="P465" i="1"/>
  <c r="P529" i="1"/>
  <c r="P566" i="1"/>
  <c r="P457" i="1"/>
  <c r="P441" i="1"/>
  <c r="P554" i="1"/>
  <c r="P537" i="1"/>
  <c r="P426" i="1"/>
  <c r="P572" i="1"/>
  <c r="P605" i="1"/>
  <c r="P617" i="1"/>
  <c r="P1091" i="1"/>
  <c r="P599" i="1"/>
  <c r="P1129" i="1"/>
  <c r="P1131" i="1"/>
  <c r="P587" i="1"/>
  <c r="P622" i="1"/>
  <c r="P1113" i="1"/>
  <c r="P1096" i="1"/>
  <c r="P611" i="1"/>
  <c r="P593" i="1"/>
  <c r="R593" i="1" s="1"/>
  <c r="P1092" i="1"/>
  <c r="P1130" i="1"/>
  <c r="P1095" i="1"/>
  <c r="P1097" i="1"/>
  <c r="P1165" i="1"/>
  <c r="P1208" i="1"/>
  <c r="P1166" i="1"/>
  <c r="P1176" i="1"/>
  <c r="P1193" i="1"/>
  <c r="P1177" i="1"/>
  <c r="P1161" i="1"/>
  <c r="P1205" i="1"/>
  <c r="P1221" i="1"/>
  <c r="P1194" i="1"/>
  <c r="P1160" i="1"/>
  <c r="P1204" i="1"/>
  <c r="R1204" i="1" s="1"/>
  <c r="P1190" i="1"/>
  <c r="P1180" i="1"/>
  <c r="P1319" i="1"/>
  <c r="P1335" i="1"/>
  <c r="P1282" i="1"/>
  <c r="P1330" i="1"/>
  <c r="P1305" i="1"/>
  <c r="P1303" i="1"/>
  <c r="P1315" i="1"/>
  <c r="P1334" i="1"/>
  <c r="P1336" i="1"/>
  <c r="P1286" i="1"/>
  <c r="P1317" i="1"/>
  <c r="P1320" i="1"/>
  <c r="P1446" i="1"/>
  <c r="P1469" i="1"/>
  <c r="P1442" i="1"/>
  <c r="P1466" i="1"/>
  <c r="P1428" i="1"/>
  <c r="P1471" i="1"/>
  <c r="P1457" i="1"/>
  <c r="P1485" i="1"/>
  <c r="P1458" i="1"/>
  <c r="P1432" i="1"/>
  <c r="P1488" i="1"/>
  <c r="P1465" i="1"/>
  <c r="P1580" i="1"/>
  <c r="P1603" i="1"/>
  <c r="P1609" i="1"/>
  <c r="P1567" i="1"/>
  <c r="P1589" i="1"/>
  <c r="P1559" i="1"/>
  <c r="P1582" i="1"/>
  <c r="P1581" i="1"/>
  <c r="P1602" i="1"/>
  <c r="P1592" i="1"/>
  <c r="P1571" i="1"/>
  <c r="P1611" i="1"/>
  <c r="P1593" i="1"/>
  <c r="P1600" i="1"/>
  <c r="P1702" i="1"/>
  <c r="P1709" i="1"/>
  <c r="P1719" i="1"/>
  <c r="P1694" i="1"/>
  <c r="P1717" i="1"/>
  <c r="P1703" i="1"/>
  <c r="P1695" i="1"/>
  <c r="P1722" i="1"/>
  <c r="R1722" i="1" s="1"/>
  <c r="P1704" i="1"/>
  <c r="P1693" i="1"/>
  <c r="P1726" i="1"/>
  <c r="P1718" i="1"/>
  <c r="P1712" i="1"/>
  <c r="P1182" i="1"/>
  <c r="P1240" i="1"/>
  <c r="P1184" i="1"/>
  <c r="P1223" i="1"/>
  <c r="P1171" i="1"/>
  <c r="P1183" i="1"/>
  <c r="P1211" i="1"/>
  <c r="P1241" i="1"/>
  <c r="P1170" i="1"/>
  <c r="P1181" i="1"/>
  <c r="P1224" i="1"/>
  <c r="P1222" i="1"/>
  <c r="P1527" i="1"/>
  <c r="P1583" i="1"/>
  <c r="P1502" i="1"/>
  <c r="P1584" i="1"/>
  <c r="P1491" i="1"/>
  <c r="P1526" i="1"/>
  <c r="P1561" i="1"/>
  <c r="P1594" i="1"/>
  <c r="P1514" i="1"/>
  <c r="P1515" i="1"/>
  <c r="P1595" i="1"/>
  <c r="P1572" i="1"/>
  <c r="P1159" i="1"/>
  <c r="P1213" i="1"/>
  <c r="P1128" i="1"/>
  <c r="P1187" i="1"/>
  <c r="P1111" i="1"/>
  <c r="P1110" i="1"/>
  <c r="P1172" i="1"/>
  <c r="P1199" i="1"/>
  <c r="P1145" i="1"/>
  <c r="P1127" i="1"/>
  <c r="P1212" i="1"/>
  <c r="P1200" i="1"/>
  <c r="P1437" i="1"/>
  <c r="P1492" i="1"/>
  <c r="P1424" i="1"/>
  <c r="P1476" i="1"/>
  <c r="P1422" i="1"/>
  <c r="P1436" i="1"/>
  <c r="P1478" i="1"/>
  <c r="P1494" i="1"/>
  <c r="P1410" i="1"/>
  <c r="P1423" i="1"/>
  <c r="P1493" i="1"/>
  <c r="P1477" i="1"/>
  <c r="P1188" i="1"/>
  <c r="P1279" i="1"/>
  <c r="P1685" i="1"/>
  <c r="P1262" i="1"/>
  <c r="P1664" i="1"/>
  <c r="P1699" i="1"/>
  <c r="P1174" i="1"/>
  <c r="P1672" i="1"/>
  <c r="P1261" i="1"/>
  <c r="P1280" i="1"/>
  <c r="P1543" i="1"/>
  <c r="P1626" i="1"/>
  <c r="P1518" i="1"/>
  <c r="P1617" i="1"/>
  <c r="P1519" i="1"/>
  <c r="P1531" i="1"/>
  <c r="P1649" i="1"/>
  <c r="P1608" i="1"/>
  <c r="P699" i="1"/>
  <c r="P713" i="1"/>
  <c r="P694" i="1"/>
  <c r="P711" i="1"/>
  <c r="P695" i="1"/>
  <c r="P693" i="1"/>
  <c r="P712" i="1"/>
  <c r="P707" i="1"/>
  <c r="P776" i="1"/>
  <c r="R776" i="1" s="1"/>
  <c r="P794" i="1"/>
  <c r="P775" i="1"/>
  <c r="P792" i="1"/>
  <c r="P780" i="1"/>
  <c r="P774" i="1"/>
  <c r="P793" i="1"/>
  <c r="P788" i="1"/>
  <c r="P857" i="1"/>
  <c r="P874" i="1"/>
  <c r="P855" i="1"/>
  <c r="P869" i="1"/>
  <c r="P861" i="1"/>
  <c r="P856" i="1"/>
  <c r="P870" i="1"/>
  <c r="P868" i="1"/>
  <c r="P922" i="1"/>
  <c r="P931" i="1"/>
  <c r="P917" i="1"/>
  <c r="P929" i="1"/>
  <c r="P921" i="1"/>
  <c r="P918" i="1"/>
  <c r="P935" i="1"/>
  <c r="P930" i="1"/>
  <c r="P980" i="1"/>
  <c r="P991" i="1"/>
  <c r="P995" i="1"/>
  <c r="P978" i="1"/>
  <c r="P983" i="1"/>
  <c r="P979" i="1"/>
  <c r="P993" i="1"/>
  <c r="P992" i="1"/>
  <c r="P1031" i="1"/>
  <c r="R1031" i="1" s="1"/>
  <c r="P1035" i="1"/>
  <c r="P1036" i="1"/>
  <c r="P1028" i="1"/>
  <c r="P1030" i="1"/>
  <c r="P1027" i="1"/>
  <c r="P1037" i="1"/>
  <c r="P1034" i="1"/>
  <c r="P1065" i="1"/>
  <c r="P1067" i="1"/>
  <c r="P1062" i="1"/>
  <c r="P1064" i="1"/>
  <c r="P1061" i="1"/>
  <c r="P1068" i="1"/>
  <c r="P1087" i="1"/>
  <c r="P656" i="1"/>
  <c r="P652" i="1"/>
  <c r="P1086" i="1"/>
  <c r="P655" i="1"/>
  <c r="P1089" i="1"/>
  <c r="P692" i="1"/>
  <c r="P702" i="1"/>
  <c r="P696" i="1"/>
  <c r="P698" i="1"/>
  <c r="P727" i="1"/>
  <c r="P731" i="1"/>
  <c r="P722" i="1"/>
  <c r="P730" i="1"/>
  <c r="P759" i="1"/>
  <c r="P765" i="1"/>
  <c r="P760" i="1"/>
  <c r="P761" i="1"/>
  <c r="P791" i="1"/>
  <c r="P796" i="1"/>
  <c r="P790" i="1"/>
  <c r="P795" i="1"/>
  <c r="P818" i="1"/>
  <c r="P823" i="1"/>
  <c r="P819" i="1"/>
  <c r="P820" i="1"/>
  <c r="P847" i="1"/>
  <c r="P848" i="1"/>
  <c r="P846" i="1"/>
  <c r="P852" i="1"/>
  <c r="P873" i="1"/>
  <c r="P877" i="1"/>
  <c r="P872" i="1"/>
  <c r="P878" i="1"/>
  <c r="P905" i="1"/>
  <c r="P900" i="1"/>
  <c r="P148" i="1"/>
  <c r="P220" i="1"/>
  <c r="P13" i="1"/>
  <c r="P214" i="1"/>
  <c r="P272" i="1"/>
  <c r="P202" i="1"/>
  <c r="P330" i="1"/>
  <c r="P407" i="1"/>
  <c r="P321" i="1"/>
  <c r="P406" i="1"/>
  <c r="P242" i="1"/>
  <c r="P365" i="1"/>
  <c r="P357" i="1"/>
  <c r="P230" i="1"/>
  <c r="P350" i="1"/>
  <c r="P342" i="1"/>
  <c r="P125" i="1"/>
  <c r="P137" i="1"/>
  <c r="P279" i="1"/>
  <c r="P289" i="1"/>
  <c r="P113" i="1"/>
  <c r="P101" i="1"/>
  <c r="P268" i="1"/>
  <c r="P143" i="1"/>
  <c r="P155" i="1"/>
  <c r="P339" i="1"/>
  <c r="P131" i="1"/>
  <c r="P332" i="1"/>
  <c r="P527" i="1"/>
  <c r="P627" i="1"/>
  <c r="P630" i="1"/>
  <c r="P519" i="1"/>
  <c r="P623" i="1"/>
  <c r="P574" i="1"/>
  <c r="P580" i="1"/>
  <c r="P643" i="1"/>
  <c r="P568" i="1"/>
  <c r="P641" i="1"/>
  <c r="P639" i="1"/>
  <c r="P489" i="1"/>
  <c r="P584" i="1"/>
  <c r="P481" i="1"/>
  <c r="P473" i="1"/>
  <c r="P578" i="1"/>
  <c r="P1103" i="1"/>
  <c r="P1098" i="1"/>
  <c r="P1094" i="1"/>
  <c r="P1090" i="1"/>
  <c r="P1192" i="1"/>
  <c r="P1237" i="1"/>
  <c r="P1235" i="1"/>
  <c r="P1207" i="1"/>
  <c r="P1236" i="1"/>
  <c r="P1321" i="1"/>
  <c r="P1318" i="1"/>
  <c r="P1347" i="1"/>
  <c r="P1362" i="1"/>
  <c r="P1333" i="1"/>
  <c r="P1350" i="1"/>
  <c r="P1456" i="1"/>
  <c r="P1468" i="1"/>
  <c r="P1484" i="1"/>
  <c r="P1470" i="1"/>
  <c r="R1470" i="1" s="1"/>
  <c r="P1500" i="1"/>
  <c r="P1577" i="1"/>
  <c r="P1599" i="1"/>
  <c r="P1601" i="1"/>
  <c r="P1590" i="1"/>
  <c r="P1598" i="1"/>
  <c r="P1706" i="1"/>
  <c r="P1707" i="1"/>
  <c r="P1731" i="1"/>
  <c r="P1714" i="1"/>
  <c r="P1728" i="1"/>
  <c r="P1198" i="1"/>
  <c r="P1274" i="1"/>
  <c r="P1195" i="1"/>
  <c r="P1257" i="1"/>
  <c r="P1551" i="1"/>
  <c r="P1614" i="1"/>
  <c r="P1539" i="1"/>
  <c r="P1605" i="1"/>
  <c r="P1144" i="1"/>
  <c r="P1214" i="1"/>
  <c r="P1158" i="1"/>
  <c r="P1201" i="1"/>
  <c r="P1449" i="1"/>
  <c r="P1504" i="1"/>
  <c r="P1450" i="1"/>
  <c r="P1505" i="1"/>
  <c r="P1202" i="1"/>
  <c r="P1312" i="1"/>
  <c r="P1215" i="1"/>
  <c r="P1297" i="1"/>
  <c r="P1565" i="1"/>
  <c r="R1565" i="1" s="1"/>
  <c r="P1665" i="1"/>
  <c r="P1554" i="1"/>
  <c r="P1657" i="1"/>
  <c r="P701" i="1"/>
  <c r="P718" i="1"/>
  <c r="P700" i="1"/>
  <c r="P717" i="1"/>
  <c r="P782" i="1"/>
  <c r="P799" i="1"/>
  <c r="P781" i="1"/>
  <c r="P798" i="1"/>
  <c r="P865" i="1"/>
  <c r="P876" i="1"/>
  <c r="P864" i="1"/>
  <c r="P875" i="1"/>
  <c r="P926" i="1"/>
  <c r="P937" i="1"/>
  <c r="P923" i="1"/>
  <c r="P936" i="1"/>
  <c r="P984" i="1"/>
  <c r="P982" i="1"/>
  <c r="P994" i="1"/>
  <c r="P1033" i="1"/>
  <c r="P1040" i="1"/>
  <c r="P1032" i="1"/>
  <c r="P1066" i="1"/>
  <c r="P1071" i="1"/>
  <c r="P1088" i="1"/>
  <c r="P657" i="1"/>
  <c r="P697" i="1"/>
  <c r="P703" i="1"/>
  <c r="P726" i="1"/>
  <c r="P735" i="1"/>
  <c r="P232" i="1"/>
  <c r="P34" i="1"/>
  <c r="P226" i="1"/>
  <c r="P238" i="1"/>
  <c r="P22" i="1"/>
  <c r="P345" i="1"/>
  <c r="P408" i="1"/>
  <c r="P409" i="1"/>
  <c r="P338" i="1"/>
  <c r="P265" i="1"/>
  <c r="P380" i="1"/>
  <c r="P388" i="1"/>
  <c r="P254" i="1"/>
  <c r="P374" i="1"/>
  <c r="P173" i="1"/>
  <c r="P149" i="1"/>
  <c r="P309" i="1"/>
  <c r="P318" i="1"/>
  <c r="P161" i="1"/>
  <c r="P299" i="1"/>
  <c r="P191" i="1"/>
  <c r="P167" i="1"/>
  <c r="P348" i="1"/>
  <c r="P356" i="1"/>
  <c r="P364" i="1"/>
  <c r="P179" i="1"/>
  <c r="P541" i="1"/>
  <c r="P547" i="1"/>
  <c r="P632" i="1"/>
  <c r="P636" i="1"/>
  <c r="P634" i="1"/>
  <c r="P535" i="1"/>
  <c r="P598" i="1"/>
  <c r="P592" i="1"/>
  <c r="P645" i="1"/>
  <c r="P647" i="1"/>
  <c r="P586" i="1"/>
  <c r="P505" i="1"/>
  <c r="P590" i="1"/>
  <c r="P596" i="1"/>
  <c r="P497" i="1"/>
  <c r="P1102" i="1"/>
  <c r="P1117" i="1"/>
  <c r="P1104" i="1"/>
  <c r="P1114" i="1"/>
  <c r="P1189" i="1"/>
  <c r="P1233" i="1"/>
  <c r="P1216" i="1"/>
  <c r="P1219" i="1"/>
  <c r="P1206" i="1"/>
  <c r="P1314" i="1"/>
  <c r="P1316" i="1"/>
  <c r="P1364" i="1"/>
  <c r="P1360" i="1"/>
  <c r="P1346" i="1"/>
  <c r="P1332" i="1"/>
  <c r="P1472" i="1"/>
  <c r="P1455" i="1"/>
  <c r="P1481" i="1"/>
  <c r="P1499" i="1"/>
  <c r="P1453" i="1"/>
  <c r="P1588" i="1"/>
  <c r="P1579" i="1"/>
  <c r="P1618" i="1"/>
  <c r="P1612" i="1"/>
  <c r="P1610" i="1"/>
  <c r="P1713" i="1"/>
  <c r="P1708" i="1"/>
  <c r="P1715" i="1"/>
  <c r="P1729" i="1"/>
  <c r="P1725" i="1"/>
  <c r="P1209" i="1"/>
  <c r="P1210" i="1"/>
  <c r="P1256" i="1"/>
  <c r="P1275" i="1"/>
  <c r="P1273" i="1"/>
  <c r="P1562" i="1"/>
  <c r="P1538" i="1"/>
  <c r="P1550" i="1"/>
  <c r="P1613" i="1"/>
  <c r="P1604" i="1"/>
  <c r="P1186" i="1"/>
  <c r="P1173" i="1"/>
  <c r="P1225" i="1"/>
  <c r="P1226" i="1"/>
  <c r="P1462" i="1"/>
  <c r="P1438" i="1"/>
  <c r="P1517" i="1"/>
  <c r="P1228" i="1"/>
  <c r="P1229" i="1"/>
  <c r="P1313" i="1"/>
  <c r="P1298" i="1"/>
  <c r="P1587" i="1"/>
  <c r="P1576" i="1"/>
  <c r="P1700" i="1"/>
  <c r="P1692" i="1"/>
  <c r="P706" i="1"/>
  <c r="P705" i="1"/>
  <c r="P786" i="1"/>
  <c r="P800" i="1"/>
  <c r="P866" i="1"/>
  <c r="P925" i="1"/>
  <c r="P985" i="1"/>
  <c r="P276" i="1"/>
  <c r="P394" i="1"/>
  <c r="P326" i="1"/>
  <c r="P185" i="1"/>
  <c r="P215" i="1"/>
  <c r="P203" i="1"/>
  <c r="P371" i="1"/>
  <c r="P558" i="1"/>
  <c r="P640" i="1"/>
  <c r="P552" i="1"/>
  <c r="P638" i="1"/>
  <c r="P610" i="1"/>
  <c r="P444" i="1"/>
  <c r="P604" i="1"/>
  <c r="P436" i="1"/>
  <c r="P521" i="1"/>
  <c r="P609" i="1"/>
  <c r="P513" i="1"/>
  <c r="P602" i="1"/>
  <c r="P1101" i="1"/>
  <c r="P1119" i="1"/>
  <c r="P1112" i="1"/>
  <c r="P1121" i="1"/>
  <c r="P1203" i="1"/>
  <c r="P1238" i="1"/>
  <c r="P1191" i="1"/>
  <c r="P1218" i="1"/>
  <c r="P1331" i="1"/>
  <c r="P1345" i="1"/>
  <c r="P1329" i="1"/>
  <c r="P1343" i="1"/>
  <c r="P1454" i="1"/>
  <c r="P1501" i="1"/>
  <c r="P1467" i="1"/>
  <c r="P1483" i="1"/>
  <c r="P1578" i="1"/>
  <c r="P1620" i="1"/>
  <c r="P1591" i="1"/>
  <c r="P1630" i="1"/>
  <c r="P1723" i="1"/>
  <c r="P1733" i="1"/>
  <c r="P1720" i="1"/>
  <c r="P1730" i="1"/>
  <c r="P1197" i="1"/>
  <c r="P1292" i="1"/>
  <c r="P1196" i="1"/>
  <c r="P1573" i="1"/>
  <c r="P1623" i="1"/>
  <c r="P1185" i="1"/>
  <c r="P1242" i="1"/>
  <c r="P1461" i="1"/>
  <c r="P1516" i="1"/>
  <c r="P1245" i="1"/>
  <c r="P1328" i="1"/>
  <c r="P1597" i="1"/>
  <c r="P719" i="1"/>
  <c r="R719" i="1" s="1"/>
  <c r="P787" i="1"/>
  <c r="P804" i="1"/>
  <c r="P940" i="1"/>
  <c r="P986" i="1"/>
  <c r="P52" i="1"/>
  <c r="P64" i="1"/>
  <c r="P76" i="1"/>
  <c r="P88" i="1"/>
  <c r="P4" i="1"/>
  <c r="P11" i="1"/>
  <c r="P57" i="1"/>
  <c r="P81" i="1"/>
  <c r="P69" i="1"/>
  <c r="P129" i="1"/>
  <c r="P105" i="1"/>
  <c r="P117" i="1"/>
  <c r="R117" i="1" s="1"/>
  <c r="P165" i="1"/>
  <c r="P153" i="1"/>
  <c r="P243" i="1"/>
  <c r="P219" i="1"/>
  <c r="P231" i="1"/>
  <c r="P287" i="1"/>
  <c r="P307" i="1"/>
  <c r="P297" i="1"/>
  <c r="P56" i="1"/>
  <c r="P32" i="1"/>
  <c r="P44" i="1"/>
  <c r="P128" i="1"/>
  <c r="P104" i="1"/>
  <c r="P116" i="1"/>
  <c r="P246" i="1"/>
  <c r="P222" i="1"/>
  <c r="P234" i="1"/>
  <c r="P290" i="1"/>
  <c r="P310" i="1"/>
  <c r="P300" i="1"/>
  <c r="P359" i="1"/>
  <c r="P344" i="1"/>
  <c r="P352" i="1"/>
  <c r="P62" i="1"/>
  <c r="P38" i="1"/>
  <c r="P50" i="1"/>
  <c r="P262" i="1"/>
  <c r="P240" i="1"/>
  <c r="P252" i="1"/>
  <c r="P303" i="1"/>
  <c r="P322" i="1"/>
  <c r="P313" i="1"/>
  <c r="P355" i="1"/>
  <c r="P347" i="1"/>
  <c r="P392" i="1"/>
  <c r="P378" i="1"/>
  <c r="P385" i="1"/>
  <c r="P270" i="1"/>
  <c r="P247" i="1"/>
  <c r="P259" i="1"/>
  <c r="P311" i="1"/>
  <c r="P329" i="1"/>
  <c r="P320" i="1"/>
  <c r="P376" i="1"/>
  <c r="P361" i="1"/>
  <c r="P370" i="1"/>
  <c r="P405" i="1"/>
  <c r="P401" i="1"/>
  <c r="P403" i="1"/>
  <c r="P264" i="1"/>
  <c r="P241" i="1"/>
  <c r="P253" i="1"/>
  <c r="P305" i="1"/>
  <c r="P324" i="1"/>
  <c r="P315" i="1"/>
  <c r="P373" i="1"/>
  <c r="P358" i="1"/>
  <c r="P366" i="1"/>
  <c r="P411" i="1"/>
  <c r="P399" i="1"/>
  <c r="P410" i="1"/>
  <c r="P553" i="1"/>
  <c r="P542" i="1"/>
  <c r="P548" i="1"/>
  <c r="P577" i="1"/>
  <c r="P589" i="1"/>
  <c r="P583" i="1"/>
  <c r="P428" i="1"/>
  <c r="P612" i="1"/>
  <c r="P415" i="1"/>
  <c r="P475" i="1"/>
  <c r="P459" i="1"/>
  <c r="P467" i="1"/>
  <c r="P498" i="1"/>
  <c r="P482" i="1"/>
  <c r="P490" i="1"/>
  <c r="P530" i="1"/>
  <c r="P544" i="1"/>
  <c r="P538" i="1"/>
  <c r="P579" i="1"/>
  <c r="P573" i="1"/>
  <c r="P614" i="1"/>
  <c r="P603" i="1"/>
  <c r="P608" i="1"/>
  <c r="P437" i="1"/>
  <c r="P422" i="1"/>
  <c r="P429" i="1"/>
  <c r="P469" i="1"/>
  <c r="P485" i="1"/>
  <c r="P477" i="1"/>
  <c r="P525" i="1"/>
  <c r="P509" i="1"/>
  <c r="P517" i="1"/>
  <c r="P563" i="1"/>
  <c r="P551" i="1"/>
  <c r="P557" i="1"/>
  <c r="P1148" i="1"/>
  <c r="P1134" i="1"/>
  <c r="P1155" i="1"/>
  <c r="P1153" i="1"/>
  <c r="P1164" i="1"/>
  <c r="P1151" i="1"/>
  <c r="P1167" i="1"/>
  <c r="P1178" i="1"/>
  <c r="P1168" i="1"/>
  <c r="P1163" i="1"/>
  <c r="P1269" i="1"/>
  <c r="P1252" i="1"/>
  <c r="P1263" i="1"/>
  <c r="P1267" i="1"/>
  <c r="P1288" i="1"/>
  <c r="P1289" i="1"/>
  <c r="P1304" i="1"/>
  <c r="P1302" i="1"/>
  <c r="P1285" i="1"/>
  <c r="P1301" i="1"/>
  <c r="P1283" i="1"/>
  <c r="P1299" i="1"/>
  <c r="P1403" i="1"/>
  <c r="P1389" i="1"/>
  <c r="P1375" i="1"/>
  <c r="P1399" i="1"/>
  <c r="P1413" i="1"/>
  <c r="P1401" i="1"/>
  <c r="P1417" i="1"/>
  <c r="P1404" i="1"/>
  <c r="P1414" i="1"/>
  <c r="P1427" i="1"/>
  <c r="P1430" i="1"/>
  <c r="P1444" i="1"/>
  <c r="P1547" i="1"/>
  <c r="P1532" i="1"/>
  <c r="P1546" i="1"/>
  <c r="P1537" i="1"/>
  <c r="P1533" i="1"/>
  <c r="P1560" i="1"/>
  <c r="P1548" i="1"/>
  <c r="P1557" i="1"/>
  <c r="P1569" i="1"/>
  <c r="P1555" i="1"/>
  <c r="P1673" i="1"/>
  <c r="P1661" i="1"/>
  <c r="P1669" i="1"/>
  <c r="P1667" i="1"/>
  <c r="P1674" i="1"/>
  <c r="P1666" i="1"/>
  <c r="P1689" i="1"/>
  <c r="P1679" i="1"/>
  <c r="P1687" i="1"/>
  <c r="P1680" i="1"/>
  <c r="P1682" i="1"/>
  <c r="P1760" i="1"/>
  <c r="P1759" i="1"/>
  <c r="P1757" i="1"/>
  <c r="P1761" i="1"/>
  <c r="P1766" i="1"/>
  <c r="P1764" i="1"/>
  <c r="P1099" i="1"/>
  <c r="P1093" i="1"/>
  <c r="P1143" i="1"/>
  <c r="P1108" i="1"/>
  <c r="P1125" i="1"/>
  <c r="P1419" i="1"/>
  <c r="P1405" i="1"/>
  <c r="P1420" i="1"/>
  <c r="P1434" i="1"/>
  <c r="P1448" i="1"/>
  <c r="P1433" i="1"/>
  <c r="P1460" i="1"/>
  <c r="P1447" i="1"/>
  <c r="P1475" i="1"/>
  <c r="P1473" i="1"/>
  <c r="P1459" i="1"/>
  <c r="P1698" i="1"/>
  <c r="P1683" i="1"/>
  <c r="P1690" i="1"/>
  <c r="P1711" i="1"/>
  <c r="P1716" i="1"/>
  <c r="P1724" i="1"/>
  <c r="P1721" i="1"/>
  <c r="P1738" i="1"/>
  <c r="P1732" i="1"/>
  <c r="P1735" i="1"/>
  <c r="P1354" i="1"/>
  <c r="P1339" i="1"/>
  <c r="P1325" i="1"/>
  <c r="P1368" i="1"/>
  <c r="P1382" i="1"/>
  <c r="P1353" i="1"/>
  <c r="P1396" i="1"/>
  <c r="P1394" i="1"/>
  <c r="P1395" i="1"/>
  <c r="P1625" i="1"/>
  <c r="P1616" i="1"/>
  <c r="P1615" i="1"/>
  <c r="P1624" i="1"/>
  <c r="P1633" i="1"/>
  <c r="P1656" i="1"/>
  <c r="P1642" i="1"/>
  <c r="P1641" i="1"/>
  <c r="P1479" i="1"/>
  <c r="P1452" i="1"/>
  <c r="P1463" i="1"/>
  <c r="P1464" i="1"/>
  <c r="P1495" i="1"/>
  <c r="P1506" i="1"/>
  <c r="P1507" i="1"/>
  <c r="P1496" i="1"/>
  <c r="P677" i="1"/>
  <c r="P676" i="1"/>
  <c r="P681" i="1"/>
  <c r="P683" i="1"/>
  <c r="P689" i="1"/>
  <c r="P687" i="1"/>
  <c r="P688" i="1"/>
  <c r="P758" i="1"/>
  <c r="P756" i="1"/>
  <c r="P757" i="1"/>
  <c r="P762" i="1"/>
  <c r="P764" i="1"/>
  <c r="P770" i="1"/>
  <c r="P768" i="1"/>
  <c r="P769" i="1"/>
  <c r="P840" i="1"/>
  <c r="R840" i="1" s="1"/>
  <c r="P839" i="1"/>
  <c r="P843" i="1"/>
  <c r="P845" i="1"/>
  <c r="P851" i="1"/>
  <c r="P849" i="1"/>
  <c r="P850" i="1"/>
  <c r="P907" i="1"/>
  <c r="P906" i="1"/>
  <c r="P911" i="1"/>
  <c r="P913" i="1"/>
  <c r="P912" i="1"/>
  <c r="P969" i="1"/>
  <c r="P968" i="1"/>
  <c r="P973" i="1"/>
  <c r="P975" i="1"/>
  <c r="P974" i="1"/>
  <c r="P1024" i="1"/>
  <c r="P1023" i="1"/>
  <c r="P1025" i="1"/>
  <c r="P1026" i="1"/>
  <c r="P1058" i="1"/>
  <c r="P1056" i="1"/>
  <c r="P1059" i="1"/>
  <c r="P1060" i="1"/>
  <c r="P1083" i="1"/>
  <c r="P1085" i="1"/>
  <c r="P690" i="1"/>
  <c r="P691" i="1"/>
  <c r="P721" i="1"/>
  <c r="P100" i="1"/>
  <c r="P21" i="1"/>
  <c r="P45" i="1"/>
  <c r="P33" i="1"/>
  <c r="P93" i="1"/>
  <c r="P141" i="1"/>
  <c r="P177" i="1"/>
  <c r="P255" i="1"/>
  <c r="P277" i="1"/>
  <c r="P266" i="1"/>
  <c r="P20" i="1"/>
  <c r="P5" i="1"/>
  <c r="P10" i="1"/>
  <c r="P92" i="1"/>
  <c r="P68" i="1"/>
  <c r="P80" i="1"/>
  <c r="P152" i="1"/>
  <c r="P164" i="1"/>
  <c r="P140" i="1"/>
  <c r="P258" i="1"/>
  <c r="P280" i="1"/>
  <c r="P269" i="1"/>
  <c r="P336" i="1"/>
  <c r="P319" i="1"/>
  <c r="P328" i="1"/>
  <c r="P26" i="1"/>
  <c r="P368" i="1"/>
  <c r="P15" i="1"/>
  <c r="P86" i="1"/>
  <c r="P98" i="1"/>
  <c r="P74" i="1"/>
  <c r="P273" i="1"/>
  <c r="P293" i="1"/>
  <c r="P283" i="1"/>
  <c r="P331" i="1"/>
  <c r="R331" i="1" s="1"/>
  <c r="P340" i="1"/>
  <c r="P372" i="1"/>
  <c r="P363" i="1"/>
  <c r="P7" i="1"/>
  <c r="P17" i="1"/>
  <c r="P397" i="1"/>
  <c r="P281" i="1"/>
  <c r="P301" i="1"/>
  <c r="P291" i="1"/>
  <c r="P354" i="1"/>
  <c r="P337" i="1"/>
  <c r="P346" i="1"/>
  <c r="P396" i="1"/>
  <c r="P384" i="1"/>
  <c r="P391" i="1"/>
  <c r="P35" i="1"/>
  <c r="P47" i="1"/>
  <c r="P23" i="1"/>
  <c r="P275" i="1"/>
  <c r="P295" i="1"/>
  <c r="P285" i="1"/>
  <c r="P349" i="1"/>
  <c r="P333" i="1"/>
  <c r="P341" i="1"/>
  <c r="P393" i="1"/>
  <c r="P381" i="1"/>
  <c r="P387" i="1"/>
  <c r="P424" i="1"/>
  <c r="P431" i="1"/>
  <c r="P418" i="1"/>
  <c r="P559" i="1"/>
  <c r="P571" i="1"/>
  <c r="P565" i="1"/>
  <c r="P606" i="1"/>
  <c r="P595" i="1"/>
  <c r="P601" i="1"/>
  <c r="P451" i="1"/>
  <c r="P435" i="1"/>
  <c r="P443" i="1"/>
  <c r="P491" i="1"/>
  <c r="P483" i="1"/>
  <c r="P506" i="1"/>
  <c r="P522" i="1"/>
  <c r="P514" i="1"/>
  <c r="P567" i="1"/>
  <c r="P555" i="1"/>
  <c r="P561" i="1"/>
  <c r="P597" i="1"/>
  <c r="R597" i="1" s="1"/>
  <c r="P585" i="1"/>
  <c r="P591" i="1"/>
  <c r="P624" i="1"/>
  <c r="P628" i="1"/>
  <c r="P619" i="1"/>
  <c r="P445" i="1"/>
  <c r="P461" i="1"/>
  <c r="P453" i="1"/>
  <c r="P493" i="1"/>
  <c r="P501" i="1"/>
  <c r="P546" i="1"/>
  <c r="P533" i="1"/>
  <c r="P540" i="1"/>
  <c r="P575" i="1"/>
  <c r="P581" i="1"/>
  <c r="P569" i="1"/>
  <c r="P1133" i="1"/>
  <c r="P1146" i="1"/>
  <c r="P1139" i="1"/>
  <c r="P1137" i="1"/>
  <c r="P1147" i="1"/>
  <c r="P1179" i="1"/>
  <c r="P1162" i="1"/>
  <c r="P1175" i="1"/>
  <c r="P1169" i="1"/>
  <c r="P1247" i="1"/>
  <c r="P1264" i="1"/>
  <c r="P1250" i="1"/>
  <c r="P1306" i="1"/>
  <c r="P1284" i="1"/>
  <c r="P1290" i="1"/>
  <c r="P1287" i="1"/>
  <c r="P1300" i="1"/>
  <c r="P1281" i="1"/>
  <c r="P1418" i="1"/>
  <c r="P1416" i="1"/>
  <c r="P1402" i="1"/>
  <c r="P1415" i="1"/>
  <c r="P1400" i="1"/>
  <c r="P1445" i="1"/>
  <c r="P1431" i="1"/>
  <c r="P1441" i="1"/>
  <c r="P1443" i="1"/>
  <c r="P1429" i="1"/>
  <c r="P1534" i="1"/>
  <c r="P1544" i="1"/>
  <c r="P1545" i="1"/>
  <c r="P1558" i="1"/>
  <c r="P1570" i="1"/>
  <c r="P1568" i="1"/>
  <c r="P1556" i="1"/>
  <c r="P1566" i="1"/>
  <c r="P1668" i="1"/>
  <c r="P1675" i="1"/>
  <c r="P1676" i="1"/>
  <c r="P1688" i="1"/>
  <c r="P1681" i="1"/>
  <c r="P1696" i="1"/>
  <c r="P1701" i="1"/>
  <c r="P1686" i="1"/>
  <c r="P1762" i="1"/>
  <c r="P1763" i="1"/>
  <c r="P1765" i="1"/>
  <c r="P1126" i="1"/>
  <c r="P1109" i="1"/>
  <c r="P1142" i="1"/>
  <c r="P1156" i="1"/>
  <c r="P1157" i="1"/>
  <c r="P1407" i="1"/>
  <c r="P1421" i="1"/>
  <c r="P1435" i="1"/>
  <c r="P1474" i="1"/>
  <c r="P1489" i="1"/>
  <c r="P1503" i="1"/>
  <c r="P1490" i="1"/>
  <c r="P1697" i="1"/>
  <c r="P1705" i="1"/>
  <c r="P1710" i="1"/>
  <c r="P1727" i="1"/>
  <c r="P1744" i="1"/>
  <c r="P1100" i="1"/>
  <c r="P1741" i="1"/>
  <c r="P1367" i="1"/>
  <c r="P1409" i="1"/>
  <c r="P1408" i="1"/>
  <c r="P1381" i="1"/>
  <c r="P1634" i="1"/>
  <c r="P1480" i="1"/>
  <c r="P682" i="1"/>
  <c r="P763" i="1"/>
  <c r="P844" i="1"/>
  <c r="P908" i="1"/>
  <c r="P16" i="1"/>
  <c r="P3" i="1"/>
  <c r="P6" i="1"/>
  <c r="P28" i="1"/>
  <c r="R28" i="1" s="1"/>
  <c r="P327" i="1"/>
  <c r="P308" i="1"/>
  <c r="P317" i="1"/>
  <c r="P335" i="1"/>
  <c r="P278" i="1"/>
  <c r="P244" i="1"/>
  <c r="P256" i="1"/>
  <c r="P288" i="1"/>
  <c r="P298" i="1"/>
  <c r="P267" i="1"/>
  <c r="P111" i="1"/>
  <c r="P75" i="1"/>
  <c r="P87" i="1"/>
  <c r="P123" i="1"/>
  <c r="P135" i="1"/>
  <c r="P99" i="1"/>
  <c r="P39" i="1"/>
  <c r="P250" i="1"/>
  <c r="P14" i="1"/>
  <c r="P51" i="1"/>
  <c r="P63" i="1"/>
  <c r="P27" i="1"/>
  <c r="P102" i="1"/>
  <c r="P66" i="1"/>
  <c r="P78" i="1"/>
  <c r="P114" i="1"/>
  <c r="P126" i="1"/>
  <c r="P90" i="1"/>
  <c r="P30" i="1"/>
  <c r="P2" i="1"/>
  <c r="P8" i="1"/>
  <c r="P42" i="1"/>
  <c r="P54" i="1"/>
  <c r="P18" i="1"/>
  <c r="P108" i="1"/>
  <c r="P72" i="1"/>
  <c r="P84" i="1"/>
  <c r="P120" i="1"/>
  <c r="P132" i="1"/>
  <c r="P96" i="1"/>
  <c r="P36" i="1"/>
  <c r="P398" i="1"/>
  <c r="P12" i="1"/>
  <c r="P48" i="1"/>
  <c r="P60" i="1"/>
  <c r="P24" i="1"/>
  <c r="P115" i="1"/>
  <c r="P79" i="1"/>
  <c r="P91" i="1"/>
  <c r="P127" i="1"/>
  <c r="P139" i="1"/>
  <c r="P103" i="1"/>
  <c r="P43" i="1"/>
  <c r="P9" i="1"/>
  <c r="P19" i="1"/>
  <c r="P55" i="1"/>
  <c r="P67" i="1"/>
  <c r="P31" i="1"/>
  <c r="P109" i="1"/>
  <c r="P73" i="1"/>
  <c r="P85" i="1"/>
  <c r="P121" i="1"/>
  <c r="P133" i="1"/>
  <c r="P97" i="1"/>
  <c r="P37" i="1"/>
  <c r="P379" i="1"/>
  <c r="P386" i="1"/>
  <c r="P49" i="1"/>
  <c r="P61" i="1"/>
  <c r="P25" i="1"/>
  <c r="P456" i="1"/>
  <c r="P432" i="1"/>
  <c r="P440" i="1"/>
  <c r="P464" i="1"/>
  <c r="P472" i="1"/>
  <c r="P448" i="1"/>
  <c r="P412" i="1"/>
  <c r="P642" i="1"/>
  <c r="P644" i="1"/>
  <c r="P419" i="1"/>
  <c r="P425" i="1"/>
  <c r="P646" i="1"/>
  <c r="P524" i="1"/>
  <c r="P500" i="1"/>
  <c r="P508" i="1"/>
  <c r="P532" i="1"/>
  <c r="P414" i="1"/>
  <c r="P516" i="1"/>
  <c r="P476" i="1"/>
  <c r="P452" i="1"/>
  <c r="P460" i="1"/>
  <c r="P484" i="1"/>
  <c r="P492" i="1"/>
  <c r="P468" i="1"/>
  <c r="P462" i="1"/>
  <c r="P438" i="1"/>
  <c r="P446" i="1"/>
  <c r="P470" i="1"/>
  <c r="P478" i="1"/>
  <c r="P454" i="1"/>
  <c r="P417" i="1"/>
  <c r="P615" i="1"/>
  <c r="P620" i="1"/>
  <c r="P423" i="1"/>
  <c r="P430" i="1"/>
  <c r="P625" i="1"/>
  <c r="P1120" i="1"/>
  <c r="P1107" i="1"/>
  <c r="P1115" i="1"/>
  <c r="P1140" i="1"/>
  <c r="P1135" i="1"/>
  <c r="P1116" i="1"/>
  <c r="R1116" i="1" s="1"/>
  <c r="P1124" i="1"/>
  <c r="P1106" i="1"/>
  <c r="P1122" i="1"/>
  <c r="P1118" i="1"/>
  <c r="P1105" i="1"/>
  <c r="P1123" i="1"/>
  <c r="P1270" i="1"/>
  <c r="P1234" i="1"/>
  <c r="P1253" i="1"/>
  <c r="P1268" i="1"/>
  <c r="P1254" i="1"/>
  <c r="P1251" i="1"/>
  <c r="P1239" i="1"/>
  <c r="P1232" i="1"/>
  <c r="P1217" i="1"/>
  <c r="P1230" i="1"/>
  <c r="P1231" i="1"/>
  <c r="P1220" i="1"/>
  <c r="P1390" i="1"/>
  <c r="P1349" i="1"/>
  <c r="P1361" i="1"/>
  <c r="P1378" i="1"/>
  <c r="P1374" i="1"/>
  <c r="P1376" i="1"/>
  <c r="P1348" i="1"/>
  <c r="P1357" i="1"/>
  <c r="P1359" i="1"/>
  <c r="P1358" i="1"/>
  <c r="P1363" i="1"/>
  <c r="P1344" i="1"/>
  <c r="P1508" i="1"/>
  <c r="P1525" i="1"/>
  <c r="P1511" i="1"/>
  <c r="P1510" i="1"/>
  <c r="P1520" i="1"/>
  <c r="P1523" i="1"/>
  <c r="P1497" i="1"/>
  <c r="P1482" i="1"/>
  <c r="P1486" i="1"/>
  <c r="P1487" i="1"/>
  <c r="P1513" i="1"/>
  <c r="P1498" i="1"/>
  <c r="P1636" i="1"/>
  <c r="P1643" i="1"/>
  <c r="P1637" i="1"/>
  <c r="P1638" i="1"/>
  <c r="P1644" i="1"/>
  <c r="P1645" i="1"/>
  <c r="P1628" i="1"/>
  <c r="P1629" i="1"/>
  <c r="P1619" i="1"/>
  <c r="P1627" i="1"/>
  <c r="P1635" i="1"/>
  <c r="P1621" i="1"/>
  <c r="P1746" i="1"/>
  <c r="P1743" i="1"/>
  <c r="P1745" i="1"/>
  <c r="P1747" i="1"/>
  <c r="P1750" i="1"/>
  <c r="P1748" i="1"/>
  <c r="P1740" i="1"/>
  <c r="P1737" i="1"/>
  <c r="P1734" i="1"/>
  <c r="P1742" i="1"/>
  <c r="P1739" i="1"/>
  <c r="P1736" i="1"/>
  <c r="P1337" i="1"/>
  <c r="P1338" i="1"/>
  <c r="P1323" i="1"/>
  <c r="P1352" i="1"/>
  <c r="P1366" i="1"/>
  <c r="P1324" i="1"/>
  <c r="P1308" i="1"/>
  <c r="P1291" i="1"/>
  <c r="P1307" i="1"/>
  <c r="P1309" i="1"/>
  <c r="P1322" i="1"/>
  <c r="P1293" i="1"/>
  <c r="P1663" i="1"/>
  <c r="P1639" i="1"/>
  <c r="P1647" i="1"/>
  <c r="P1654" i="1"/>
  <c r="P1662" i="1"/>
  <c r="P1655" i="1"/>
  <c r="P1632" i="1"/>
  <c r="P1622" i="1"/>
  <c r="P1640" i="1"/>
  <c r="P1648" i="1"/>
  <c r="P1631" i="1"/>
  <c r="P1278" i="1"/>
  <c r="P1258" i="1"/>
  <c r="P1276" i="1"/>
  <c r="P1260" i="1"/>
  <c r="P1295" i="1"/>
  <c r="P1277" i="1"/>
  <c r="P1227" i="1"/>
  <c r="P1243" i="1"/>
  <c r="P1259" i="1"/>
  <c r="P1244" i="1"/>
  <c r="P1563" i="1"/>
  <c r="P1553" i="1"/>
  <c r="P1552" i="1"/>
  <c r="P1575" i="1"/>
  <c r="P1574" i="1"/>
  <c r="P1564" i="1"/>
  <c r="P1540" i="1"/>
  <c r="P1528" i="1"/>
  <c r="P1529" i="1"/>
  <c r="P1541" i="1"/>
  <c r="P1542" i="1"/>
  <c r="P1530" i="1"/>
  <c r="P1383" i="1"/>
  <c r="P1370" i="1"/>
  <c r="P1384" i="1"/>
  <c r="P1398" i="1"/>
  <c r="P1411" i="1"/>
  <c r="P1397" i="1"/>
  <c r="P1355" i="1"/>
  <c r="P1341" i="1"/>
  <c r="P1327" i="1"/>
  <c r="P1369" i="1"/>
  <c r="P1356" i="1"/>
  <c r="P1342" i="1"/>
  <c r="P662" i="1"/>
  <c r="P658" i="1"/>
  <c r="P659" i="1"/>
  <c r="P663" i="1"/>
  <c r="P664" i="1"/>
  <c r="P660" i="1"/>
  <c r="P650" i="1"/>
  <c r="P649" i="1"/>
  <c r="P648" i="1"/>
  <c r="P654" i="1"/>
  <c r="P653" i="1"/>
  <c r="P651" i="1"/>
  <c r="P738" i="1"/>
  <c r="P733" i="1"/>
  <c r="P739" i="1"/>
  <c r="P740" i="1"/>
  <c r="P734" i="1"/>
  <c r="P729" i="1"/>
  <c r="P723" i="1"/>
  <c r="P724" i="1"/>
  <c r="P728" i="1"/>
  <c r="P732" i="1"/>
  <c r="P725" i="1"/>
  <c r="P822" i="1"/>
  <c r="P816" i="1"/>
  <c r="P821" i="1"/>
  <c r="P826" i="1"/>
  <c r="P817" i="1"/>
  <c r="P810" i="1"/>
  <c r="P805" i="1"/>
  <c r="P806" i="1"/>
  <c r="P811" i="1"/>
  <c r="P815" i="1"/>
  <c r="P809" i="1"/>
  <c r="P889" i="1"/>
  <c r="P886" i="1"/>
  <c r="P890" i="1"/>
  <c r="P891" i="1"/>
  <c r="P887" i="1"/>
  <c r="P880" i="1"/>
  <c r="P882" i="1"/>
  <c r="P885" i="1"/>
  <c r="P881" i="1"/>
  <c r="P954" i="1"/>
  <c r="P949" i="1"/>
  <c r="P955" i="1"/>
  <c r="P956" i="1"/>
  <c r="P950" i="1"/>
  <c r="P941" i="1"/>
  <c r="P942" i="1"/>
  <c r="P944" i="1"/>
  <c r="P948" i="1"/>
  <c r="P945" i="1"/>
  <c r="P1010" i="1"/>
  <c r="P1008" i="1"/>
  <c r="P1011" i="1"/>
  <c r="P1013" i="1"/>
  <c r="P1009" i="1"/>
  <c r="P997" i="1"/>
  <c r="P996" i="1"/>
  <c r="P999" i="1"/>
  <c r="P1000" i="1"/>
  <c r="P998" i="1"/>
  <c r="P1045" i="1"/>
  <c r="P1048" i="1"/>
  <c r="P1049" i="1"/>
  <c r="P1047" i="1"/>
  <c r="P1039" i="1"/>
  <c r="P1041" i="1"/>
  <c r="P1043" i="1"/>
  <c r="P1044" i="1"/>
  <c r="P1042" i="1"/>
  <c r="P1075" i="1"/>
  <c r="P1078" i="1"/>
  <c r="P1080" i="1"/>
  <c r="P1077" i="1"/>
  <c r="P1070" i="1"/>
  <c r="P1072" i="1"/>
  <c r="P1073" i="1"/>
  <c r="P1076" i="1"/>
  <c r="P1074" i="1"/>
  <c r="P673" i="1"/>
  <c r="P678" i="1"/>
  <c r="P679" i="1"/>
  <c r="P674" i="1"/>
  <c r="P661" i="1"/>
  <c r="P668" i="1"/>
  <c r="P672" i="1"/>
  <c r="P665" i="1"/>
  <c r="P704" i="1"/>
  <c r="P708" i="1"/>
  <c r="P743" i="1"/>
  <c r="P747" i="1"/>
  <c r="P736" i="1"/>
  <c r="P737" i="1"/>
  <c r="P741" i="1"/>
  <c r="P742" i="1"/>
  <c r="P773" i="1"/>
  <c r="P778" i="1"/>
  <c r="P779" i="1"/>
  <c r="P777" i="1"/>
  <c r="P766" i="1"/>
  <c r="P767" i="1"/>
  <c r="P771" i="1"/>
  <c r="P772" i="1"/>
  <c r="P802" i="1"/>
  <c r="P808" i="1"/>
  <c r="P807" i="1"/>
  <c r="P803" i="1"/>
  <c r="P797" i="1"/>
  <c r="P801" i="1"/>
  <c r="P831" i="1"/>
  <c r="P836" i="1"/>
  <c r="P837" i="1"/>
  <c r="P835" i="1"/>
  <c r="P824" i="1"/>
  <c r="P825" i="1"/>
  <c r="P829" i="1"/>
  <c r="P830" i="1"/>
  <c r="P859" i="1"/>
  <c r="P863" i="1"/>
  <c r="P862" i="1"/>
  <c r="P860" i="1"/>
  <c r="P853" i="1"/>
  <c r="P854" i="1"/>
  <c r="P858" i="1"/>
  <c r="P888" i="1"/>
  <c r="P893" i="1"/>
  <c r="P894" i="1"/>
  <c r="P892" i="1"/>
  <c r="P879" i="1"/>
  <c r="P884" i="1"/>
  <c r="P883" i="1"/>
  <c r="P914" i="1"/>
  <c r="P915" i="1"/>
  <c r="P916" i="1"/>
  <c r="P904" i="1"/>
  <c r="P910" i="1"/>
  <c r="P909" i="1"/>
  <c r="P927" i="1"/>
  <c r="P932" i="1"/>
  <c r="P933" i="1"/>
  <c r="P924" i="1"/>
  <c r="P928" i="1"/>
  <c r="P938" i="1"/>
  <c r="P943" i="1"/>
  <c r="P951" i="1"/>
  <c r="P952" i="1"/>
  <c r="P957" i="1"/>
  <c r="P962" i="1"/>
  <c r="P970" i="1"/>
  <c r="P977" i="1"/>
  <c r="P976" i="1"/>
  <c r="P981" i="1"/>
  <c r="P40" i="1"/>
  <c r="P343" i="1"/>
  <c r="P147" i="1"/>
  <c r="P138" i="1"/>
  <c r="P144" i="1"/>
  <c r="P151" i="1"/>
  <c r="P145" i="1"/>
  <c r="P480" i="1"/>
  <c r="P421" i="1"/>
  <c r="P486" i="1"/>
  <c r="P1154" i="1"/>
  <c r="P1249" i="1"/>
  <c r="P1388" i="1"/>
  <c r="P1522" i="1"/>
  <c r="P1646" i="1"/>
  <c r="P1752" i="1"/>
  <c r="P1351" i="1"/>
  <c r="P1671" i="1"/>
  <c r="P1294" i="1"/>
  <c r="P1586" i="1"/>
  <c r="P1425" i="1"/>
  <c r="P667" i="1"/>
  <c r="P744" i="1"/>
  <c r="P827" i="1"/>
  <c r="P895" i="1"/>
  <c r="P959" i="1"/>
  <c r="P1012" i="1"/>
  <c r="R1012" i="1" s="1"/>
  <c r="P1050" i="1"/>
  <c r="P709" i="1"/>
  <c r="P748" i="1"/>
  <c r="P783" i="1"/>
  <c r="P812" i="1"/>
  <c r="P842" i="1"/>
  <c r="P867" i="1"/>
  <c r="P898" i="1"/>
  <c r="P920" i="1"/>
  <c r="P934" i="1"/>
  <c r="P947" i="1"/>
  <c r="P953" i="1"/>
  <c r="P966" i="1"/>
  <c r="P971" i="1"/>
  <c r="P351" i="1"/>
  <c r="P159" i="1"/>
  <c r="P150" i="1"/>
  <c r="P156" i="1"/>
  <c r="P163" i="1"/>
  <c r="P157" i="1"/>
  <c r="P488" i="1"/>
  <c r="P427" i="1"/>
  <c r="P494" i="1"/>
  <c r="P1152" i="1"/>
  <c r="P1271" i="1"/>
  <c r="P1371" i="1"/>
  <c r="P1509" i="1"/>
  <c r="P1653" i="1"/>
  <c r="P1749" i="1"/>
  <c r="P1365" i="1"/>
  <c r="P1678" i="1"/>
  <c r="P1311" i="1"/>
  <c r="P1585" i="1"/>
  <c r="P1412" i="1"/>
  <c r="P666" i="1"/>
  <c r="P745" i="1"/>
  <c r="P828" i="1"/>
  <c r="P896" i="1"/>
  <c r="P960" i="1"/>
  <c r="P1014" i="1"/>
  <c r="P1051" i="1"/>
  <c r="P710" i="1"/>
  <c r="P375" i="1"/>
  <c r="P186" i="1"/>
  <c r="P192" i="1"/>
  <c r="P199" i="1"/>
  <c r="P193" i="1"/>
  <c r="P512" i="1"/>
  <c r="R512" i="1" s="1"/>
  <c r="P450" i="1"/>
  <c r="P518" i="1"/>
  <c r="P1136" i="1"/>
  <c r="P1248" i="1"/>
  <c r="P1387" i="1"/>
  <c r="P1524" i="1"/>
  <c r="P1660" i="1"/>
  <c r="P1756" i="1"/>
  <c r="P1391" i="1"/>
  <c r="P1684" i="1"/>
  <c r="P1326" i="1"/>
  <c r="P1607" i="1"/>
  <c r="P1451" i="1"/>
  <c r="P671" i="1"/>
  <c r="P751" i="1"/>
  <c r="P834" i="1"/>
  <c r="P902" i="1"/>
  <c r="P963" i="1"/>
  <c r="P1021" i="1"/>
  <c r="P1054" i="1"/>
  <c r="P1082" i="1"/>
  <c r="P685" i="1"/>
  <c r="P716" i="1"/>
  <c r="P754" i="1"/>
  <c r="P789" i="1"/>
  <c r="P814" i="1"/>
  <c r="P841" i="1"/>
  <c r="P871" i="1"/>
  <c r="P899" i="1"/>
  <c r="P919" i="1"/>
  <c r="P939" i="1"/>
  <c r="P946" i="1"/>
  <c r="P958" i="1"/>
  <c r="P965" i="1"/>
  <c r="P972" i="1"/>
  <c r="P204" i="1"/>
  <c r="P211" i="1"/>
  <c r="P205" i="1"/>
  <c r="P520" i="1"/>
  <c r="P458" i="1"/>
  <c r="P526" i="1"/>
  <c r="P1149" i="1"/>
  <c r="P1272" i="1"/>
  <c r="P1372" i="1"/>
  <c r="P1536" i="1"/>
  <c r="P1651" i="1"/>
  <c r="P1754" i="1"/>
  <c r="P1379" i="1"/>
  <c r="P367" i="1"/>
  <c r="P183" i="1"/>
  <c r="P174" i="1"/>
  <c r="P180" i="1"/>
  <c r="P187" i="1"/>
  <c r="P181" i="1"/>
  <c r="P504" i="1"/>
  <c r="P442" i="1"/>
  <c r="P510" i="1"/>
  <c r="P1150" i="1"/>
  <c r="P1255" i="1"/>
  <c r="P1385" i="1"/>
  <c r="P1521" i="1"/>
  <c r="P1652" i="1"/>
  <c r="P1753" i="1"/>
  <c r="P1392" i="1"/>
  <c r="P1677" i="1"/>
  <c r="P1296" i="1"/>
  <c r="P1439" i="1"/>
  <c r="P670" i="1"/>
  <c r="P750" i="1"/>
  <c r="P833" i="1"/>
  <c r="P901" i="1"/>
  <c r="P964" i="1"/>
  <c r="P1016" i="1"/>
  <c r="P1053" i="1"/>
  <c r="P1081" i="1"/>
  <c r="P684" i="1"/>
  <c r="P715" i="1"/>
  <c r="P753" i="1"/>
  <c r="P785" i="1"/>
  <c r="P813" i="1"/>
  <c r="R813" i="1" s="1"/>
  <c r="P360" i="1"/>
  <c r="P171" i="1"/>
  <c r="P162" i="1"/>
  <c r="P168" i="1"/>
  <c r="P175" i="1"/>
  <c r="P169" i="1"/>
  <c r="P496" i="1"/>
  <c r="P434" i="1"/>
  <c r="P502" i="1"/>
  <c r="P1138" i="1"/>
  <c r="P1266" i="1"/>
  <c r="P1373" i="1"/>
  <c r="P1512" i="1"/>
  <c r="P1658" i="1"/>
  <c r="P1751" i="1"/>
  <c r="P1380" i="1"/>
  <c r="P1670" i="1"/>
  <c r="P1310" i="1"/>
  <c r="P1596" i="1"/>
  <c r="P1426" i="1"/>
  <c r="P669" i="1"/>
  <c r="P746" i="1"/>
  <c r="P832" i="1"/>
  <c r="P897" i="1"/>
  <c r="P961" i="1"/>
  <c r="P1015" i="1"/>
  <c r="P1052" i="1"/>
  <c r="P1079" i="1"/>
  <c r="P680" i="1"/>
  <c r="P714" i="1"/>
  <c r="P749" i="1"/>
  <c r="P784" i="1"/>
  <c r="P389" i="1"/>
  <c r="P207" i="1"/>
  <c r="P210" i="1"/>
  <c r="P228" i="1"/>
  <c r="P235" i="1"/>
  <c r="P229" i="1"/>
  <c r="P536" i="1"/>
  <c r="P474" i="1"/>
  <c r="P416" i="1"/>
  <c r="P1132" i="1"/>
  <c r="P1246" i="1"/>
  <c r="P1386" i="1"/>
  <c r="P1535" i="1"/>
  <c r="P1659" i="1"/>
  <c r="P1758" i="1"/>
  <c r="P1406" i="1"/>
  <c r="P382" i="1"/>
  <c r="P195" i="1"/>
  <c r="P198" i="1"/>
  <c r="P216" i="1"/>
  <c r="P223" i="1"/>
  <c r="P217" i="1"/>
  <c r="P528" i="1"/>
  <c r="P466" i="1"/>
  <c r="P534" i="1"/>
  <c r="P1141" i="1"/>
  <c r="P1265" i="1"/>
  <c r="P1377" i="1"/>
  <c r="P1549" i="1"/>
  <c r="P1650" i="1"/>
  <c r="P1755" i="1"/>
  <c r="P1393" i="1"/>
  <c r="P1691" i="1"/>
  <c r="P1340" i="1"/>
  <c r="P1606" i="1"/>
  <c r="P1440" i="1"/>
  <c r="P675" i="1"/>
  <c r="P752" i="1"/>
  <c r="P838" i="1"/>
  <c r="P903" i="1"/>
  <c r="P967" i="1"/>
  <c r="P1022" i="1"/>
  <c r="P1057" i="1"/>
  <c r="P1084" i="1"/>
  <c r="P686" i="1"/>
  <c r="P720" i="1"/>
  <c r="P755" i="1"/>
  <c r="P172" i="1"/>
  <c r="O160" i="1"/>
  <c r="O189" i="1"/>
  <c r="O46" i="1"/>
  <c r="O213" i="1"/>
  <c r="O58" i="1"/>
  <c r="O201" i="1"/>
  <c r="O70" i="1"/>
  <c r="O200" i="1"/>
  <c r="O176" i="1"/>
  <c r="O188" i="1"/>
  <c r="O208" i="1"/>
  <c r="O136" i="1"/>
  <c r="O112" i="1"/>
  <c r="O196" i="1"/>
  <c r="O124" i="1"/>
  <c r="O184" i="1"/>
  <c r="O82" i="1"/>
  <c r="O261" i="1"/>
  <c r="O118" i="1"/>
  <c r="O190" i="1"/>
  <c r="O237" i="1"/>
  <c r="O166" i="1"/>
  <c r="O94" i="1"/>
  <c r="O106" i="1"/>
  <c r="O142" i="1"/>
  <c r="O249" i="1"/>
  <c r="O225" i="1"/>
  <c r="O178" i="1"/>
  <c r="O154" i="1"/>
  <c r="O130" i="1"/>
  <c r="O236" i="1"/>
  <c r="O302" i="1"/>
  <c r="O402" i="1"/>
  <c r="O390" i="1"/>
  <c r="O292" i="1"/>
  <c r="O377" i="1"/>
  <c r="O260" i="1"/>
  <c r="O362" i="1"/>
  <c r="O212" i="1"/>
  <c r="O224" i="1"/>
  <c r="O248" i="1"/>
  <c r="O353" i="1"/>
  <c r="O395" i="1"/>
  <c r="O312" i="1"/>
  <c r="O282" i="1"/>
  <c r="O404" i="1"/>
  <c r="O369" i="1"/>
  <c r="O271" i="1"/>
  <c r="O400" i="1"/>
  <c r="O383" i="1"/>
  <c r="O170" i="1"/>
  <c r="O182" i="1"/>
  <c r="O325" i="1"/>
  <c r="O134" i="1"/>
  <c r="O146" i="1"/>
  <c r="O296" i="1"/>
  <c r="O110" i="1"/>
  <c r="O194" i="1"/>
  <c r="O286" i="1"/>
  <c r="O316" i="1"/>
  <c r="O218" i="1"/>
  <c r="O122" i="1"/>
  <c r="O334" i="1"/>
  <c r="O306" i="1"/>
  <c r="O206" i="1"/>
  <c r="O158" i="1"/>
  <c r="O77" i="1"/>
  <c r="O245" i="1"/>
  <c r="O41" i="1"/>
  <c r="O209" i="1"/>
  <c r="O29" i="1"/>
  <c r="O89" i="1"/>
  <c r="O197" i="1"/>
  <c r="O233" i="1"/>
  <c r="O65" i="1"/>
  <c r="O53" i="1"/>
  <c r="O257" i="1"/>
  <c r="O221" i="1"/>
  <c r="O119" i="1"/>
  <c r="O314" i="1"/>
  <c r="O284" i="1"/>
  <c r="O239" i="1"/>
  <c r="O83" i="1"/>
  <c r="O263" i="1"/>
  <c r="O59" i="1"/>
  <c r="O95" i="1"/>
  <c r="O227" i="1"/>
  <c r="O323" i="1"/>
  <c r="O107" i="1"/>
  <c r="O71" i="1"/>
  <c r="O304" i="1"/>
  <c r="O274" i="1"/>
  <c r="O294" i="1"/>
  <c r="O251" i="1"/>
  <c r="O503" i="1"/>
  <c r="O487" i="1"/>
  <c r="O613" i="1"/>
  <c r="O600" i="1"/>
  <c r="O455" i="1"/>
  <c r="O463" i="1"/>
  <c r="O582" i="1"/>
  <c r="O570" i="1"/>
  <c r="O439" i="1"/>
  <c r="O479" i="1"/>
  <c r="O564" i="1"/>
  <c r="O594" i="1"/>
  <c r="O511" i="1"/>
  <c r="O447" i="1"/>
  <c r="O618" i="1"/>
  <c r="O576" i="1"/>
  <c r="O495" i="1"/>
  <c r="O471" i="1"/>
  <c r="O607" i="1"/>
  <c r="O588" i="1"/>
  <c r="O562" i="1"/>
  <c r="O545" i="1"/>
  <c r="O637" i="1"/>
  <c r="O515" i="1"/>
  <c r="O621" i="1"/>
  <c r="O523" i="1"/>
  <c r="O629" i="1"/>
  <c r="O499" i="1"/>
  <c r="O539" i="1"/>
  <c r="O616" i="1"/>
  <c r="O633" i="1"/>
  <c r="O556" i="1"/>
  <c r="O507" i="1"/>
  <c r="O635" i="1"/>
  <c r="O631" i="1"/>
  <c r="O550" i="1"/>
  <c r="O531" i="1"/>
  <c r="O626" i="1"/>
  <c r="O449" i="1"/>
  <c r="O549" i="1"/>
  <c r="O560" i="1"/>
  <c r="O433" i="1"/>
  <c r="O420" i="1"/>
  <c r="O543" i="1"/>
  <c r="O413" i="1"/>
  <c r="O465" i="1"/>
  <c r="O529" i="1"/>
  <c r="O566" i="1"/>
  <c r="O457" i="1"/>
  <c r="O441" i="1"/>
  <c r="O554" i="1"/>
  <c r="O537" i="1"/>
  <c r="O426" i="1"/>
  <c r="O572" i="1"/>
  <c r="O605" i="1"/>
  <c r="O617" i="1"/>
  <c r="O1091" i="1"/>
  <c r="O599" i="1"/>
  <c r="O1129" i="1"/>
  <c r="O1131" i="1"/>
  <c r="O587" i="1"/>
  <c r="O622" i="1"/>
  <c r="O1113" i="1"/>
  <c r="O1096" i="1"/>
  <c r="O611" i="1"/>
  <c r="O593" i="1"/>
  <c r="O1092" i="1"/>
  <c r="O1130" i="1"/>
  <c r="O1095" i="1"/>
  <c r="O1097" i="1"/>
  <c r="O1165" i="1"/>
  <c r="O1208" i="1"/>
  <c r="O1166" i="1"/>
  <c r="O1176" i="1"/>
  <c r="O1193" i="1"/>
  <c r="O1177" i="1"/>
  <c r="O1161" i="1"/>
  <c r="O1205" i="1"/>
  <c r="O1221" i="1"/>
  <c r="O1194" i="1"/>
  <c r="O1160" i="1"/>
  <c r="O1204" i="1"/>
  <c r="O1190" i="1"/>
  <c r="O1180" i="1"/>
  <c r="O1319" i="1"/>
  <c r="O1335" i="1"/>
  <c r="O1282" i="1"/>
  <c r="O1330" i="1"/>
  <c r="O1305" i="1"/>
  <c r="O1303" i="1"/>
  <c r="O1315" i="1"/>
  <c r="O1334" i="1"/>
  <c r="O1336" i="1"/>
  <c r="O1286" i="1"/>
  <c r="O1317" i="1"/>
  <c r="O1320" i="1"/>
  <c r="O1446" i="1"/>
  <c r="O1469" i="1"/>
  <c r="O1442" i="1"/>
  <c r="O1466" i="1"/>
  <c r="O1428" i="1"/>
  <c r="O1471" i="1"/>
  <c r="O1457" i="1"/>
  <c r="O1485" i="1"/>
  <c r="O1458" i="1"/>
  <c r="O1432" i="1"/>
  <c r="O1488" i="1"/>
  <c r="O1465" i="1"/>
  <c r="O1580" i="1"/>
  <c r="O1603" i="1"/>
  <c r="O1609" i="1"/>
  <c r="O1567" i="1"/>
  <c r="O1589" i="1"/>
  <c r="O1559" i="1"/>
  <c r="O1582" i="1"/>
  <c r="O1581" i="1"/>
  <c r="O1602" i="1"/>
  <c r="O1592" i="1"/>
  <c r="O1571" i="1"/>
  <c r="O1611" i="1"/>
  <c r="O1593" i="1"/>
  <c r="O1600" i="1"/>
  <c r="O1702" i="1"/>
  <c r="O1709" i="1"/>
  <c r="O1719" i="1"/>
  <c r="O1694" i="1"/>
  <c r="O1717" i="1"/>
  <c r="O1703" i="1"/>
  <c r="O1695" i="1"/>
  <c r="O1722" i="1"/>
  <c r="O1704" i="1"/>
  <c r="O1693" i="1"/>
  <c r="O1726" i="1"/>
  <c r="O1718" i="1"/>
  <c r="O1712" i="1"/>
  <c r="O1182" i="1"/>
  <c r="O1240" i="1"/>
  <c r="O1184" i="1"/>
  <c r="O1223" i="1"/>
  <c r="O1171" i="1"/>
  <c r="O1183" i="1"/>
  <c r="O1211" i="1"/>
  <c r="O1241" i="1"/>
  <c r="O1170" i="1"/>
  <c r="O1181" i="1"/>
  <c r="O1224" i="1"/>
  <c r="O1222" i="1"/>
  <c r="O1527" i="1"/>
  <c r="O1583" i="1"/>
  <c r="O1502" i="1"/>
  <c r="O1584" i="1"/>
  <c r="O1491" i="1"/>
  <c r="O1526" i="1"/>
  <c r="O1561" i="1"/>
  <c r="O1594" i="1"/>
  <c r="O1514" i="1"/>
  <c r="O1515" i="1"/>
  <c r="O1595" i="1"/>
  <c r="O1572" i="1"/>
  <c r="O1159" i="1"/>
  <c r="O1213" i="1"/>
  <c r="O1128" i="1"/>
  <c r="O1187" i="1"/>
  <c r="O1111" i="1"/>
  <c r="O1110" i="1"/>
  <c r="O1172" i="1"/>
  <c r="O1199" i="1"/>
  <c r="O1145" i="1"/>
  <c r="O1127" i="1"/>
  <c r="O1212" i="1"/>
  <c r="O1200" i="1"/>
  <c r="O1437" i="1"/>
  <c r="O1492" i="1"/>
  <c r="O1424" i="1"/>
  <c r="O1476" i="1"/>
  <c r="O1422" i="1"/>
  <c r="O1436" i="1"/>
  <c r="O1478" i="1"/>
  <c r="O1494" i="1"/>
  <c r="O1410" i="1"/>
  <c r="O1423" i="1"/>
  <c r="O1493" i="1"/>
  <c r="O1477" i="1"/>
  <c r="O1188" i="1"/>
  <c r="O1279" i="1"/>
  <c r="O1685" i="1"/>
  <c r="O1262" i="1"/>
  <c r="O1664" i="1"/>
  <c r="O1699" i="1"/>
  <c r="O1174" i="1"/>
  <c r="O1672" i="1"/>
  <c r="O1261" i="1"/>
  <c r="O1280" i="1"/>
  <c r="O1543" i="1"/>
  <c r="O1626" i="1"/>
  <c r="O1518" i="1"/>
  <c r="O1617" i="1"/>
  <c r="O1519" i="1"/>
  <c r="O1531" i="1"/>
  <c r="O1649" i="1"/>
  <c r="O1608" i="1"/>
  <c r="O699" i="1"/>
  <c r="O713" i="1"/>
  <c r="O694" i="1"/>
  <c r="O711" i="1"/>
  <c r="O695" i="1"/>
  <c r="O693" i="1"/>
  <c r="O712" i="1"/>
  <c r="O707" i="1"/>
  <c r="O776" i="1"/>
  <c r="O794" i="1"/>
  <c r="O775" i="1"/>
  <c r="O792" i="1"/>
  <c r="O780" i="1"/>
  <c r="O774" i="1"/>
  <c r="O793" i="1"/>
  <c r="O788" i="1"/>
  <c r="O857" i="1"/>
  <c r="O874" i="1"/>
  <c r="O855" i="1"/>
  <c r="O869" i="1"/>
  <c r="O861" i="1"/>
  <c r="O856" i="1"/>
  <c r="O870" i="1"/>
  <c r="O868" i="1"/>
  <c r="O922" i="1"/>
  <c r="O931" i="1"/>
  <c r="O917" i="1"/>
  <c r="O929" i="1"/>
  <c r="O921" i="1"/>
  <c r="O918" i="1"/>
  <c r="O935" i="1"/>
  <c r="O930" i="1"/>
  <c r="O980" i="1"/>
  <c r="O991" i="1"/>
  <c r="O995" i="1"/>
  <c r="O978" i="1"/>
  <c r="O983" i="1"/>
  <c r="O979" i="1"/>
  <c r="O993" i="1"/>
  <c r="O992" i="1"/>
  <c r="O1031" i="1"/>
  <c r="O1035" i="1"/>
  <c r="O1036" i="1"/>
  <c r="O1028" i="1"/>
  <c r="O1030" i="1"/>
  <c r="O1027" i="1"/>
  <c r="O1037" i="1"/>
  <c r="O1034" i="1"/>
  <c r="O1065" i="1"/>
  <c r="O1067" i="1"/>
  <c r="O1062" i="1"/>
  <c r="O1064" i="1"/>
  <c r="O1061" i="1"/>
  <c r="O1068" i="1"/>
  <c r="O1087" i="1"/>
  <c r="O656" i="1"/>
  <c r="O652" i="1"/>
  <c r="O1086" i="1"/>
  <c r="O655" i="1"/>
  <c r="O1089" i="1"/>
  <c r="O692" i="1"/>
  <c r="O702" i="1"/>
  <c r="O696" i="1"/>
  <c r="O698" i="1"/>
  <c r="O727" i="1"/>
  <c r="O731" i="1"/>
  <c r="O722" i="1"/>
  <c r="O730" i="1"/>
  <c r="O759" i="1"/>
  <c r="O765" i="1"/>
  <c r="O760" i="1"/>
  <c r="O761" i="1"/>
  <c r="O791" i="1"/>
  <c r="O796" i="1"/>
  <c r="O790" i="1"/>
  <c r="O795" i="1"/>
  <c r="O818" i="1"/>
  <c r="O823" i="1"/>
  <c r="O819" i="1"/>
  <c r="O820" i="1"/>
  <c r="O847" i="1"/>
  <c r="O848" i="1"/>
  <c r="O846" i="1"/>
  <c r="O852" i="1"/>
  <c r="O873" i="1"/>
  <c r="O877" i="1"/>
  <c r="O872" i="1"/>
  <c r="O878" i="1"/>
  <c r="O905" i="1"/>
  <c r="O900" i="1"/>
  <c r="O148" i="1"/>
  <c r="O220" i="1"/>
  <c r="O13" i="1"/>
  <c r="O214" i="1"/>
  <c r="O272" i="1"/>
  <c r="O202" i="1"/>
  <c r="O330" i="1"/>
  <c r="O407" i="1"/>
  <c r="O321" i="1"/>
  <c r="O406" i="1"/>
  <c r="O242" i="1"/>
  <c r="O365" i="1"/>
  <c r="O357" i="1"/>
  <c r="O230" i="1"/>
  <c r="O350" i="1"/>
  <c r="O342" i="1"/>
  <c r="O125" i="1"/>
  <c r="O137" i="1"/>
  <c r="O279" i="1"/>
  <c r="O289" i="1"/>
  <c r="O113" i="1"/>
  <c r="O101" i="1"/>
  <c r="O268" i="1"/>
  <c r="O143" i="1"/>
  <c r="O155" i="1"/>
  <c r="O339" i="1"/>
  <c r="O131" i="1"/>
  <c r="O332" i="1"/>
  <c r="O527" i="1"/>
  <c r="O627" i="1"/>
  <c r="O630" i="1"/>
  <c r="O519" i="1"/>
  <c r="O623" i="1"/>
  <c r="O574" i="1"/>
  <c r="O580" i="1"/>
  <c r="O643" i="1"/>
  <c r="O568" i="1"/>
  <c r="O641" i="1"/>
  <c r="O639" i="1"/>
  <c r="O489" i="1"/>
  <c r="O584" i="1"/>
  <c r="O481" i="1"/>
  <c r="O473" i="1"/>
  <c r="O578" i="1"/>
  <c r="O1103" i="1"/>
  <c r="O1098" i="1"/>
  <c r="O1094" i="1"/>
  <c r="O1090" i="1"/>
  <c r="O1192" i="1"/>
  <c r="O1237" i="1"/>
  <c r="O1235" i="1"/>
  <c r="O1207" i="1"/>
  <c r="O1236" i="1"/>
  <c r="O1321" i="1"/>
  <c r="O1318" i="1"/>
  <c r="O1347" i="1"/>
  <c r="O1362" i="1"/>
  <c r="O1333" i="1"/>
  <c r="O1350" i="1"/>
  <c r="O1456" i="1"/>
  <c r="O1468" i="1"/>
  <c r="O1484" i="1"/>
  <c r="O1470" i="1"/>
  <c r="O1500" i="1"/>
  <c r="O1577" i="1"/>
  <c r="O1599" i="1"/>
  <c r="O1601" i="1"/>
  <c r="U1601" i="1" s="1"/>
  <c r="V1601" i="1" s="1"/>
  <c r="O1590" i="1"/>
  <c r="O1598" i="1"/>
  <c r="O1706" i="1"/>
  <c r="O1707" i="1"/>
  <c r="O1731" i="1"/>
  <c r="O1714" i="1"/>
  <c r="O1728" i="1"/>
  <c r="O1198" i="1"/>
  <c r="O1274" i="1"/>
  <c r="O1195" i="1"/>
  <c r="O1257" i="1"/>
  <c r="O1551" i="1"/>
  <c r="O1614" i="1"/>
  <c r="O1539" i="1"/>
  <c r="O1605" i="1"/>
  <c r="O1144" i="1"/>
  <c r="O1214" i="1"/>
  <c r="O1158" i="1"/>
  <c r="O1201" i="1"/>
  <c r="O1449" i="1"/>
  <c r="O1504" i="1"/>
  <c r="O1450" i="1"/>
  <c r="O1505" i="1"/>
  <c r="O1202" i="1"/>
  <c r="O1312" i="1"/>
  <c r="O1215" i="1"/>
  <c r="O1297" i="1"/>
  <c r="O1565" i="1"/>
  <c r="O1665" i="1"/>
  <c r="O1554" i="1"/>
  <c r="O1657" i="1"/>
  <c r="O701" i="1"/>
  <c r="O718" i="1"/>
  <c r="O700" i="1"/>
  <c r="O717" i="1"/>
  <c r="O782" i="1"/>
  <c r="O799" i="1"/>
  <c r="O781" i="1"/>
  <c r="O798" i="1"/>
  <c r="O865" i="1"/>
  <c r="O876" i="1"/>
  <c r="O864" i="1"/>
  <c r="O875" i="1"/>
  <c r="O926" i="1"/>
  <c r="O937" i="1"/>
  <c r="O923" i="1"/>
  <c r="O936" i="1"/>
  <c r="O984" i="1"/>
  <c r="O982" i="1"/>
  <c r="O994" i="1"/>
  <c r="O1033" i="1"/>
  <c r="O1040" i="1"/>
  <c r="O1032" i="1"/>
  <c r="O1066" i="1"/>
  <c r="O1071" i="1"/>
  <c r="O1088" i="1"/>
  <c r="O657" i="1"/>
  <c r="O697" i="1"/>
  <c r="O703" i="1"/>
  <c r="O726" i="1"/>
  <c r="O735" i="1"/>
  <c r="O232" i="1"/>
  <c r="O34" i="1"/>
  <c r="O226" i="1"/>
  <c r="O238" i="1"/>
  <c r="O22" i="1"/>
  <c r="O345" i="1"/>
  <c r="O408" i="1"/>
  <c r="O409" i="1"/>
  <c r="O338" i="1"/>
  <c r="O265" i="1"/>
  <c r="O380" i="1"/>
  <c r="O388" i="1"/>
  <c r="O254" i="1"/>
  <c r="O374" i="1"/>
  <c r="O173" i="1"/>
  <c r="O149" i="1"/>
  <c r="O309" i="1"/>
  <c r="O318" i="1"/>
  <c r="O161" i="1"/>
  <c r="O299" i="1"/>
  <c r="O191" i="1"/>
  <c r="O167" i="1"/>
  <c r="O348" i="1"/>
  <c r="O356" i="1"/>
  <c r="O364" i="1"/>
  <c r="O179" i="1"/>
  <c r="O541" i="1"/>
  <c r="O547" i="1"/>
  <c r="O632" i="1"/>
  <c r="O636" i="1"/>
  <c r="O634" i="1"/>
  <c r="O535" i="1"/>
  <c r="O598" i="1"/>
  <c r="O592" i="1"/>
  <c r="O645" i="1"/>
  <c r="O647" i="1"/>
  <c r="O586" i="1"/>
  <c r="O505" i="1"/>
  <c r="O590" i="1"/>
  <c r="O596" i="1"/>
  <c r="O497" i="1"/>
  <c r="O1102" i="1"/>
  <c r="O1117" i="1"/>
  <c r="O1104" i="1"/>
  <c r="O1114" i="1"/>
  <c r="O1189" i="1"/>
  <c r="O1233" i="1"/>
  <c r="O1216" i="1"/>
  <c r="O1219" i="1"/>
  <c r="O1206" i="1"/>
  <c r="O1314" i="1"/>
  <c r="O1316" i="1"/>
  <c r="U1316" i="1" s="1"/>
  <c r="V1316" i="1" s="1"/>
  <c r="O1364" i="1"/>
  <c r="O1360" i="1"/>
  <c r="O1346" i="1"/>
  <c r="O1332" i="1"/>
  <c r="O1472" i="1"/>
  <c r="O1455" i="1"/>
  <c r="O1481" i="1"/>
  <c r="O1499" i="1"/>
  <c r="O1453" i="1"/>
  <c r="O1588" i="1"/>
  <c r="O1579" i="1"/>
  <c r="O1618" i="1"/>
  <c r="O1612" i="1"/>
  <c r="O1610" i="1"/>
  <c r="O1713" i="1"/>
  <c r="O1708" i="1"/>
  <c r="O1715" i="1"/>
  <c r="O1729" i="1"/>
  <c r="O1725" i="1"/>
  <c r="O1209" i="1"/>
  <c r="O1210" i="1"/>
  <c r="O1256" i="1"/>
  <c r="O1275" i="1"/>
  <c r="O1273" i="1"/>
  <c r="O1562" i="1"/>
  <c r="O1538" i="1"/>
  <c r="O1550" i="1"/>
  <c r="O1613" i="1"/>
  <c r="O1604" i="1"/>
  <c r="O1186" i="1"/>
  <c r="O1173" i="1"/>
  <c r="O1225" i="1"/>
  <c r="O1226" i="1"/>
  <c r="O1462" i="1"/>
  <c r="O1438" i="1"/>
  <c r="O1517" i="1"/>
  <c r="O1228" i="1"/>
  <c r="O1229" i="1"/>
  <c r="O1313" i="1"/>
  <c r="O1298" i="1"/>
  <c r="O1587" i="1"/>
  <c r="O1576" i="1"/>
  <c r="O1700" i="1"/>
  <c r="O1692" i="1"/>
  <c r="O706" i="1"/>
  <c r="O705" i="1"/>
  <c r="O786" i="1"/>
  <c r="O800" i="1"/>
  <c r="O866" i="1"/>
  <c r="O925" i="1"/>
  <c r="O985" i="1"/>
  <c r="O276" i="1"/>
  <c r="O394" i="1"/>
  <c r="O326" i="1"/>
  <c r="O185" i="1"/>
  <c r="O215" i="1"/>
  <c r="O203" i="1"/>
  <c r="O371" i="1"/>
  <c r="O558" i="1"/>
  <c r="O640" i="1"/>
  <c r="O552" i="1"/>
  <c r="O638" i="1"/>
  <c r="O610" i="1"/>
  <c r="O444" i="1"/>
  <c r="O604" i="1"/>
  <c r="O436" i="1"/>
  <c r="O521" i="1"/>
  <c r="O609" i="1"/>
  <c r="O513" i="1"/>
  <c r="O602" i="1"/>
  <c r="O1101" i="1"/>
  <c r="O1119" i="1"/>
  <c r="O1112" i="1"/>
  <c r="O1121" i="1"/>
  <c r="O1203" i="1"/>
  <c r="O1238" i="1"/>
  <c r="O1191" i="1"/>
  <c r="U1191" i="1" s="1"/>
  <c r="V1191" i="1" s="1"/>
  <c r="O1218" i="1"/>
  <c r="O1331" i="1"/>
  <c r="O1345" i="1"/>
  <c r="O1329" i="1"/>
  <c r="O1343" i="1"/>
  <c r="O1454" i="1"/>
  <c r="O1501" i="1"/>
  <c r="O1467" i="1"/>
  <c r="O1483" i="1"/>
  <c r="O1578" i="1"/>
  <c r="O1620" i="1"/>
  <c r="O1591" i="1"/>
  <c r="O1630" i="1"/>
  <c r="O1723" i="1"/>
  <c r="O1733" i="1"/>
  <c r="O1720" i="1"/>
  <c r="O1730" i="1"/>
  <c r="O1197" i="1"/>
  <c r="O1292" i="1"/>
  <c r="O1196" i="1"/>
  <c r="O1573" i="1"/>
  <c r="O1623" i="1"/>
  <c r="O1185" i="1"/>
  <c r="O1242" i="1"/>
  <c r="O1461" i="1"/>
  <c r="O1516" i="1"/>
  <c r="O1245" i="1"/>
  <c r="O1328" i="1"/>
  <c r="O1597" i="1"/>
  <c r="O719" i="1"/>
  <c r="O787" i="1"/>
  <c r="O804" i="1"/>
  <c r="O940" i="1"/>
  <c r="O986" i="1"/>
  <c r="O52" i="1"/>
  <c r="O64" i="1"/>
  <c r="O76" i="1"/>
  <c r="O88" i="1"/>
  <c r="O4" i="1"/>
  <c r="O11" i="1"/>
  <c r="O57" i="1"/>
  <c r="O81" i="1"/>
  <c r="O69" i="1"/>
  <c r="O129" i="1"/>
  <c r="O105" i="1"/>
  <c r="O117" i="1"/>
  <c r="O165" i="1"/>
  <c r="O153" i="1"/>
  <c r="O243" i="1"/>
  <c r="O219" i="1"/>
  <c r="O231" i="1"/>
  <c r="O287" i="1"/>
  <c r="O307" i="1"/>
  <c r="O297" i="1"/>
  <c r="O56" i="1"/>
  <c r="O32" i="1"/>
  <c r="O44" i="1"/>
  <c r="O128" i="1"/>
  <c r="O104" i="1"/>
  <c r="O116" i="1"/>
  <c r="O246" i="1"/>
  <c r="O222" i="1"/>
  <c r="O234" i="1"/>
  <c r="O290" i="1"/>
  <c r="O310" i="1"/>
  <c r="O300" i="1"/>
  <c r="O359" i="1"/>
  <c r="O344" i="1"/>
  <c r="O352" i="1"/>
  <c r="O62" i="1"/>
  <c r="O38" i="1"/>
  <c r="O50" i="1"/>
  <c r="O262" i="1"/>
  <c r="O240" i="1"/>
  <c r="O252" i="1"/>
  <c r="O303" i="1"/>
  <c r="O322" i="1"/>
  <c r="O313" i="1"/>
  <c r="O355" i="1"/>
  <c r="O347" i="1"/>
  <c r="O392" i="1"/>
  <c r="O378" i="1"/>
  <c r="O385" i="1"/>
  <c r="O270" i="1"/>
  <c r="O247" i="1"/>
  <c r="O259" i="1"/>
  <c r="O311" i="1"/>
  <c r="O329" i="1"/>
  <c r="O320" i="1"/>
  <c r="O376" i="1"/>
  <c r="O361" i="1"/>
  <c r="O370" i="1"/>
  <c r="O405" i="1"/>
  <c r="O401" i="1"/>
  <c r="O403" i="1"/>
  <c r="O264" i="1"/>
  <c r="O241" i="1"/>
  <c r="O253" i="1"/>
  <c r="O305" i="1"/>
  <c r="O324" i="1"/>
  <c r="O315" i="1"/>
  <c r="O373" i="1"/>
  <c r="O358" i="1"/>
  <c r="O366" i="1"/>
  <c r="O411" i="1"/>
  <c r="O399" i="1"/>
  <c r="O410" i="1"/>
  <c r="O553" i="1"/>
  <c r="O542" i="1"/>
  <c r="O548" i="1"/>
  <c r="O577" i="1"/>
  <c r="O589" i="1"/>
  <c r="O583" i="1"/>
  <c r="O428" i="1"/>
  <c r="O612" i="1"/>
  <c r="O415" i="1"/>
  <c r="O475" i="1"/>
  <c r="O459" i="1"/>
  <c r="O467" i="1"/>
  <c r="O498" i="1"/>
  <c r="O482" i="1"/>
  <c r="O490" i="1"/>
  <c r="O530" i="1"/>
  <c r="O544" i="1"/>
  <c r="O538" i="1"/>
  <c r="O579" i="1"/>
  <c r="O573" i="1"/>
  <c r="O614" i="1"/>
  <c r="O603" i="1"/>
  <c r="O608" i="1"/>
  <c r="O437" i="1"/>
  <c r="O422" i="1"/>
  <c r="O429" i="1"/>
  <c r="O469" i="1"/>
  <c r="O485" i="1"/>
  <c r="O477" i="1"/>
  <c r="O525" i="1"/>
  <c r="O509" i="1"/>
  <c r="O517" i="1"/>
  <c r="O563" i="1"/>
  <c r="O551" i="1"/>
  <c r="O557" i="1"/>
  <c r="O1148" i="1"/>
  <c r="O1134" i="1"/>
  <c r="O1155" i="1"/>
  <c r="O1153" i="1"/>
  <c r="O1164" i="1"/>
  <c r="O1151" i="1"/>
  <c r="O1167" i="1"/>
  <c r="O1178" i="1"/>
  <c r="O1168" i="1"/>
  <c r="O1163" i="1"/>
  <c r="O1269" i="1"/>
  <c r="O1252" i="1"/>
  <c r="O1263" i="1"/>
  <c r="O1267" i="1"/>
  <c r="O1288" i="1"/>
  <c r="O1289" i="1"/>
  <c r="O1304" i="1"/>
  <c r="O1302" i="1"/>
  <c r="O1285" i="1"/>
  <c r="O1301" i="1"/>
  <c r="O1283" i="1"/>
  <c r="O1299" i="1"/>
  <c r="O1403" i="1"/>
  <c r="O1389" i="1"/>
  <c r="O1375" i="1"/>
  <c r="O1399" i="1"/>
  <c r="O1413" i="1"/>
  <c r="O1401" i="1"/>
  <c r="O1417" i="1"/>
  <c r="O1404" i="1"/>
  <c r="O1414" i="1"/>
  <c r="O1427" i="1"/>
  <c r="O1430" i="1"/>
  <c r="O1444" i="1"/>
  <c r="O1547" i="1"/>
  <c r="O1532" i="1"/>
  <c r="O1546" i="1"/>
  <c r="O1537" i="1"/>
  <c r="O1533" i="1"/>
  <c r="O1560" i="1"/>
  <c r="O1548" i="1"/>
  <c r="O1557" i="1"/>
  <c r="O1569" i="1"/>
  <c r="O1555" i="1"/>
  <c r="O1673" i="1"/>
  <c r="O1661" i="1"/>
  <c r="O1669" i="1"/>
  <c r="O1667" i="1"/>
  <c r="O1674" i="1"/>
  <c r="O1666" i="1"/>
  <c r="O1689" i="1"/>
  <c r="O1679" i="1"/>
  <c r="O1687" i="1"/>
  <c r="O1680" i="1"/>
  <c r="O1682" i="1"/>
  <c r="O1760" i="1"/>
  <c r="O1759" i="1"/>
  <c r="O1757" i="1"/>
  <c r="O1761" i="1"/>
  <c r="O1766" i="1"/>
  <c r="O1764" i="1"/>
  <c r="O1099" i="1"/>
  <c r="O1093" i="1"/>
  <c r="O1143" i="1"/>
  <c r="O1108" i="1"/>
  <c r="O1125" i="1"/>
  <c r="O1419" i="1"/>
  <c r="O1405" i="1"/>
  <c r="O1420" i="1"/>
  <c r="O1434" i="1"/>
  <c r="O1448" i="1"/>
  <c r="O1433" i="1"/>
  <c r="O1460" i="1"/>
  <c r="O1447" i="1"/>
  <c r="O1475" i="1"/>
  <c r="O1473" i="1"/>
  <c r="O1459" i="1"/>
  <c r="O1698" i="1"/>
  <c r="O1683" i="1"/>
  <c r="O1690" i="1"/>
  <c r="O1711" i="1"/>
  <c r="O1716" i="1"/>
  <c r="O1724" i="1"/>
  <c r="O1721" i="1"/>
  <c r="O1738" i="1"/>
  <c r="O1732" i="1"/>
  <c r="O1735" i="1"/>
  <c r="O1354" i="1"/>
  <c r="O1339" i="1"/>
  <c r="O1325" i="1"/>
  <c r="O1368" i="1"/>
  <c r="O1382" i="1"/>
  <c r="O1353" i="1"/>
  <c r="O1396" i="1"/>
  <c r="O1394" i="1"/>
  <c r="O1395" i="1"/>
  <c r="O1625" i="1"/>
  <c r="O1616" i="1"/>
  <c r="O1615" i="1"/>
  <c r="O1624" i="1"/>
  <c r="O1633" i="1"/>
  <c r="O1656" i="1"/>
  <c r="O1642" i="1"/>
  <c r="O1641" i="1"/>
  <c r="O1479" i="1"/>
  <c r="O1452" i="1"/>
  <c r="O1463" i="1"/>
  <c r="O1464" i="1"/>
  <c r="O1495" i="1"/>
  <c r="O1506" i="1"/>
  <c r="O1507" i="1"/>
  <c r="O1496" i="1"/>
  <c r="O677" i="1"/>
  <c r="O676" i="1"/>
  <c r="O681" i="1"/>
  <c r="O683" i="1"/>
  <c r="O689" i="1"/>
  <c r="O687" i="1"/>
  <c r="O688" i="1"/>
  <c r="O758" i="1"/>
  <c r="O756" i="1"/>
  <c r="O757" i="1"/>
  <c r="O762" i="1"/>
  <c r="O764" i="1"/>
  <c r="O770" i="1"/>
  <c r="O768" i="1"/>
  <c r="O769" i="1"/>
  <c r="O840" i="1"/>
  <c r="O839" i="1"/>
  <c r="O843" i="1"/>
  <c r="O845" i="1"/>
  <c r="O851" i="1"/>
  <c r="O849" i="1"/>
  <c r="O850" i="1"/>
  <c r="O907" i="1"/>
  <c r="O906" i="1"/>
  <c r="O911" i="1"/>
  <c r="O913" i="1"/>
  <c r="O912" i="1"/>
  <c r="O969" i="1"/>
  <c r="O968" i="1"/>
  <c r="O973" i="1"/>
  <c r="O975" i="1"/>
  <c r="O974" i="1"/>
  <c r="O1024" i="1"/>
  <c r="O1023" i="1"/>
  <c r="O1025" i="1"/>
  <c r="O1026" i="1"/>
  <c r="O1058" i="1"/>
  <c r="O1056" i="1"/>
  <c r="O1059" i="1"/>
  <c r="O1060" i="1"/>
  <c r="O1083" i="1"/>
  <c r="O1085" i="1"/>
  <c r="O690" i="1"/>
  <c r="O691" i="1"/>
  <c r="O721" i="1"/>
  <c r="O100" i="1"/>
  <c r="O21" i="1"/>
  <c r="O45" i="1"/>
  <c r="O33" i="1"/>
  <c r="O93" i="1"/>
  <c r="O141" i="1"/>
  <c r="O177" i="1"/>
  <c r="O255" i="1"/>
  <c r="O277" i="1"/>
  <c r="O266" i="1"/>
  <c r="O20" i="1"/>
  <c r="O5" i="1"/>
  <c r="O10" i="1"/>
  <c r="O92" i="1"/>
  <c r="O68" i="1"/>
  <c r="O80" i="1"/>
  <c r="O152" i="1"/>
  <c r="O164" i="1"/>
  <c r="O140" i="1"/>
  <c r="O258" i="1"/>
  <c r="O280" i="1"/>
  <c r="O269" i="1"/>
  <c r="O336" i="1"/>
  <c r="O319" i="1"/>
  <c r="O328" i="1"/>
  <c r="O26" i="1"/>
  <c r="O368" i="1"/>
  <c r="O15" i="1"/>
  <c r="O86" i="1"/>
  <c r="O98" i="1"/>
  <c r="O74" i="1"/>
  <c r="O273" i="1"/>
  <c r="O293" i="1"/>
  <c r="O283" i="1"/>
  <c r="O331" i="1"/>
  <c r="O340" i="1"/>
  <c r="O372" i="1"/>
  <c r="O363" i="1"/>
  <c r="O7" i="1"/>
  <c r="O17" i="1"/>
  <c r="O397" i="1"/>
  <c r="O281" i="1"/>
  <c r="O301" i="1"/>
  <c r="O291" i="1"/>
  <c r="O354" i="1"/>
  <c r="O337" i="1"/>
  <c r="O346" i="1"/>
  <c r="O396" i="1"/>
  <c r="O384" i="1"/>
  <c r="O391" i="1"/>
  <c r="O35" i="1"/>
  <c r="O47" i="1"/>
  <c r="O23" i="1"/>
  <c r="O275" i="1"/>
  <c r="O295" i="1"/>
  <c r="O285" i="1"/>
  <c r="O349" i="1"/>
  <c r="O333" i="1"/>
  <c r="O341" i="1"/>
  <c r="O393" i="1"/>
  <c r="O381" i="1"/>
  <c r="O387" i="1"/>
  <c r="O424" i="1"/>
  <c r="O431" i="1"/>
  <c r="O418" i="1"/>
  <c r="O559" i="1"/>
  <c r="O571" i="1"/>
  <c r="O565" i="1"/>
  <c r="O606" i="1"/>
  <c r="O595" i="1"/>
  <c r="O601" i="1"/>
  <c r="O451" i="1"/>
  <c r="O435" i="1"/>
  <c r="O443" i="1"/>
  <c r="O491" i="1"/>
  <c r="O483" i="1"/>
  <c r="O506" i="1"/>
  <c r="O522" i="1"/>
  <c r="O514" i="1"/>
  <c r="O567" i="1"/>
  <c r="O555" i="1"/>
  <c r="O561" i="1"/>
  <c r="O597" i="1"/>
  <c r="O585" i="1"/>
  <c r="O591" i="1"/>
  <c r="O624" i="1"/>
  <c r="O628" i="1"/>
  <c r="O619" i="1"/>
  <c r="O445" i="1"/>
  <c r="O461" i="1"/>
  <c r="O453" i="1"/>
  <c r="O493" i="1"/>
  <c r="O501" i="1"/>
  <c r="O546" i="1"/>
  <c r="O533" i="1"/>
  <c r="O540" i="1"/>
  <c r="O575" i="1"/>
  <c r="O581" i="1"/>
  <c r="O569" i="1"/>
  <c r="O1133" i="1"/>
  <c r="O1146" i="1"/>
  <c r="O1139" i="1"/>
  <c r="O1137" i="1"/>
  <c r="O1147" i="1"/>
  <c r="O1179" i="1"/>
  <c r="O1162" i="1"/>
  <c r="O1175" i="1"/>
  <c r="O1169" i="1"/>
  <c r="O1247" i="1"/>
  <c r="O1264" i="1"/>
  <c r="O1250" i="1"/>
  <c r="O1306" i="1"/>
  <c r="O1284" i="1"/>
  <c r="O1290" i="1"/>
  <c r="O1287" i="1"/>
  <c r="O1300" i="1"/>
  <c r="O1281" i="1"/>
  <c r="O1418" i="1"/>
  <c r="O1416" i="1"/>
  <c r="O1402" i="1"/>
  <c r="O1415" i="1"/>
  <c r="O1400" i="1"/>
  <c r="O1445" i="1"/>
  <c r="O1431" i="1"/>
  <c r="O1441" i="1"/>
  <c r="O1443" i="1"/>
  <c r="O1429" i="1"/>
  <c r="O1534" i="1"/>
  <c r="O1544" i="1"/>
  <c r="O1545" i="1"/>
  <c r="O1558" i="1"/>
  <c r="O1570" i="1"/>
  <c r="O1568" i="1"/>
  <c r="O1556" i="1"/>
  <c r="O1566" i="1"/>
  <c r="O1668" i="1"/>
  <c r="O1675" i="1"/>
  <c r="O1676" i="1"/>
  <c r="O1688" i="1"/>
  <c r="O1681" i="1"/>
  <c r="O1696" i="1"/>
  <c r="O1701" i="1"/>
  <c r="O1686" i="1"/>
  <c r="O1762" i="1"/>
  <c r="O1763" i="1"/>
  <c r="O1765" i="1"/>
  <c r="O1126" i="1"/>
  <c r="O1109" i="1"/>
  <c r="O1142" i="1"/>
  <c r="O1156" i="1"/>
  <c r="O1157" i="1"/>
  <c r="O1407" i="1"/>
  <c r="O1421" i="1"/>
  <c r="O1435" i="1"/>
  <c r="O1474" i="1"/>
  <c r="O1489" i="1"/>
  <c r="O1503" i="1"/>
  <c r="O1490" i="1"/>
  <c r="O1697" i="1"/>
  <c r="O1705" i="1"/>
  <c r="O1710" i="1"/>
  <c r="O1727" i="1"/>
  <c r="O1744" i="1"/>
  <c r="O1100" i="1"/>
  <c r="O1741" i="1"/>
  <c r="O1367" i="1"/>
  <c r="O1409" i="1"/>
  <c r="O1408" i="1"/>
  <c r="O1381" i="1"/>
  <c r="O1634" i="1"/>
  <c r="O1480" i="1"/>
  <c r="O682" i="1"/>
  <c r="O763" i="1"/>
  <c r="O844" i="1"/>
  <c r="O908" i="1"/>
  <c r="O16" i="1"/>
  <c r="O3" i="1"/>
  <c r="O6" i="1"/>
  <c r="O28" i="1"/>
  <c r="O327" i="1"/>
  <c r="O308" i="1"/>
  <c r="O317" i="1"/>
  <c r="O335" i="1"/>
  <c r="O278" i="1"/>
  <c r="O244" i="1"/>
  <c r="O256" i="1"/>
  <c r="O288" i="1"/>
  <c r="O298" i="1"/>
  <c r="O267" i="1"/>
  <c r="O111" i="1"/>
  <c r="O75" i="1"/>
  <c r="O87" i="1"/>
  <c r="O123" i="1"/>
  <c r="O135" i="1"/>
  <c r="O99" i="1"/>
  <c r="O39" i="1"/>
  <c r="O250" i="1"/>
  <c r="O14" i="1"/>
  <c r="O51" i="1"/>
  <c r="O63" i="1"/>
  <c r="O27" i="1"/>
  <c r="O102" i="1"/>
  <c r="O66" i="1"/>
  <c r="O78" i="1"/>
  <c r="O114" i="1"/>
  <c r="O126" i="1"/>
  <c r="O90" i="1"/>
  <c r="O30" i="1"/>
  <c r="O2" i="1"/>
  <c r="O8" i="1"/>
  <c r="O42" i="1"/>
  <c r="O54" i="1"/>
  <c r="O18" i="1"/>
  <c r="O108" i="1"/>
  <c r="O72" i="1"/>
  <c r="O84" i="1"/>
  <c r="O120" i="1"/>
  <c r="O132" i="1"/>
  <c r="O96" i="1"/>
  <c r="O36" i="1"/>
  <c r="O398" i="1"/>
  <c r="O12" i="1"/>
  <c r="O48" i="1"/>
  <c r="O60" i="1"/>
  <c r="O24" i="1"/>
  <c r="O115" i="1"/>
  <c r="O79" i="1"/>
  <c r="O91" i="1"/>
  <c r="O127" i="1"/>
  <c r="O139" i="1"/>
  <c r="O103" i="1"/>
  <c r="O43" i="1"/>
  <c r="O9" i="1"/>
  <c r="O19" i="1"/>
  <c r="O55" i="1"/>
  <c r="O67" i="1"/>
  <c r="O31" i="1"/>
  <c r="O109" i="1"/>
  <c r="O73" i="1"/>
  <c r="O85" i="1"/>
  <c r="O121" i="1"/>
  <c r="O133" i="1"/>
  <c r="O97" i="1"/>
  <c r="O37" i="1"/>
  <c r="O379" i="1"/>
  <c r="O386" i="1"/>
  <c r="O49" i="1"/>
  <c r="O61" i="1"/>
  <c r="O25" i="1"/>
  <c r="O456" i="1"/>
  <c r="O432" i="1"/>
  <c r="O440" i="1"/>
  <c r="O464" i="1"/>
  <c r="O472" i="1"/>
  <c r="O448" i="1"/>
  <c r="O412" i="1"/>
  <c r="O642" i="1"/>
  <c r="O644" i="1"/>
  <c r="O419" i="1"/>
  <c r="O425" i="1"/>
  <c r="O646" i="1"/>
  <c r="O524" i="1"/>
  <c r="O500" i="1"/>
  <c r="O508" i="1"/>
  <c r="O532" i="1"/>
  <c r="O414" i="1"/>
  <c r="O516" i="1"/>
  <c r="O476" i="1"/>
  <c r="O452" i="1"/>
  <c r="O460" i="1"/>
  <c r="O484" i="1"/>
  <c r="O492" i="1"/>
  <c r="O468" i="1"/>
  <c r="O462" i="1"/>
  <c r="O438" i="1"/>
  <c r="O446" i="1"/>
  <c r="O470" i="1"/>
  <c r="O478" i="1"/>
  <c r="O454" i="1"/>
  <c r="O417" i="1"/>
  <c r="O615" i="1"/>
  <c r="O620" i="1"/>
  <c r="O423" i="1"/>
  <c r="O430" i="1"/>
  <c r="O625" i="1"/>
  <c r="O1120" i="1"/>
  <c r="O1107" i="1"/>
  <c r="O1115" i="1"/>
  <c r="O1140" i="1"/>
  <c r="O1135" i="1"/>
  <c r="O1116" i="1"/>
  <c r="O1124" i="1"/>
  <c r="O1106" i="1"/>
  <c r="O1122" i="1"/>
  <c r="O1118" i="1"/>
  <c r="U1118" i="1" s="1"/>
  <c r="V1118" i="1" s="1"/>
  <c r="O1105" i="1"/>
  <c r="O1123" i="1"/>
  <c r="O1270" i="1"/>
  <c r="O1234" i="1"/>
  <c r="O1253" i="1"/>
  <c r="O1268" i="1"/>
  <c r="O1254" i="1"/>
  <c r="O1251" i="1"/>
  <c r="O1239" i="1"/>
  <c r="O1232" i="1"/>
  <c r="O1217" i="1"/>
  <c r="O1230" i="1"/>
  <c r="O1231" i="1"/>
  <c r="O1220" i="1"/>
  <c r="U1220" i="1" s="1"/>
  <c r="V1220" i="1" s="1"/>
  <c r="O1390" i="1"/>
  <c r="O1349" i="1"/>
  <c r="O1361" i="1"/>
  <c r="O1378" i="1"/>
  <c r="O1374" i="1"/>
  <c r="U1374" i="1" s="1"/>
  <c r="V1374" i="1" s="1"/>
  <c r="O1376" i="1"/>
  <c r="O1348" i="1"/>
  <c r="O1357" i="1"/>
  <c r="O1359" i="1"/>
  <c r="O1358" i="1"/>
  <c r="O1363" i="1"/>
  <c r="O1344" i="1"/>
  <c r="O1508" i="1"/>
  <c r="O1525" i="1"/>
  <c r="O1511" i="1"/>
  <c r="O1510" i="1"/>
  <c r="O1520" i="1"/>
  <c r="O1523" i="1"/>
  <c r="O1497" i="1"/>
  <c r="O1482" i="1"/>
  <c r="O1486" i="1"/>
  <c r="O1487" i="1"/>
  <c r="O1513" i="1"/>
  <c r="O1498" i="1"/>
  <c r="O1636" i="1"/>
  <c r="O1643" i="1"/>
  <c r="O1637" i="1"/>
  <c r="O1638" i="1"/>
  <c r="O1644" i="1"/>
  <c r="O1645" i="1"/>
  <c r="O1628" i="1"/>
  <c r="O1629" i="1"/>
  <c r="O1619" i="1"/>
  <c r="O1627" i="1"/>
  <c r="O1635" i="1"/>
  <c r="O1621" i="1"/>
  <c r="O1746" i="1"/>
  <c r="O1743" i="1"/>
  <c r="O1745" i="1"/>
  <c r="O1747" i="1"/>
  <c r="O1750" i="1"/>
  <c r="O1748" i="1"/>
  <c r="O1740" i="1"/>
  <c r="O1737" i="1"/>
  <c r="O1734" i="1"/>
  <c r="O1742" i="1"/>
  <c r="O1739" i="1"/>
  <c r="O1736" i="1"/>
  <c r="O1337" i="1"/>
  <c r="O1338" i="1"/>
  <c r="O1323" i="1"/>
  <c r="O1352" i="1"/>
  <c r="O1366" i="1"/>
  <c r="O1324" i="1"/>
  <c r="O1308" i="1"/>
  <c r="O1291" i="1"/>
  <c r="O1307" i="1"/>
  <c r="O1309" i="1"/>
  <c r="O1322" i="1"/>
  <c r="O1293" i="1"/>
  <c r="O1663" i="1"/>
  <c r="O1639" i="1"/>
  <c r="O1647" i="1"/>
  <c r="O1654" i="1"/>
  <c r="O1662" i="1"/>
  <c r="O1655" i="1"/>
  <c r="O1632" i="1"/>
  <c r="O1622" i="1"/>
  <c r="O1640" i="1"/>
  <c r="O1648" i="1"/>
  <c r="O1631" i="1"/>
  <c r="O1278" i="1"/>
  <c r="O1258" i="1"/>
  <c r="O1276" i="1"/>
  <c r="O1260" i="1"/>
  <c r="O1295" i="1"/>
  <c r="O1277" i="1"/>
  <c r="O1227" i="1"/>
  <c r="O1243" i="1"/>
  <c r="O1259" i="1"/>
  <c r="O1244" i="1"/>
  <c r="O1563" i="1"/>
  <c r="O1553" i="1"/>
  <c r="O1552" i="1"/>
  <c r="O1575" i="1"/>
  <c r="O1574" i="1"/>
  <c r="O1564" i="1"/>
  <c r="O1540" i="1"/>
  <c r="O1528" i="1"/>
  <c r="O1529" i="1"/>
  <c r="O1541" i="1"/>
  <c r="O1542" i="1"/>
  <c r="O1530" i="1"/>
  <c r="O1383" i="1"/>
  <c r="O1370" i="1"/>
  <c r="O1384" i="1"/>
  <c r="O1398" i="1"/>
  <c r="O1411" i="1"/>
  <c r="O1397" i="1"/>
  <c r="O1355" i="1"/>
  <c r="O1341" i="1"/>
  <c r="O1327" i="1"/>
  <c r="O1369" i="1"/>
  <c r="O1356" i="1"/>
  <c r="O1342" i="1"/>
  <c r="O662" i="1"/>
  <c r="O658" i="1"/>
  <c r="O659" i="1"/>
  <c r="O663" i="1"/>
  <c r="O664" i="1"/>
  <c r="O660" i="1"/>
  <c r="O650" i="1"/>
  <c r="O649" i="1"/>
  <c r="O648" i="1"/>
  <c r="O654" i="1"/>
  <c r="O653" i="1"/>
  <c r="O651" i="1"/>
  <c r="O738" i="1"/>
  <c r="O733" i="1"/>
  <c r="O739" i="1"/>
  <c r="O740" i="1"/>
  <c r="O734" i="1"/>
  <c r="O729" i="1"/>
  <c r="O723" i="1"/>
  <c r="O724" i="1"/>
  <c r="O728" i="1"/>
  <c r="O732" i="1"/>
  <c r="O725" i="1"/>
  <c r="O822" i="1"/>
  <c r="O816" i="1"/>
  <c r="O821" i="1"/>
  <c r="O826" i="1"/>
  <c r="O817" i="1"/>
  <c r="O810" i="1"/>
  <c r="O805" i="1"/>
  <c r="O806" i="1"/>
  <c r="O811" i="1"/>
  <c r="O815" i="1"/>
  <c r="O809" i="1"/>
  <c r="O889" i="1"/>
  <c r="O886" i="1"/>
  <c r="O890" i="1"/>
  <c r="O891" i="1"/>
  <c r="O887" i="1"/>
  <c r="O880" i="1"/>
  <c r="O882" i="1"/>
  <c r="O885" i="1"/>
  <c r="O881" i="1"/>
  <c r="O954" i="1"/>
  <c r="O949" i="1"/>
  <c r="O955" i="1"/>
  <c r="O956" i="1"/>
  <c r="O950" i="1"/>
  <c r="O941" i="1"/>
  <c r="O942" i="1"/>
  <c r="O944" i="1"/>
  <c r="O948" i="1"/>
  <c r="O945" i="1"/>
  <c r="O1010" i="1"/>
  <c r="O1008" i="1"/>
  <c r="O1011" i="1"/>
  <c r="O1013" i="1"/>
  <c r="O1009" i="1"/>
  <c r="O997" i="1"/>
  <c r="O996" i="1"/>
  <c r="O999" i="1"/>
  <c r="O1000" i="1"/>
  <c r="O998" i="1"/>
  <c r="O1045" i="1"/>
  <c r="O1048" i="1"/>
  <c r="O1049" i="1"/>
  <c r="O1047" i="1"/>
  <c r="O1039" i="1"/>
  <c r="O1041" i="1"/>
  <c r="O1043" i="1"/>
  <c r="O1044" i="1"/>
  <c r="O1042" i="1"/>
  <c r="O1075" i="1"/>
  <c r="O1078" i="1"/>
  <c r="O1080" i="1"/>
  <c r="O1077" i="1"/>
  <c r="O1070" i="1"/>
  <c r="O1072" i="1"/>
  <c r="O1073" i="1"/>
  <c r="O1076" i="1"/>
  <c r="O1074" i="1"/>
  <c r="O673" i="1"/>
  <c r="O678" i="1"/>
  <c r="O679" i="1"/>
  <c r="O674" i="1"/>
  <c r="O661" i="1"/>
  <c r="O668" i="1"/>
  <c r="O672" i="1"/>
  <c r="O665" i="1"/>
  <c r="O704" i="1"/>
  <c r="O708" i="1"/>
  <c r="O743" i="1"/>
  <c r="O747" i="1"/>
  <c r="O736" i="1"/>
  <c r="O737" i="1"/>
  <c r="O741" i="1"/>
  <c r="O742" i="1"/>
  <c r="O773" i="1"/>
  <c r="O778" i="1"/>
  <c r="O779" i="1"/>
  <c r="O777" i="1"/>
  <c r="O766" i="1"/>
  <c r="O767" i="1"/>
  <c r="O771" i="1"/>
  <c r="O772" i="1"/>
  <c r="O802" i="1"/>
  <c r="O808" i="1"/>
  <c r="O807" i="1"/>
  <c r="O803" i="1"/>
  <c r="O797" i="1"/>
  <c r="O801" i="1"/>
  <c r="O831" i="1"/>
  <c r="O836" i="1"/>
  <c r="O837" i="1"/>
  <c r="O835" i="1"/>
  <c r="O824" i="1"/>
  <c r="O825" i="1"/>
  <c r="O829" i="1"/>
  <c r="O830" i="1"/>
  <c r="O859" i="1"/>
  <c r="O863" i="1"/>
  <c r="O862" i="1"/>
  <c r="O860" i="1"/>
  <c r="O853" i="1"/>
  <c r="O854" i="1"/>
  <c r="O858" i="1"/>
  <c r="O888" i="1"/>
  <c r="O893" i="1"/>
  <c r="O894" i="1"/>
  <c r="O892" i="1"/>
  <c r="O879" i="1"/>
  <c r="O884" i="1"/>
  <c r="O883" i="1"/>
  <c r="O914" i="1"/>
  <c r="O915" i="1"/>
  <c r="O916" i="1"/>
  <c r="O904" i="1"/>
  <c r="O910" i="1"/>
  <c r="O909" i="1"/>
  <c r="O927" i="1"/>
  <c r="O932" i="1"/>
  <c r="O933" i="1"/>
  <c r="O924" i="1"/>
  <c r="O928" i="1"/>
  <c r="O938" i="1"/>
  <c r="O943" i="1"/>
  <c r="O951" i="1"/>
  <c r="O952" i="1"/>
  <c r="O957" i="1"/>
  <c r="O962" i="1"/>
  <c r="O970" i="1"/>
  <c r="O977" i="1"/>
  <c r="O976" i="1"/>
  <c r="O981" i="1"/>
  <c r="O40" i="1"/>
  <c r="O343" i="1"/>
  <c r="O147" i="1"/>
  <c r="O138" i="1"/>
  <c r="O144" i="1"/>
  <c r="O151" i="1"/>
  <c r="O145" i="1"/>
  <c r="O480" i="1"/>
  <c r="O421" i="1"/>
  <c r="O486" i="1"/>
  <c r="O1154" i="1"/>
  <c r="O1249" i="1"/>
  <c r="O1388" i="1"/>
  <c r="O1522" i="1"/>
  <c r="O1646" i="1"/>
  <c r="O1752" i="1"/>
  <c r="O1351" i="1"/>
  <c r="O1671" i="1"/>
  <c r="O1294" i="1"/>
  <c r="O1586" i="1"/>
  <c r="O1425" i="1"/>
  <c r="O667" i="1"/>
  <c r="O744" i="1"/>
  <c r="O827" i="1"/>
  <c r="O895" i="1"/>
  <c r="O959" i="1"/>
  <c r="O1012" i="1"/>
  <c r="O1050" i="1"/>
  <c r="O709" i="1"/>
  <c r="O748" i="1"/>
  <c r="O783" i="1"/>
  <c r="O812" i="1"/>
  <c r="O842" i="1"/>
  <c r="O867" i="1"/>
  <c r="O898" i="1"/>
  <c r="O920" i="1"/>
  <c r="O934" i="1"/>
  <c r="O947" i="1"/>
  <c r="O953" i="1"/>
  <c r="O966" i="1"/>
  <c r="O971" i="1"/>
  <c r="O351" i="1"/>
  <c r="O159" i="1"/>
  <c r="O150" i="1"/>
  <c r="O156" i="1"/>
  <c r="O163" i="1"/>
  <c r="O157" i="1"/>
  <c r="O488" i="1"/>
  <c r="O427" i="1"/>
  <c r="O494" i="1"/>
  <c r="O1152" i="1"/>
  <c r="O1271" i="1"/>
  <c r="O1371" i="1"/>
  <c r="O1509" i="1"/>
  <c r="O1653" i="1"/>
  <c r="O1749" i="1"/>
  <c r="O1365" i="1"/>
  <c r="O1678" i="1"/>
  <c r="O1311" i="1"/>
  <c r="O1585" i="1"/>
  <c r="O1412" i="1"/>
  <c r="O666" i="1"/>
  <c r="O745" i="1"/>
  <c r="O828" i="1"/>
  <c r="O896" i="1"/>
  <c r="O960" i="1"/>
  <c r="O1014" i="1"/>
  <c r="O1051" i="1"/>
  <c r="O710" i="1"/>
  <c r="O375" i="1"/>
  <c r="O186" i="1"/>
  <c r="O192" i="1"/>
  <c r="O199" i="1"/>
  <c r="O193" i="1"/>
  <c r="O512" i="1"/>
  <c r="O450" i="1"/>
  <c r="O518" i="1"/>
  <c r="O1136" i="1"/>
  <c r="O1248" i="1"/>
  <c r="O1387" i="1"/>
  <c r="O1524" i="1"/>
  <c r="O1660" i="1"/>
  <c r="O1756" i="1"/>
  <c r="O1391" i="1"/>
  <c r="O1684" i="1"/>
  <c r="O1326" i="1"/>
  <c r="O1607" i="1"/>
  <c r="O1451" i="1"/>
  <c r="O671" i="1"/>
  <c r="O751" i="1"/>
  <c r="O834" i="1"/>
  <c r="O902" i="1"/>
  <c r="O963" i="1"/>
  <c r="O1021" i="1"/>
  <c r="O1054" i="1"/>
  <c r="O1082" i="1"/>
  <c r="O685" i="1"/>
  <c r="O716" i="1"/>
  <c r="O754" i="1"/>
  <c r="O789" i="1"/>
  <c r="O814" i="1"/>
  <c r="O841" i="1"/>
  <c r="O871" i="1"/>
  <c r="O899" i="1"/>
  <c r="O919" i="1"/>
  <c r="O939" i="1"/>
  <c r="O946" i="1"/>
  <c r="O958" i="1"/>
  <c r="O965" i="1"/>
  <c r="O972" i="1"/>
  <c r="O204" i="1"/>
  <c r="O211" i="1"/>
  <c r="O205" i="1"/>
  <c r="O520" i="1"/>
  <c r="O458" i="1"/>
  <c r="O526" i="1"/>
  <c r="O1149" i="1"/>
  <c r="O1272" i="1"/>
  <c r="O1372" i="1"/>
  <c r="O1536" i="1"/>
  <c r="O1651" i="1"/>
  <c r="O1754" i="1"/>
  <c r="O1379" i="1"/>
  <c r="O367" i="1"/>
  <c r="O183" i="1"/>
  <c r="O174" i="1"/>
  <c r="O180" i="1"/>
  <c r="O187" i="1"/>
  <c r="O181" i="1"/>
  <c r="O504" i="1"/>
  <c r="O442" i="1"/>
  <c r="O510" i="1"/>
  <c r="O1150" i="1"/>
  <c r="O1255" i="1"/>
  <c r="O1385" i="1"/>
  <c r="O1521" i="1"/>
  <c r="O1652" i="1"/>
  <c r="O1753" i="1"/>
  <c r="O1392" i="1"/>
  <c r="O1677" i="1"/>
  <c r="O1296" i="1"/>
  <c r="O1439" i="1"/>
  <c r="O670" i="1"/>
  <c r="O750" i="1"/>
  <c r="O833" i="1"/>
  <c r="O901" i="1"/>
  <c r="O964" i="1"/>
  <c r="O1016" i="1"/>
  <c r="O1053" i="1"/>
  <c r="O1081" i="1"/>
  <c r="O684" i="1"/>
  <c r="O715" i="1"/>
  <c r="O753" i="1"/>
  <c r="O785" i="1"/>
  <c r="O813" i="1"/>
  <c r="O360" i="1"/>
  <c r="O171" i="1"/>
  <c r="O162" i="1"/>
  <c r="O168" i="1"/>
  <c r="O175" i="1"/>
  <c r="O169" i="1"/>
  <c r="O496" i="1"/>
  <c r="O434" i="1"/>
  <c r="O502" i="1"/>
  <c r="O1138" i="1"/>
  <c r="O1266" i="1"/>
  <c r="O1373" i="1"/>
  <c r="O1512" i="1"/>
  <c r="O1658" i="1"/>
  <c r="O1751" i="1"/>
  <c r="O1380" i="1"/>
  <c r="O1670" i="1"/>
  <c r="O1310" i="1"/>
  <c r="O1596" i="1"/>
  <c r="O1426" i="1"/>
  <c r="O669" i="1"/>
  <c r="O746" i="1"/>
  <c r="O832" i="1"/>
  <c r="O897" i="1"/>
  <c r="O961" i="1"/>
  <c r="O1015" i="1"/>
  <c r="O1052" i="1"/>
  <c r="O1079" i="1"/>
  <c r="O680" i="1"/>
  <c r="O714" i="1"/>
  <c r="O749" i="1"/>
  <c r="O784" i="1"/>
  <c r="O389" i="1"/>
  <c r="O207" i="1"/>
  <c r="O210" i="1"/>
  <c r="O228" i="1"/>
  <c r="O235" i="1"/>
  <c r="O229" i="1"/>
  <c r="O536" i="1"/>
  <c r="O474" i="1"/>
  <c r="O416" i="1"/>
  <c r="O1132" i="1"/>
  <c r="O1246" i="1"/>
  <c r="O1386" i="1"/>
  <c r="O1535" i="1"/>
  <c r="O1659" i="1"/>
  <c r="O1758" i="1"/>
  <c r="O1406" i="1"/>
  <c r="O382" i="1"/>
  <c r="O195" i="1"/>
  <c r="O198" i="1"/>
  <c r="O216" i="1"/>
  <c r="O223" i="1"/>
  <c r="O217" i="1"/>
  <c r="O528" i="1"/>
  <c r="O466" i="1"/>
  <c r="O534" i="1"/>
  <c r="O1141" i="1"/>
  <c r="O1265" i="1"/>
  <c r="U1265" i="1" s="1"/>
  <c r="V1265" i="1" s="1"/>
  <c r="O1377" i="1"/>
  <c r="O1549" i="1"/>
  <c r="O1650" i="1"/>
  <c r="O1755" i="1"/>
  <c r="O1393" i="1"/>
  <c r="O1691" i="1"/>
  <c r="O1340" i="1"/>
  <c r="O1606" i="1"/>
  <c r="O1440" i="1"/>
  <c r="O675" i="1"/>
  <c r="O752" i="1"/>
  <c r="O838" i="1"/>
  <c r="O903" i="1"/>
  <c r="O967" i="1"/>
  <c r="O1022" i="1"/>
  <c r="O1057" i="1"/>
  <c r="O1084" i="1"/>
  <c r="O686" i="1"/>
  <c r="O720" i="1"/>
  <c r="O755" i="1"/>
  <c r="O172" i="1"/>
  <c r="R901" i="1" l="1"/>
  <c r="R504" i="1"/>
  <c r="R343" i="1"/>
  <c r="R817" i="1"/>
  <c r="R1341" i="1"/>
  <c r="R1162" i="1"/>
  <c r="R26" i="1"/>
  <c r="R1533" i="1"/>
  <c r="R925" i="1"/>
  <c r="R1360" i="1"/>
  <c r="R788" i="1"/>
  <c r="R1608" i="1"/>
  <c r="R1526" i="1"/>
  <c r="R1240" i="1"/>
  <c r="R1458" i="1"/>
  <c r="Q1458" i="1" s="1"/>
  <c r="R1166" i="1"/>
  <c r="Q1166" i="1" s="1"/>
  <c r="R1091" i="1"/>
  <c r="R621" i="1"/>
  <c r="R439" i="1"/>
  <c r="R227" i="1"/>
  <c r="R212" i="1"/>
  <c r="R94" i="1"/>
  <c r="R70" i="1"/>
  <c r="R217" i="1"/>
  <c r="R169" i="1"/>
  <c r="R181" i="1"/>
  <c r="R808" i="1"/>
  <c r="R708" i="1"/>
  <c r="R881" i="1"/>
  <c r="R653" i="1"/>
  <c r="R25" i="1"/>
  <c r="Q25" i="1" s="1"/>
  <c r="R1415" i="1"/>
  <c r="Q1415" i="1" s="1"/>
  <c r="R349" i="1"/>
  <c r="R850" i="1"/>
  <c r="R1732" i="1"/>
  <c r="R1364" i="1"/>
  <c r="R22" i="1"/>
  <c r="R1158" i="1"/>
  <c r="R1037" i="1"/>
  <c r="R935" i="1"/>
  <c r="R1649" i="1"/>
  <c r="R1188" i="1"/>
  <c r="R1145" i="1"/>
  <c r="R1491" i="1"/>
  <c r="R1182" i="1"/>
  <c r="R1611" i="1"/>
  <c r="R1485" i="1"/>
  <c r="Q1485" i="1" s="1"/>
  <c r="R1208" i="1"/>
  <c r="Q1208" i="1" s="1"/>
  <c r="R617" i="1"/>
  <c r="R515" i="1"/>
  <c r="R570" i="1"/>
  <c r="R95" i="1"/>
  <c r="R362" i="1"/>
  <c r="R1387" i="1"/>
  <c r="Q1387" i="1" s="1"/>
  <c r="R828" i="1"/>
  <c r="Q828" i="1" s="1"/>
  <c r="R981" i="1"/>
  <c r="R910" i="1"/>
  <c r="R1009" i="1"/>
  <c r="R654" i="1"/>
  <c r="R1105" i="1"/>
  <c r="R1668" i="1"/>
  <c r="R1147" i="1"/>
  <c r="Q1147" i="1" s="1"/>
  <c r="R1420" i="1"/>
  <c r="R1546" i="1"/>
  <c r="Q1546" i="1" s="1"/>
  <c r="R612" i="1"/>
  <c r="R982" i="1"/>
  <c r="R1590" i="1"/>
  <c r="R214" i="1"/>
  <c r="R774" i="1"/>
  <c r="R1531" i="1"/>
  <c r="R1584" i="1"/>
  <c r="R1571" i="1"/>
  <c r="R1457" i="1"/>
  <c r="R605" i="1"/>
  <c r="R449" i="1"/>
  <c r="R637" i="1"/>
  <c r="R582" i="1"/>
  <c r="R59" i="1"/>
  <c r="R41" i="1"/>
  <c r="Q41" i="1" s="1"/>
  <c r="R260" i="1"/>
  <c r="Q260" i="1" s="1"/>
  <c r="R58" i="1"/>
  <c r="R1440" i="1"/>
  <c r="R1054" i="1"/>
  <c r="R745" i="1"/>
  <c r="R904" i="1"/>
  <c r="R772" i="1"/>
  <c r="R1338" i="1"/>
  <c r="R1523" i="1"/>
  <c r="R1118" i="1"/>
  <c r="R103" i="1"/>
  <c r="R1157" i="1"/>
  <c r="R1721" i="1"/>
  <c r="R226" i="1"/>
  <c r="R1144" i="1"/>
  <c r="R1601" i="1"/>
  <c r="Q1601" i="1" s="1"/>
  <c r="R818" i="1"/>
  <c r="Q818" i="1" s="1"/>
  <c r="R1030" i="1"/>
  <c r="R921" i="1"/>
  <c r="R780" i="1"/>
  <c r="R1519" i="1"/>
  <c r="R1493" i="1"/>
  <c r="R1172" i="1"/>
  <c r="R1502" i="1"/>
  <c r="R1718" i="1"/>
  <c r="R1592" i="1"/>
  <c r="R1471" i="1"/>
  <c r="R1335" i="1"/>
  <c r="R1097" i="1"/>
  <c r="R572" i="1"/>
  <c r="R626" i="1"/>
  <c r="R545" i="1"/>
  <c r="Q545" i="1" s="1"/>
  <c r="S545" i="1" s="1"/>
  <c r="R463" i="1"/>
  <c r="Q463" i="1" s="1"/>
  <c r="R263" i="1"/>
  <c r="R245" i="1"/>
  <c r="R182" i="1"/>
  <c r="R377" i="1"/>
  <c r="R190" i="1"/>
  <c r="R1596" i="1"/>
  <c r="R748" i="1"/>
  <c r="R1522" i="1"/>
  <c r="R1244" i="1"/>
  <c r="R1337" i="1"/>
  <c r="R478" i="1"/>
  <c r="R14" i="1"/>
  <c r="R1367" i="1"/>
  <c r="R1139" i="1"/>
  <c r="R845" i="1"/>
  <c r="Q845" i="1" s="1"/>
  <c r="R681" i="1"/>
  <c r="Q681" i="1" s="1"/>
  <c r="R1419" i="1"/>
  <c r="R1155" i="1"/>
  <c r="R34" i="1"/>
  <c r="R1089" i="1"/>
  <c r="R1028" i="1"/>
  <c r="R929" i="1"/>
  <c r="R1617" i="1"/>
  <c r="R1423" i="1"/>
  <c r="R1110" i="1"/>
  <c r="R1583" i="1"/>
  <c r="R1726" i="1"/>
  <c r="R1602" i="1"/>
  <c r="R1428" i="1"/>
  <c r="R1319" i="1"/>
  <c r="R1095" i="1"/>
  <c r="Q1095" i="1" s="1"/>
  <c r="R426" i="1"/>
  <c r="Q426" i="1" s="1"/>
  <c r="R531" i="1"/>
  <c r="R562" i="1"/>
  <c r="R455" i="1"/>
  <c r="R83" i="1"/>
  <c r="R77" i="1"/>
  <c r="R170" i="1"/>
  <c r="R292" i="1"/>
  <c r="R46" i="1"/>
  <c r="R207" i="1"/>
  <c r="R171" i="1"/>
  <c r="R963" i="1"/>
  <c r="R156" i="1"/>
  <c r="R709" i="1"/>
  <c r="R1388" i="1"/>
  <c r="R915" i="1"/>
  <c r="R1654" i="1"/>
  <c r="Q1654" i="1" s="1"/>
  <c r="R1220" i="1"/>
  <c r="R1142" i="1"/>
  <c r="R591" i="1"/>
  <c r="R606" i="1"/>
  <c r="R23" i="1"/>
  <c r="R280" i="1"/>
  <c r="R1666" i="1"/>
  <c r="R1134" i="1"/>
  <c r="R614" i="1"/>
  <c r="R153" i="1"/>
  <c r="R1036" i="1"/>
  <c r="R917" i="1"/>
  <c r="R775" i="1"/>
  <c r="R1518" i="1"/>
  <c r="R1410" i="1"/>
  <c r="Q1410" i="1" s="1"/>
  <c r="R1111" i="1"/>
  <c r="Q1111" i="1" s="1"/>
  <c r="R1527" i="1"/>
  <c r="R1693" i="1"/>
  <c r="R1581" i="1"/>
  <c r="R1466" i="1"/>
  <c r="R1180" i="1"/>
  <c r="R1130" i="1"/>
  <c r="R550" i="1"/>
  <c r="R588" i="1"/>
  <c r="R600" i="1"/>
  <c r="R239" i="1"/>
  <c r="R158" i="1"/>
  <c r="R383" i="1"/>
  <c r="R390" i="1"/>
  <c r="R261" i="1"/>
  <c r="R189" i="1"/>
  <c r="Q189" i="1" s="1"/>
  <c r="R958" i="1"/>
  <c r="Q958" i="1" s="1"/>
  <c r="R1010" i="1"/>
  <c r="R660" i="1"/>
  <c r="R1243" i="1"/>
  <c r="R1739" i="1"/>
  <c r="R54" i="1"/>
  <c r="R839" i="1"/>
  <c r="R1304" i="1"/>
  <c r="R355" i="1"/>
  <c r="R234" i="1"/>
  <c r="R787" i="1"/>
  <c r="R640" i="1"/>
  <c r="R937" i="1"/>
  <c r="R1614" i="1"/>
  <c r="R1626" i="1"/>
  <c r="R1222" i="1"/>
  <c r="Q1222" i="1" s="1"/>
  <c r="R1582" i="1"/>
  <c r="Q1582" i="1" s="1"/>
  <c r="R1442" i="1"/>
  <c r="R1092" i="1"/>
  <c r="R751" i="1"/>
  <c r="R1678" i="1"/>
  <c r="R351" i="1"/>
  <c r="R486" i="1"/>
  <c r="R952" i="1"/>
  <c r="R884" i="1"/>
  <c r="R779" i="1"/>
  <c r="R724" i="1"/>
  <c r="R663" i="1"/>
  <c r="R1663" i="1"/>
  <c r="R1508" i="1"/>
  <c r="R1217" i="1"/>
  <c r="R115" i="1"/>
  <c r="Q115" i="1" s="1"/>
  <c r="R1290" i="1"/>
  <c r="Q1290" i="1" s="1"/>
  <c r="R1414" i="1"/>
  <c r="R405" i="1"/>
  <c r="R322" i="1"/>
  <c r="R246" i="1"/>
  <c r="R105" i="1"/>
  <c r="R371" i="1"/>
  <c r="R1576" i="1"/>
  <c r="R374" i="1"/>
  <c r="R230" i="1"/>
  <c r="R878" i="1"/>
  <c r="R992" i="1"/>
  <c r="R1181" i="1"/>
  <c r="R1695" i="1"/>
  <c r="R1446" i="1"/>
  <c r="R1160" i="1"/>
  <c r="Q1160" i="1" s="1"/>
  <c r="R611" i="1"/>
  <c r="Q611" i="1" s="1"/>
  <c r="S611" i="1" s="1"/>
  <c r="R503" i="1"/>
  <c r="R369" i="1"/>
  <c r="R720" i="1"/>
  <c r="R753" i="1"/>
  <c r="R678" i="1"/>
  <c r="R642" i="1"/>
  <c r="R1710" i="1"/>
  <c r="R203" i="1"/>
  <c r="R872" i="1"/>
  <c r="R870" i="1"/>
  <c r="R712" i="1"/>
  <c r="R1703" i="1"/>
  <c r="R576" i="1"/>
  <c r="R686" i="1"/>
  <c r="R1451" i="1"/>
  <c r="R943" i="1"/>
  <c r="R837" i="1"/>
  <c r="R773" i="1"/>
  <c r="R1049" i="1"/>
  <c r="R809" i="1"/>
  <c r="R1322" i="1"/>
  <c r="R1637" i="1"/>
  <c r="R412" i="1"/>
  <c r="R1673" i="1"/>
  <c r="R215" i="1"/>
  <c r="R1068" i="1"/>
  <c r="R693" i="1"/>
  <c r="R1717" i="1"/>
  <c r="R1221" i="1"/>
  <c r="R529" i="1"/>
  <c r="R257" i="1"/>
  <c r="Q257" i="1" s="1"/>
  <c r="R218" i="1"/>
  <c r="Q218" i="1" s="1"/>
  <c r="R282" i="1"/>
  <c r="R1084" i="1"/>
  <c r="R871" i="1"/>
  <c r="R1607" i="1"/>
  <c r="R744" i="1"/>
  <c r="R836" i="1"/>
  <c r="R742" i="1"/>
  <c r="R1074" i="1"/>
  <c r="R1048" i="1"/>
  <c r="R1643" i="1"/>
  <c r="R484" i="1"/>
  <c r="R908" i="1"/>
  <c r="R74" i="1"/>
  <c r="R1516" i="1"/>
  <c r="R380" i="1"/>
  <c r="Q380" i="1" s="1"/>
  <c r="R473" i="1"/>
  <c r="Q473" i="1" s="1"/>
  <c r="R983" i="1"/>
  <c r="R1174" i="1"/>
  <c r="R1595" i="1"/>
  <c r="R1694" i="1"/>
  <c r="R1603" i="1"/>
  <c r="R1205" i="1"/>
  <c r="R622" i="1"/>
  <c r="R274" i="1"/>
  <c r="R1258" i="1"/>
  <c r="R1515" i="1"/>
  <c r="R1719" i="1"/>
  <c r="R1580" i="1"/>
  <c r="R511" i="1"/>
  <c r="R286" i="1"/>
  <c r="R395" i="1"/>
  <c r="R208" i="1"/>
  <c r="Q208" i="1" s="1"/>
  <c r="R1371" i="1"/>
  <c r="Q1371" i="1" s="1"/>
  <c r="R956" i="1"/>
  <c r="R1325" i="1"/>
  <c r="R1757" i="1"/>
  <c r="R32" i="1"/>
  <c r="R694" i="1"/>
  <c r="R1437" i="1"/>
  <c r="R1514" i="1"/>
  <c r="R1171" i="1"/>
  <c r="R1709" i="1"/>
  <c r="R1177" i="1"/>
  <c r="R1131" i="1"/>
  <c r="R594" i="1"/>
  <c r="R71" i="1"/>
  <c r="R920" i="1"/>
  <c r="R955" i="1"/>
  <c r="Q955" i="1" s="1"/>
  <c r="R476" i="1"/>
  <c r="R682" i="1"/>
  <c r="R1169" i="1"/>
  <c r="R291" i="1"/>
  <c r="R1083" i="1"/>
  <c r="R756" i="1"/>
  <c r="R1339" i="1"/>
  <c r="R1759" i="1"/>
  <c r="R1548" i="1"/>
  <c r="R485" i="1"/>
  <c r="R38" i="1"/>
  <c r="R1185" i="1"/>
  <c r="R1517" i="1"/>
  <c r="R1332" i="1"/>
  <c r="R848" i="1"/>
  <c r="Q848" i="1" s="1"/>
  <c r="R713" i="1"/>
  <c r="Q713" i="1" s="1"/>
  <c r="R1262" i="1"/>
  <c r="R1200" i="1"/>
  <c r="R1594" i="1"/>
  <c r="R1223" i="1"/>
  <c r="R1702" i="1"/>
  <c r="R1488" i="1"/>
  <c r="R1315" i="1"/>
  <c r="R1193" i="1"/>
  <c r="R629" i="1"/>
  <c r="R110" i="1"/>
  <c r="R248" i="1"/>
  <c r="R474" i="1"/>
  <c r="R897" i="1"/>
  <c r="R803" i="1"/>
  <c r="R1327" i="1"/>
  <c r="Q1327" i="1" s="1"/>
  <c r="R341" i="1"/>
  <c r="Q341" i="1" s="1"/>
  <c r="R301" i="1"/>
  <c r="R20" i="1"/>
  <c r="Q20" i="1" s="1"/>
  <c r="R906" i="1"/>
  <c r="Q906" i="1" s="1"/>
  <c r="R373" i="1"/>
  <c r="R590" i="1"/>
  <c r="R782" i="1"/>
  <c r="R1449" i="1"/>
  <c r="R1318" i="1"/>
  <c r="R268" i="1"/>
  <c r="R1184" i="1"/>
  <c r="R1600" i="1"/>
  <c r="R1432" i="1"/>
  <c r="R1176" i="1"/>
  <c r="R599" i="1"/>
  <c r="R523" i="1"/>
  <c r="Q523" i="1" s="1"/>
  <c r="R479" i="1"/>
  <c r="Q479" i="1" s="1"/>
  <c r="R89" i="1"/>
  <c r="R296" i="1"/>
  <c r="R224" i="1"/>
  <c r="R106" i="1"/>
  <c r="R200" i="1"/>
  <c r="U1177" i="1"/>
  <c r="V1177" i="1" s="1"/>
  <c r="U1415" i="1"/>
  <c r="V1415" i="1" s="1"/>
  <c r="U1151" i="1"/>
  <c r="V1151" i="1" s="1"/>
  <c r="U1153" i="1"/>
  <c r="V1153" i="1" s="1"/>
  <c r="U1205" i="1"/>
  <c r="V1205" i="1" s="1"/>
  <c r="U1443" i="1"/>
  <c r="V1443" i="1" s="1"/>
  <c r="U1719" i="1"/>
  <c r="V1719" i="1" s="1"/>
  <c r="U1467" i="1"/>
  <c r="V1467" i="1" s="1"/>
  <c r="U1162" i="1"/>
  <c r="V1162" i="1" s="1"/>
  <c r="U1360" i="1"/>
  <c r="V1360" i="1" s="1"/>
  <c r="U1283" i="1"/>
  <c r="V1283" i="1" s="1"/>
  <c r="U1510" i="1"/>
  <c r="V1510" i="1" s="1"/>
  <c r="U1652" i="1"/>
  <c r="V1652" i="1" s="1"/>
  <c r="U1232" i="1"/>
  <c r="V1232" i="1" s="1"/>
  <c r="U1140" i="1"/>
  <c r="V1140" i="1" s="1"/>
  <c r="T642" i="1"/>
  <c r="U1284" i="1"/>
  <c r="V1284" i="1" s="1"/>
  <c r="T575" i="1"/>
  <c r="T1099" i="1"/>
  <c r="U1267" i="1"/>
  <c r="V1267" i="1" s="1"/>
  <c r="T563" i="1"/>
  <c r="U1591" i="1"/>
  <c r="V1591" i="1" s="1"/>
  <c r="T1587" i="1"/>
  <c r="T632" i="1"/>
  <c r="T1215" i="1"/>
  <c r="U1468" i="1"/>
  <c r="V1468" i="1" s="1"/>
  <c r="T1087" i="1"/>
  <c r="U1703" i="1"/>
  <c r="V1703" i="1" s="1"/>
  <c r="U1320" i="1"/>
  <c r="V1320" i="1" s="1"/>
  <c r="T556" i="1"/>
  <c r="R1650" i="1"/>
  <c r="Q1650" i="1" s="1"/>
  <c r="R1659" i="1"/>
  <c r="Q1659" i="1" s="1"/>
  <c r="R714" i="1"/>
  <c r="Q714" i="1" s="1"/>
  <c r="R1658" i="1"/>
  <c r="Q1658" i="1" s="1"/>
  <c r="R1652" i="1"/>
  <c r="Q1652" i="1" s="1"/>
  <c r="R1651" i="1"/>
  <c r="Q1651" i="1" s="1"/>
  <c r="R919" i="1"/>
  <c r="Q919" i="1" s="1"/>
  <c r="R671" i="1"/>
  <c r="Q671" i="1" s="1"/>
  <c r="R199" i="1"/>
  <c r="Q199" i="1" s="1"/>
  <c r="R1365" i="1"/>
  <c r="Q1365" i="1" s="1"/>
  <c r="R971" i="1"/>
  <c r="Q971" i="1" s="1"/>
  <c r="R895" i="1"/>
  <c r="Q895" i="1" s="1"/>
  <c r="R421" i="1"/>
  <c r="Q421" i="1" s="1"/>
  <c r="R951" i="1"/>
  <c r="Q951" i="1" s="1"/>
  <c r="R879" i="1"/>
  <c r="Q879" i="1" s="1"/>
  <c r="R835" i="1"/>
  <c r="Q835" i="1" s="1"/>
  <c r="R778" i="1"/>
  <c r="Q778" i="1" s="1"/>
  <c r="R1047" i="1"/>
  <c r="Q1047" i="1" s="1"/>
  <c r="R944" i="1"/>
  <c r="Q944" i="1" s="1"/>
  <c r="R889" i="1"/>
  <c r="Q889" i="1" s="1"/>
  <c r="R723" i="1"/>
  <c r="Q723" i="1" s="1"/>
  <c r="R659" i="1"/>
  <c r="Q659" i="1" s="1"/>
  <c r="R1542" i="1"/>
  <c r="Q1542" i="1" s="1"/>
  <c r="R1295" i="1"/>
  <c r="Q1295" i="1" s="1"/>
  <c r="R1293" i="1"/>
  <c r="Q1293" i="1" s="1"/>
  <c r="R1737" i="1"/>
  <c r="Q1737" i="1" s="1"/>
  <c r="R1344" i="1"/>
  <c r="Q1344" i="1" s="1"/>
  <c r="R1232" i="1"/>
  <c r="Q1232" i="1" s="1"/>
  <c r="R1140" i="1"/>
  <c r="Q1140" i="1" s="1"/>
  <c r="R468" i="1"/>
  <c r="Q468" i="1" s="1"/>
  <c r="R121" i="1"/>
  <c r="Q121" i="1" s="1"/>
  <c r="R24" i="1"/>
  <c r="Q24" i="1" s="1"/>
  <c r="R2" i="1"/>
  <c r="Q2" i="1" s="1"/>
  <c r="R123" i="1"/>
  <c r="Q123" i="1" s="1"/>
  <c r="R3" i="1"/>
  <c r="Q3" i="1" s="1"/>
  <c r="R1544" i="1"/>
  <c r="Q1544" i="1" s="1"/>
  <c r="R1284" i="1"/>
  <c r="Q1284" i="1" s="1"/>
  <c r="R575" i="1"/>
  <c r="Q575" i="1" s="1"/>
  <c r="S575" i="1" s="1"/>
  <c r="R555" i="1"/>
  <c r="Q555" i="1" s="1"/>
  <c r="R418" i="1"/>
  <c r="Q418" i="1" s="1"/>
  <c r="R384" i="1"/>
  <c r="Q384" i="1" s="1"/>
  <c r="R293" i="1"/>
  <c r="Q293" i="1" s="1"/>
  <c r="R152" i="1"/>
  <c r="Q152" i="1" s="1"/>
  <c r="R100" i="1"/>
  <c r="Q100" i="1" s="1"/>
  <c r="R973" i="1"/>
  <c r="Q973" i="1" s="1"/>
  <c r="R768" i="1"/>
  <c r="Q768" i="1" s="1"/>
  <c r="R1506" i="1"/>
  <c r="Q1506" i="1" s="1"/>
  <c r="R1396" i="1"/>
  <c r="Q1396" i="1" s="1"/>
  <c r="R1698" i="1"/>
  <c r="Q1698" i="1" s="1"/>
  <c r="R1099" i="1"/>
  <c r="Q1099" i="1" s="1"/>
  <c r="S1099" i="1" s="1"/>
  <c r="U1099" i="1" s="1"/>
  <c r="V1099" i="1" s="1"/>
  <c r="R1661" i="1"/>
  <c r="Q1661" i="1" s="1"/>
  <c r="R1404" i="1"/>
  <c r="Q1404" i="1" s="1"/>
  <c r="R1267" i="1"/>
  <c r="Q1267" i="1" s="1"/>
  <c r="R563" i="1"/>
  <c r="Q563" i="1" s="1"/>
  <c r="S563" i="1" s="1"/>
  <c r="U563" i="1" s="1"/>
  <c r="V563" i="1" s="1"/>
  <c r="R544" i="1"/>
  <c r="Q544" i="1" s="1"/>
  <c r="R553" i="1"/>
  <c r="Q553" i="1" s="1"/>
  <c r="R370" i="1"/>
  <c r="Q370" i="1" s="1"/>
  <c r="R303" i="1"/>
  <c r="Q303" i="1" s="1"/>
  <c r="R116" i="1"/>
  <c r="Q116" i="1" s="1"/>
  <c r="R129" i="1"/>
  <c r="Q129" i="1" s="1"/>
  <c r="R1328" i="1"/>
  <c r="Q1328" i="1" s="1"/>
  <c r="R1591" i="1"/>
  <c r="Q1591" i="1" s="1"/>
  <c r="R1112" i="1"/>
  <c r="Q1112" i="1" s="1"/>
  <c r="R1587" i="1"/>
  <c r="Q1587" i="1" s="1"/>
  <c r="S1587" i="1" s="1"/>
  <c r="U1587" i="1" s="1"/>
  <c r="V1587" i="1" s="1"/>
  <c r="R1562" i="1"/>
  <c r="Q1562" i="1" s="1"/>
  <c r="R1453" i="1"/>
  <c r="Q1453" i="1" s="1"/>
  <c r="R1114" i="1"/>
  <c r="Q1114" i="1" s="1"/>
  <c r="R632" i="1"/>
  <c r="Q632" i="1" s="1"/>
  <c r="S632" i="1" s="1"/>
  <c r="R254" i="1"/>
  <c r="Q254" i="1" s="1"/>
  <c r="R697" i="1"/>
  <c r="Q697" i="1" s="1"/>
  <c r="R864" i="1"/>
  <c r="Q864" i="1" s="1"/>
  <c r="R1215" i="1"/>
  <c r="Q1215" i="1" s="1"/>
  <c r="S1215" i="1" s="1"/>
  <c r="U1215" i="1" s="1"/>
  <c r="V1215" i="1" s="1"/>
  <c r="R1195" i="1"/>
  <c r="Q1195" i="1" s="1"/>
  <c r="R1468" i="1"/>
  <c r="Q1468" i="1" s="1"/>
  <c r="R1103" i="1"/>
  <c r="Q1103" i="1" s="1"/>
  <c r="R527" i="1"/>
  <c r="Q527" i="1" s="1"/>
  <c r="R357" i="1"/>
  <c r="Q357" i="1" s="1"/>
  <c r="R760" i="1"/>
  <c r="Q760" i="1" s="1"/>
  <c r="R993" i="1"/>
  <c r="Q993" i="1" s="1"/>
  <c r="R1261" i="1"/>
  <c r="Q1261" i="1" s="1"/>
  <c r="R1422" i="1"/>
  <c r="Q1422" i="1" s="1"/>
  <c r="R1159" i="1"/>
  <c r="Q1159" i="1" s="1"/>
  <c r="R1170" i="1"/>
  <c r="Q1170" i="1" s="1"/>
  <c r="R1567" i="1"/>
  <c r="Q1567" i="1" s="1"/>
  <c r="R1320" i="1"/>
  <c r="Q1320" i="1" s="1"/>
  <c r="R1194" i="1"/>
  <c r="Q1194" i="1" s="1"/>
  <c r="R1096" i="1"/>
  <c r="Q1096" i="1" s="1"/>
  <c r="R566" i="1"/>
  <c r="Q566" i="1" s="1"/>
  <c r="R221" i="1"/>
  <c r="Q221" i="1" s="1"/>
  <c r="R122" i="1"/>
  <c r="Q122" i="1" s="1"/>
  <c r="R404" i="1"/>
  <c r="Q404" i="1" s="1"/>
  <c r="R130" i="1"/>
  <c r="Q130" i="1" s="1"/>
  <c r="R196" i="1"/>
  <c r="Q196" i="1" s="1"/>
  <c r="U1535" i="1"/>
  <c r="V1535" i="1" s="1"/>
  <c r="U1512" i="1"/>
  <c r="V1512" i="1" s="1"/>
  <c r="U1536" i="1"/>
  <c r="V1536" i="1" s="1"/>
  <c r="T1749" i="1"/>
  <c r="T1750" i="1" s="1"/>
  <c r="T943" i="1"/>
  <c r="U1637" i="1"/>
  <c r="V1637" i="1" s="1"/>
  <c r="U1363" i="1"/>
  <c r="V1363" i="1" s="1"/>
  <c r="T1705" i="1"/>
  <c r="U1534" i="1"/>
  <c r="V1534" i="1" s="1"/>
  <c r="T540" i="1"/>
  <c r="U1417" i="1"/>
  <c r="V1417" i="1" s="1"/>
  <c r="T410" i="1"/>
  <c r="T1245" i="1"/>
  <c r="U1620" i="1"/>
  <c r="V1620" i="1" s="1"/>
  <c r="U1119" i="1"/>
  <c r="V1119" i="1" s="1"/>
  <c r="U1499" i="1"/>
  <c r="V1499" i="1" s="1"/>
  <c r="U1456" i="1"/>
  <c r="V1456" i="1" s="1"/>
  <c r="T365" i="1"/>
  <c r="T1672" i="1"/>
  <c r="U1317" i="1"/>
  <c r="V1317" i="1" s="1"/>
  <c r="T529" i="1"/>
  <c r="T530" i="1" s="1"/>
  <c r="T633" i="1"/>
  <c r="T618" i="1"/>
  <c r="R1549" i="1"/>
  <c r="Q1549" i="1" s="1"/>
  <c r="R1535" i="1"/>
  <c r="Q1535" i="1" s="1"/>
  <c r="R680" i="1"/>
  <c r="Q680" i="1" s="1"/>
  <c r="R1512" i="1"/>
  <c r="Q1512" i="1" s="1"/>
  <c r="R1521" i="1"/>
  <c r="Q1521" i="1" s="1"/>
  <c r="R1536" i="1"/>
  <c r="Q1536" i="1" s="1"/>
  <c r="R899" i="1"/>
  <c r="Q899" i="1" s="1"/>
  <c r="R1749" i="1"/>
  <c r="Q1749" i="1" s="1"/>
  <c r="R966" i="1"/>
  <c r="Q966" i="1" s="1"/>
  <c r="R827" i="1"/>
  <c r="Q827" i="1" s="1"/>
  <c r="R480" i="1"/>
  <c r="Q480" i="1" s="1"/>
  <c r="R892" i="1"/>
  <c r="Q892" i="1" s="1"/>
  <c r="R673" i="1"/>
  <c r="Q673" i="1" s="1"/>
  <c r="R942" i="1"/>
  <c r="Q942" i="1" s="1"/>
  <c r="R729" i="1"/>
  <c r="Q729" i="1" s="1"/>
  <c r="R658" i="1"/>
  <c r="Q658" i="1" s="1"/>
  <c r="R1541" i="1"/>
  <c r="Q1541" i="1" s="1"/>
  <c r="R1260" i="1"/>
  <c r="Q1260" i="1" s="1"/>
  <c r="R1740" i="1"/>
  <c r="Q1740" i="1" s="1"/>
  <c r="R1363" i="1"/>
  <c r="Q1363" i="1" s="1"/>
  <c r="R1239" i="1"/>
  <c r="Q1239" i="1" s="1"/>
  <c r="R1115" i="1"/>
  <c r="Q1115" i="1" s="1"/>
  <c r="R492" i="1"/>
  <c r="Q492" i="1" s="1"/>
  <c r="Q412" i="1"/>
  <c r="R85" i="1"/>
  <c r="Q85" i="1" s="1"/>
  <c r="R60" i="1"/>
  <c r="Q60" i="1" s="1"/>
  <c r="R30" i="1"/>
  <c r="Q30" i="1" s="1"/>
  <c r="R87" i="1"/>
  <c r="Q87" i="1" s="1"/>
  <c r="R16" i="1"/>
  <c r="Q16" i="1" s="1"/>
  <c r="R1705" i="1"/>
  <c r="Q1705" i="1" s="1"/>
  <c r="S1705" i="1" s="1"/>
  <c r="U1705" i="1" s="1"/>
  <c r="V1705" i="1" s="1"/>
  <c r="R1762" i="1"/>
  <c r="Q1762" i="1" s="1"/>
  <c r="R1534" i="1"/>
  <c r="Q1534" i="1" s="1"/>
  <c r="R1306" i="1"/>
  <c r="Q1306" i="1" s="1"/>
  <c r="R540" i="1"/>
  <c r="Q540" i="1" s="1"/>
  <c r="S540" i="1" s="1"/>
  <c r="R567" i="1"/>
  <c r="Q567" i="1" s="1"/>
  <c r="R431" i="1"/>
  <c r="Q431" i="1" s="1"/>
  <c r="R396" i="1"/>
  <c r="Q396" i="1" s="1"/>
  <c r="R273" i="1"/>
  <c r="Q273" i="1" s="1"/>
  <c r="R80" i="1"/>
  <c r="Q80" i="1" s="1"/>
  <c r="R721" i="1"/>
  <c r="Q721" i="1" s="1"/>
  <c r="R968" i="1"/>
  <c r="Q968" i="1" s="1"/>
  <c r="R770" i="1"/>
  <c r="Q770" i="1" s="1"/>
  <c r="R1495" i="1"/>
  <c r="Q1495" i="1" s="1"/>
  <c r="R1353" i="1"/>
  <c r="Q1353" i="1" s="1"/>
  <c r="R1459" i="1"/>
  <c r="Q1459" i="1" s="1"/>
  <c r="R1764" i="1"/>
  <c r="Q1764" i="1" s="1"/>
  <c r="R1417" i="1"/>
  <c r="Q1417" i="1" s="1"/>
  <c r="R517" i="1"/>
  <c r="Q517" i="1" s="1"/>
  <c r="R530" i="1"/>
  <c r="Q530" i="1" s="1"/>
  <c r="R410" i="1"/>
  <c r="Q410" i="1" s="1"/>
  <c r="S410" i="1" s="1"/>
  <c r="R361" i="1"/>
  <c r="Q361" i="1" s="1"/>
  <c r="R252" i="1"/>
  <c r="Q252" i="1" s="1"/>
  <c r="R104" i="1"/>
  <c r="Q104" i="1" s="1"/>
  <c r="R69" i="1"/>
  <c r="Q69" i="1" s="1"/>
  <c r="R1245" i="1"/>
  <c r="Q1245" i="1" s="1"/>
  <c r="S1245" i="1" s="1"/>
  <c r="U1245" i="1" s="1"/>
  <c r="V1245" i="1" s="1"/>
  <c r="R1620" i="1"/>
  <c r="Q1620" i="1" s="1"/>
  <c r="R1119" i="1"/>
  <c r="Q1119" i="1" s="1"/>
  <c r="R1298" i="1"/>
  <c r="Q1298" i="1" s="1"/>
  <c r="R1273" i="1"/>
  <c r="Q1273" i="1" s="1"/>
  <c r="R1104" i="1"/>
  <c r="Q1104" i="1" s="1"/>
  <c r="R547" i="1"/>
  <c r="Q547" i="1" s="1"/>
  <c r="R388" i="1"/>
  <c r="Q388" i="1" s="1"/>
  <c r="R657" i="1"/>
  <c r="Q657" i="1" s="1"/>
  <c r="R1312" i="1"/>
  <c r="Q1312" i="1" s="1"/>
  <c r="R1274" i="1"/>
  <c r="Q1274" i="1" s="1"/>
  <c r="R1456" i="1"/>
  <c r="Q1456" i="1" s="1"/>
  <c r="R578" i="1"/>
  <c r="Q578" i="1" s="1"/>
  <c r="R332" i="1"/>
  <c r="Q332" i="1" s="1"/>
  <c r="R365" i="1"/>
  <c r="Q365" i="1" s="1"/>
  <c r="R877" i="1"/>
  <c r="Q877" i="1" s="1"/>
  <c r="R765" i="1"/>
  <c r="Q765" i="1" s="1"/>
  <c r="R1638" i="1"/>
  <c r="Q1638" i="1" s="1"/>
  <c r="U1377" i="1"/>
  <c r="V1377" i="1" s="1"/>
  <c r="U1373" i="1"/>
  <c r="V1373" i="1" s="1"/>
  <c r="U1251" i="1"/>
  <c r="V1251" i="1" s="1"/>
  <c r="U1429" i="1"/>
  <c r="V1429" i="1" s="1"/>
  <c r="U1250" i="1"/>
  <c r="V1250" i="1" s="1"/>
  <c r="U1401" i="1"/>
  <c r="V1401" i="1" s="1"/>
  <c r="U1252" i="1"/>
  <c r="V1252" i="1" s="1"/>
  <c r="U1117" i="1"/>
  <c r="V1117" i="1" s="1"/>
  <c r="T1088" i="1"/>
  <c r="T1202" i="1"/>
  <c r="T861" i="1"/>
  <c r="T1174" i="1"/>
  <c r="U1286" i="1"/>
  <c r="V1286" i="1" s="1"/>
  <c r="T622" i="1"/>
  <c r="T616" i="1"/>
  <c r="R1377" i="1"/>
  <c r="Q1377" i="1" s="1"/>
  <c r="R1386" i="1"/>
  <c r="Q1386" i="1" s="1"/>
  <c r="R1079" i="1"/>
  <c r="Q1079" i="1" s="1"/>
  <c r="R1373" i="1"/>
  <c r="Q1373" i="1" s="1"/>
  <c r="R1385" i="1"/>
  <c r="Q1385" i="1" s="1"/>
  <c r="R1372" i="1"/>
  <c r="Q1372" i="1" s="1"/>
  <c r="R186" i="1"/>
  <c r="Q186" i="1" s="1"/>
  <c r="R1653" i="1"/>
  <c r="Q1653" i="1" s="1"/>
  <c r="R953" i="1"/>
  <c r="Q953" i="1" s="1"/>
  <c r="R145" i="1"/>
  <c r="Q145" i="1" s="1"/>
  <c r="R938" i="1"/>
  <c r="Q938" i="1" s="1"/>
  <c r="R894" i="1"/>
  <c r="Q894" i="1" s="1"/>
  <c r="R941" i="1"/>
  <c r="Q941" i="1" s="1"/>
  <c r="R734" i="1"/>
  <c r="Q734" i="1" s="1"/>
  <c r="R662" i="1"/>
  <c r="Q662" i="1" s="1"/>
  <c r="R1529" i="1"/>
  <c r="Q1529" i="1" s="1"/>
  <c r="R1276" i="1"/>
  <c r="Q1276" i="1" s="1"/>
  <c r="R1309" i="1"/>
  <c r="Q1309" i="1" s="1"/>
  <c r="R1358" i="1"/>
  <c r="Q1358" i="1" s="1"/>
  <c r="R1251" i="1"/>
  <c r="Q1251" i="1" s="1"/>
  <c r="R1107" i="1"/>
  <c r="Q1107" i="1" s="1"/>
  <c r="R448" i="1"/>
  <c r="Q448" i="1" s="1"/>
  <c r="R73" i="1"/>
  <c r="Q73" i="1" s="1"/>
  <c r="R48" i="1"/>
  <c r="Q48" i="1" s="1"/>
  <c r="R75" i="1"/>
  <c r="Q75" i="1" s="1"/>
  <c r="R1697" i="1"/>
  <c r="Q1697" i="1" s="1"/>
  <c r="R1686" i="1"/>
  <c r="Q1686" i="1" s="1"/>
  <c r="R1429" i="1"/>
  <c r="Q1429" i="1" s="1"/>
  <c r="R1250" i="1"/>
  <c r="Q1250" i="1" s="1"/>
  <c r="R533" i="1"/>
  <c r="Q533" i="1" s="1"/>
  <c r="R514" i="1"/>
  <c r="Q514" i="1" s="1"/>
  <c r="R424" i="1"/>
  <c r="Q424" i="1" s="1"/>
  <c r="R346" i="1"/>
  <c r="Q346" i="1" s="1"/>
  <c r="Q74" i="1"/>
  <c r="R691" i="1"/>
  <c r="Q691" i="1" s="1"/>
  <c r="R969" i="1"/>
  <c r="Q969" i="1" s="1"/>
  <c r="R764" i="1"/>
  <c r="Q764" i="1" s="1"/>
  <c r="R1464" i="1"/>
  <c r="Q1464" i="1" s="1"/>
  <c r="R1382" i="1"/>
  <c r="Q1382" i="1" s="1"/>
  <c r="R1473" i="1"/>
  <c r="Q1473" i="1" s="1"/>
  <c r="R1766" i="1"/>
  <c r="Q1766" i="1" s="1"/>
  <c r="R1555" i="1"/>
  <c r="Q1555" i="1" s="1"/>
  <c r="R1401" i="1"/>
  <c r="Q1401" i="1" s="1"/>
  <c r="R1252" i="1"/>
  <c r="Q1252" i="1" s="1"/>
  <c r="R490" i="1"/>
  <c r="Q490" i="1" s="1"/>
  <c r="R399" i="1"/>
  <c r="Q399" i="1" s="1"/>
  <c r="R376" i="1"/>
  <c r="Q376" i="1" s="1"/>
  <c r="R240" i="1"/>
  <c r="Q240" i="1" s="1"/>
  <c r="R128" i="1"/>
  <c r="Q128" i="1" s="1"/>
  <c r="R81" i="1"/>
  <c r="Q81" i="1" s="1"/>
  <c r="R1578" i="1"/>
  <c r="Q1578" i="1" s="1"/>
  <c r="R1101" i="1"/>
  <c r="Q1101" i="1" s="1"/>
  <c r="R185" i="1"/>
  <c r="Q185" i="1" s="1"/>
  <c r="R1313" i="1"/>
  <c r="Q1313" i="1" s="1"/>
  <c r="R1275" i="1"/>
  <c r="Q1275" i="1" s="1"/>
  <c r="R1481" i="1"/>
  <c r="Q1481" i="1" s="1"/>
  <c r="R1117" i="1"/>
  <c r="Q1117" i="1" s="1"/>
  <c r="R541" i="1"/>
  <c r="Q541" i="1" s="1"/>
  <c r="R1088" i="1"/>
  <c r="Q1088" i="1" s="1"/>
  <c r="S1088" i="1" s="1"/>
  <c r="R865" i="1"/>
  <c r="Q865" i="1" s="1"/>
  <c r="R1202" i="1"/>
  <c r="Q1202" i="1" s="1"/>
  <c r="S1202" i="1" s="1"/>
  <c r="R1198" i="1"/>
  <c r="Q1198" i="1" s="1"/>
  <c r="R1350" i="1"/>
  <c r="Q1350" i="1" s="1"/>
  <c r="R131" i="1"/>
  <c r="Q131" i="1" s="1"/>
  <c r="R242" i="1"/>
  <c r="Q242" i="1" s="1"/>
  <c r="R873" i="1"/>
  <c r="Q873" i="1" s="1"/>
  <c r="R759" i="1"/>
  <c r="Q759" i="1" s="1"/>
  <c r="R876" i="1"/>
  <c r="Q876" i="1" s="1"/>
  <c r="R90" i="1"/>
  <c r="Q90" i="1" s="1"/>
  <c r="U1266" i="1"/>
  <c r="V1266" i="1" s="1"/>
  <c r="T1081" i="1"/>
  <c r="T375" i="1"/>
  <c r="U1359" i="1"/>
  <c r="V1359" i="1" s="1"/>
  <c r="U1254" i="1"/>
  <c r="V1254" i="1" s="1"/>
  <c r="U1120" i="1"/>
  <c r="V1120" i="1" s="1"/>
  <c r="T546" i="1"/>
  <c r="T337" i="1"/>
  <c r="U1569" i="1"/>
  <c r="V1569" i="1" s="1"/>
  <c r="U1269" i="1"/>
  <c r="V1269" i="1" s="1"/>
  <c r="T411" i="1"/>
  <c r="T412" i="1" s="1"/>
  <c r="T320" i="1"/>
  <c r="T321" i="1" s="1"/>
  <c r="U1483" i="1"/>
  <c r="V1483" i="1" s="1"/>
  <c r="T1229" i="1"/>
  <c r="U1455" i="1"/>
  <c r="V1455" i="1" s="1"/>
  <c r="U1333" i="1"/>
  <c r="V1333" i="1" s="1"/>
  <c r="T406" i="1"/>
  <c r="T1699" i="1"/>
  <c r="U1183" i="1"/>
  <c r="V1183" i="1" s="1"/>
  <c r="U1580" i="1"/>
  <c r="V1580" i="1" s="1"/>
  <c r="T587" i="1"/>
  <c r="T539" i="1"/>
  <c r="R1057" i="1"/>
  <c r="Q1057" i="1" s="1"/>
  <c r="R1265" i="1"/>
  <c r="Q1265" i="1" s="1"/>
  <c r="R1246" i="1"/>
  <c r="Q1246" i="1" s="1"/>
  <c r="R1266" i="1"/>
  <c r="Q1266" i="1" s="1"/>
  <c r="R1081" i="1"/>
  <c r="Q1081" i="1" s="1"/>
  <c r="S1081" i="1" s="1"/>
  <c r="R1255" i="1"/>
  <c r="Q1255" i="1" s="1"/>
  <c r="R1272" i="1"/>
  <c r="Q1272" i="1" s="1"/>
  <c r="R841" i="1"/>
  <c r="Q841" i="1" s="1"/>
  <c r="R1326" i="1"/>
  <c r="Q1326" i="1" s="1"/>
  <c r="R1509" i="1"/>
  <c r="Q1509" i="1" s="1"/>
  <c r="R947" i="1"/>
  <c r="Q947" i="1" s="1"/>
  <c r="R667" i="1"/>
  <c r="Q667" i="1" s="1"/>
  <c r="R928" i="1"/>
  <c r="Q928" i="1" s="1"/>
  <c r="R893" i="1"/>
  <c r="Q893" i="1" s="1"/>
  <c r="R831" i="1"/>
  <c r="Q831" i="1" s="1"/>
  <c r="R741" i="1"/>
  <c r="Q741" i="1" s="1"/>
  <c r="R1076" i="1"/>
  <c r="Q1076" i="1" s="1"/>
  <c r="R1045" i="1"/>
  <c r="Q1045" i="1" s="1"/>
  <c r="R950" i="1"/>
  <c r="Q950" i="1" s="1"/>
  <c r="R811" i="1"/>
  <c r="Q811" i="1" s="1"/>
  <c r="R740" i="1"/>
  <c r="Q740" i="1" s="1"/>
  <c r="R1342" i="1"/>
  <c r="Q1342" i="1" s="1"/>
  <c r="R1528" i="1"/>
  <c r="Q1528" i="1" s="1"/>
  <c r="Q1258" i="1"/>
  <c r="R1307" i="1"/>
  <c r="Q1307" i="1" s="1"/>
  <c r="R1750" i="1"/>
  <c r="Q1750" i="1" s="1"/>
  <c r="R1636" i="1"/>
  <c r="Q1636" i="1" s="1"/>
  <c r="R1359" i="1"/>
  <c r="Q1359" i="1" s="1"/>
  <c r="R1254" i="1"/>
  <c r="Q1254" i="1" s="1"/>
  <c r="R1120" i="1"/>
  <c r="Q1120" i="1" s="1"/>
  <c r="R460" i="1"/>
  <c r="Q460" i="1" s="1"/>
  <c r="R472" i="1"/>
  <c r="Q472" i="1" s="1"/>
  <c r="R109" i="1"/>
  <c r="Q109" i="1" s="1"/>
  <c r="R12" i="1"/>
  <c r="Q12" i="1" s="1"/>
  <c r="R126" i="1"/>
  <c r="Q126" i="1" s="1"/>
  <c r="R111" i="1"/>
  <c r="Q111" i="1" s="1"/>
  <c r="R844" i="1"/>
  <c r="Q844" i="1" s="1"/>
  <c r="R1490" i="1"/>
  <c r="Q1490" i="1" s="1"/>
  <c r="R1701" i="1"/>
  <c r="Q1701" i="1" s="1"/>
  <c r="R1443" i="1"/>
  <c r="Q1443" i="1" s="1"/>
  <c r="R1264" i="1"/>
  <c r="Q1264" i="1" s="1"/>
  <c r="R546" i="1"/>
  <c r="Q546" i="1" s="1"/>
  <c r="S546" i="1" s="1"/>
  <c r="R522" i="1"/>
  <c r="Q522" i="1" s="1"/>
  <c r="R387" i="1"/>
  <c r="Q387" i="1" s="1"/>
  <c r="R337" i="1"/>
  <c r="Q337" i="1" s="1"/>
  <c r="R98" i="1"/>
  <c r="Q98" i="1" s="1"/>
  <c r="R92" i="1"/>
  <c r="Q92" i="1" s="1"/>
  <c r="R690" i="1"/>
  <c r="Q690" i="1" s="1"/>
  <c r="R912" i="1"/>
  <c r="Q912" i="1" s="1"/>
  <c r="R762" i="1"/>
  <c r="Q762" i="1" s="1"/>
  <c r="R1463" i="1"/>
  <c r="Q1463" i="1" s="1"/>
  <c r="R1368" i="1"/>
  <c r="Q1368" i="1" s="1"/>
  <c r="R1475" i="1"/>
  <c r="Q1475" i="1" s="1"/>
  <c r="R1761" i="1"/>
  <c r="Q1761" i="1" s="1"/>
  <c r="R1569" i="1"/>
  <c r="Q1569" i="1" s="1"/>
  <c r="R1413" i="1"/>
  <c r="Q1413" i="1" s="1"/>
  <c r="R1269" i="1"/>
  <c r="Q1269" i="1" s="1"/>
  <c r="R525" i="1"/>
  <c r="Q525" i="1" s="1"/>
  <c r="R482" i="1"/>
  <c r="Q482" i="1" s="1"/>
  <c r="R411" i="1"/>
  <c r="Q411" i="1" s="1"/>
  <c r="R320" i="1"/>
  <c r="Q320" i="1" s="1"/>
  <c r="R262" i="1"/>
  <c r="Q262" i="1" s="1"/>
  <c r="R44" i="1"/>
  <c r="Q44" i="1" s="1"/>
  <c r="R57" i="1"/>
  <c r="Q57" i="1" s="1"/>
  <c r="R1461" i="1"/>
  <c r="Q1461" i="1" s="1"/>
  <c r="R1483" i="1"/>
  <c r="Q1483" i="1" s="1"/>
  <c r="R602" i="1"/>
  <c r="Q602" i="1" s="1"/>
  <c r="R326" i="1"/>
  <c r="Q326" i="1" s="1"/>
  <c r="R1256" i="1"/>
  <c r="Q1256" i="1" s="1"/>
  <c r="R1455" i="1"/>
  <c r="Q1455" i="1" s="1"/>
  <c r="R1102" i="1"/>
  <c r="Q1102" i="1" s="1"/>
  <c r="R179" i="1"/>
  <c r="Q179" i="1" s="1"/>
  <c r="R1071" i="1"/>
  <c r="Q1071" i="1" s="1"/>
  <c r="R798" i="1"/>
  <c r="Q798" i="1" s="1"/>
  <c r="R1505" i="1"/>
  <c r="Q1505" i="1" s="1"/>
  <c r="R1728" i="1"/>
  <c r="Q1728" i="1" s="1"/>
  <c r="R1333" i="1"/>
  <c r="Q1333" i="1" s="1"/>
  <c r="R481" i="1"/>
  <c r="Q481" i="1" s="1"/>
  <c r="R339" i="1"/>
  <c r="Q339" i="1" s="1"/>
  <c r="R406" i="1"/>
  <c r="Q406" i="1" s="1"/>
  <c r="S406" i="1" s="1"/>
  <c r="R852" i="1"/>
  <c r="Q852" i="1" s="1"/>
  <c r="R730" i="1"/>
  <c r="Q730" i="1" s="1"/>
  <c r="R1064" i="1"/>
  <c r="Q1064" i="1" s="1"/>
  <c r="R978" i="1"/>
  <c r="Q978" i="1" s="1"/>
  <c r="U1138" i="1"/>
  <c r="V1138" i="1" s="1"/>
  <c r="U1150" i="1"/>
  <c r="V1150" i="1" s="1"/>
  <c r="U1149" i="1"/>
  <c r="V1149" i="1" s="1"/>
  <c r="T924" i="1"/>
  <c r="T888" i="1"/>
  <c r="U1268" i="1"/>
  <c r="V1268" i="1" s="1"/>
  <c r="T1085" i="1"/>
  <c r="T1447" i="1"/>
  <c r="T1448" i="1" s="1"/>
  <c r="U1557" i="1"/>
  <c r="V1557" i="1" s="1"/>
  <c r="U1163" i="1"/>
  <c r="V1163" i="1" s="1"/>
  <c r="T366" i="1"/>
  <c r="T513" i="1"/>
  <c r="T514" i="1" s="1"/>
  <c r="T1228" i="1"/>
  <c r="T338" i="1"/>
  <c r="T1066" i="1"/>
  <c r="U1714" i="1"/>
  <c r="V1714" i="1" s="1"/>
  <c r="U1362" i="1"/>
  <c r="V1362" i="1" s="1"/>
  <c r="T1664" i="1"/>
  <c r="U1334" i="1"/>
  <c r="V1334" i="1" s="1"/>
  <c r="T499" i="1"/>
  <c r="R1022" i="1"/>
  <c r="Q1022" i="1" s="1"/>
  <c r="R1141" i="1"/>
  <c r="Q1141" i="1" s="1"/>
  <c r="R1132" i="1"/>
  <c r="Q1132" i="1" s="1"/>
  <c r="R1015" i="1"/>
  <c r="Q1015" i="1" s="1"/>
  <c r="R1138" i="1"/>
  <c r="Q1138" i="1" s="1"/>
  <c r="R1053" i="1"/>
  <c r="Q1053" i="1" s="1"/>
  <c r="R1150" i="1"/>
  <c r="Q1150" i="1" s="1"/>
  <c r="R1149" i="1"/>
  <c r="Q1149" i="1" s="1"/>
  <c r="R814" i="1"/>
  <c r="Q814" i="1" s="1"/>
  <c r="R1684" i="1"/>
  <c r="Q1684" i="1" s="1"/>
  <c r="R710" i="1"/>
  <c r="Q710" i="1" s="1"/>
  <c r="R934" i="1"/>
  <c r="Q934" i="1" s="1"/>
  <c r="R1425" i="1"/>
  <c r="Q1425" i="1" s="1"/>
  <c r="R144" i="1"/>
  <c r="Q144" i="1" s="1"/>
  <c r="R924" i="1"/>
  <c r="Q924" i="1" s="1"/>
  <c r="S924" i="1" s="1"/>
  <c r="R888" i="1"/>
  <c r="Q888" i="1" s="1"/>
  <c r="S888" i="1" s="1"/>
  <c r="R801" i="1"/>
  <c r="Q801" i="1" s="1"/>
  <c r="R737" i="1"/>
  <c r="Q737" i="1" s="1"/>
  <c r="R1073" i="1"/>
  <c r="Q1073" i="1" s="1"/>
  <c r="R998" i="1"/>
  <c r="Q998" i="1" s="1"/>
  <c r="R806" i="1"/>
  <c r="Q806" i="1" s="1"/>
  <c r="R739" i="1"/>
  <c r="Q739" i="1" s="1"/>
  <c r="R1356" i="1"/>
  <c r="Q1356" i="1" s="1"/>
  <c r="R1540" i="1"/>
  <c r="Q1540" i="1" s="1"/>
  <c r="R1278" i="1"/>
  <c r="Q1278" i="1" s="1"/>
  <c r="R1291" i="1"/>
  <c r="Q1291" i="1" s="1"/>
  <c r="R1747" i="1"/>
  <c r="Q1747" i="1" s="1"/>
  <c r="R1498" i="1"/>
  <c r="Q1498" i="1" s="1"/>
  <c r="R1268" i="1"/>
  <c r="Q1268" i="1" s="1"/>
  <c r="R625" i="1"/>
  <c r="Q625" i="1" s="1"/>
  <c r="R452" i="1"/>
  <c r="Q452" i="1" s="1"/>
  <c r="R464" i="1"/>
  <c r="Q464" i="1" s="1"/>
  <c r="R31" i="1"/>
  <c r="Q31" i="1" s="1"/>
  <c r="R114" i="1"/>
  <c r="Q114" i="1" s="1"/>
  <c r="R267" i="1"/>
  <c r="Q267" i="1" s="1"/>
  <c r="R763" i="1"/>
  <c r="Q763" i="1" s="1"/>
  <c r="R1503" i="1"/>
  <c r="Q1503" i="1" s="1"/>
  <c r="R1696" i="1"/>
  <c r="Q1696" i="1" s="1"/>
  <c r="R1441" i="1"/>
  <c r="Q1441" i="1" s="1"/>
  <c r="R1247" i="1"/>
  <c r="Q1247" i="1" s="1"/>
  <c r="R501" i="1"/>
  <c r="Q501" i="1" s="1"/>
  <c r="R381" i="1"/>
  <c r="Q381" i="1" s="1"/>
  <c r="R354" i="1"/>
  <c r="Q354" i="1" s="1"/>
  <c r="R86" i="1"/>
  <c r="Q86" i="1" s="1"/>
  <c r="R10" i="1"/>
  <c r="Q10" i="1" s="1"/>
  <c r="R1085" i="1"/>
  <c r="Q1085" i="1" s="1"/>
  <c r="S1085" i="1" s="1"/>
  <c r="R913" i="1"/>
  <c r="Q913" i="1" s="1"/>
  <c r="R757" i="1"/>
  <c r="Q757" i="1" s="1"/>
  <c r="R1452" i="1"/>
  <c r="Q1452" i="1" s="1"/>
  <c r="R1447" i="1"/>
  <c r="Q1447" i="1" s="1"/>
  <c r="R1557" i="1"/>
  <c r="Q1557" i="1" s="1"/>
  <c r="R1399" i="1"/>
  <c r="Q1399" i="1" s="1"/>
  <c r="R1163" i="1"/>
  <c r="Q1163" i="1" s="1"/>
  <c r="R477" i="1"/>
  <c r="Q477" i="1" s="1"/>
  <c r="R498" i="1"/>
  <c r="Q498" i="1" s="1"/>
  <c r="R366" i="1"/>
  <c r="Q366" i="1" s="1"/>
  <c r="R50" i="1"/>
  <c r="Q50" i="1" s="1"/>
  <c r="R11" i="1"/>
  <c r="Q11" i="1" s="1"/>
  <c r="R1242" i="1"/>
  <c r="Q1242" i="1" s="1"/>
  <c r="R1467" i="1"/>
  <c r="Q1467" i="1" s="1"/>
  <c r="R513" i="1"/>
  <c r="Q513" i="1" s="1"/>
  <c r="S513" i="1" s="1"/>
  <c r="U513" i="1" s="1"/>
  <c r="V513" i="1" s="1"/>
  <c r="R394" i="1"/>
  <c r="Q394" i="1" s="1"/>
  <c r="R1228" i="1"/>
  <c r="Q1228" i="1" s="1"/>
  <c r="R1210" i="1"/>
  <c r="Q1210" i="1" s="1"/>
  <c r="R1472" i="1"/>
  <c r="Q1472" i="1" s="1"/>
  <c r="R497" i="1"/>
  <c r="Q497" i="1" s="1"/>
  <c r="R364" i="1"/>
  <c r="Q364" i="1" s="1"/>
  <c r="R338" i="1"/>
  <c r="Q338" i="1" s="1"/>
  <c r="R1066" i="1"/>
  <c r="Q1066" i="1" s="1"/>
  <c r="S1066" i="1" s="1"/>
  <c r="U1066" i="1" s="1"/>
  <c r="V1066" i="1" s="1"/>
  <c r="R781" i="1"/>
  <c r="Q781" i="1" s="1"/>
  <c r="R1450" i="1"/>
  <c r="Q1450" i="1" s="1"/>
  <c r="R1714" i="1"/>
  <c r="Q1714" i="1" s="1"/>
  <c r="R1362" i="1"/>
  <c r="Q1362" i="1" s="1"/>
  <c r="R584" i="1"/>
  <c r="Q584" i="1" s="1"/>
  <c r="R155" i="1"/>
  <c r="Q155" i="1" s="1"/>
  <c r="R321" i="1"/>
  <c r="Q321" i="1" s="1"/>
  <c r="Q846" i="1"/>
  <c r="R722" i="1"/>
  <c r="Q722" i="1" s="1"/>
  <c r="R1062" i="1"/>
  <c r="Q1062" i="1" s="1"/>
  <c r="R815" i="1"/>
  <c r="Q815" i="1" s="1"/>
  <c r="T1051" i="1"/>
  <c r="U1271" i="1"/>
  <c r="V1271" i="1" s="1"/>
  <c r="T1072" i="1"/>
  <c r="U1348" i="1"/>
  <c r="V1348" i="1" s="1"/>
  <c r="U1253" i="1"/>
  <c r="V1253" i="1" s="1"/>
  <c r="U1681" i="1"/>
  <c r="V1681" i="1" s="1"/>
  <c r="U1431" i="1"/>
  <c r="V1431" i="1" s="1"/>
  <c r="T493" i="1"/>
  <c r="T1759" i="1"/>
  <c r="T1760" i="1" s="1"/>
  <c r="U1548" i="1"/>
  <c r="V1548" i="1" s="1"/>
  <c r="U1375" i="1"/>
  <c r="V1375" i="1" s="1"/>
  <c r="U1168" i="1"/>
  <c r="V1168" i="1" s="1"/>
  <c r="U1332" i="1"/>
  <c r="V1332" i="1" s="1"/>
  <c r="T409" i="1"/>
  <c r="U1347" i="1"/>
  <c r="V1347" i="1" s="1"/>
  <c r="T407" i="1"/>
  <c r="U1193" i="1"/>
  <c r="V1193" i="1" s="1"/>
  <c r="T629" i="1"/>
  <c r="R967" i="1"/>
  <c r="Q967" i="1" s="1"/>
  <c r="R534" i="1"/>
  <c r="Q534" i="1" s="1"/>
  <c r="R416" i="1"/>
  <c r="Q416" i="1" s="1"/>
  <c r="R502" i="1"/>
  <c r="Q502" i="1" s="1"/>
  <c r="R1016" i="1"/>
  <c r="Q1016" i="1" s="1"/>
  <c r="R526" i="1"/>
  <c r="Q526" i="1" s="1"/>
  <c r="R789" i="1"/>
  <c r="Q789" i="1" s="1"/>
  <c r="R1391" i="1"/>
  <c r="Q1391" i="1" s="1"/>
  <c r="R1051" i="1"/>
  <c r="Q1051" i="1" s="1"/>
  <c r="S1051" i="1" s="1"/>
  <c r="U1051" i="1" s="1"/>
  <c r="V1051" i="1" s="1"/>
  <c r="R1271" i="1"/>
  <c r="Q1271" i="1" s="1"/>
  <c r="R1586" i="1"/>
  <c r="Q1586" i="1" s="1"/>
  <c r="R138" i="1"/>
  <c r="Q138" i="1" s="1"/>
  <c r="R933" i="1"/>
  <c r="Q933" i="1" s="1"/>
  <c r="R858" i="1"/>
  <c r="Q858" i="1" s="1"/>
  <c r="R797" i="1"/>
  <c r="Q797" i="1" s="1"/>
  <c r="R736" i="1"/>
  <c r="Q736" i="1" s="1"/>
  <c r="R1072" i="1"/>
  <c r="Q1072" i="1" s="1"/>
  <c r="S1072" i="1" s="1"/>
  <c r="R1000" i="1"/>
  <c r="Q1000" i="1" s="1"/>
  <c r="R805" i="1"/>
  <c r="Q805" i="1" s="1"/>
  <c r="R733" i="1"/>
  <c r="Q733" i="1" s="1"/>
  <c r="R1564" i="1"/>
  <c r="Q1564" i="1" s="1"/>
  <c r="R1631" i="1"/>
  <c r="Q1631" i="1" s="1"/>
  <c r="R1308" i="1"/>
  <c r="Q1308" i="1" s="1"/>
  <c r="R1745" i="1"/>
  <c r="Q1745" i="1" s="1"/>
  <c r="R1513" i="1"/>
  <c r="Q1513" i="1" s="1"/>
  <c r="R1348" i="1"/>
  <c r="Q1348" i="1" s="1"/>
  <c r="R1253" i="1"/>
  <c r="Q1253" i="1" s="1"/>
  <c r="R430" i="1"/>
  <c r="Q430" i="1" s="1"/>
  <c r="R440" i="1"/>
  <c r="Q440" i="1" s="1"/>
  <c r="R67" i="1"/>
  <c r="Q67" i="1" s="1"/>
  <c r="R36" i="1"/>
  <c r="Q36" i="1" s="1"/>
  <c r="R78" i="1"/>
  <c r="Q78" i="1" s="1"/>
  <c r="R298" i="1"/>
  <c r="Q298" i="1" s="1"/>
  <c r="R1489" i="1"/>
  <c r="Q1489" i="1" s="1"/>
  <c r="R1681" i="1"/>
  <c r="Q1681" i="1" s="1"/>
  <c r="R1431" i="1"/>
  <c r="Q1431" i="1" s="1"/>
  <c r="R493" i="1"/>
  <c r="Q493" i="1" s="1"/>
  <c r="R483" i="1"/>
  <c r="Q483" i="1" s="1"/>
  <c r="R393" i="1"/>
  <c r="Q393" i="1" s="1"/>
  <c r="R15" i="1"/>
  <c r="Q15" i="1" s="1"/>
  <c r="R5" i="1"/>
  <c r="Q5" i="1" s="1"/>
  <c r="R911" i="1"/>
  <c r="Q911" i="1" s="1"/>
  <c r="R1460" i="1"/>
  <c r="Q1460" i="1" s="1"/>
  <c r="Q1548" i="1"/>
  <c r="R1375" i="1"/>
  <c r="Q1375" i="1" s="1"/>
  <c r="R1168" i="1"/>
  <c r="Q1168" i="1" s="1"/>
  <c r="R467" i="1"/>
  <c r="Q467" i="1" s="1"/>
  <c r="R358" i="1"/>
  <c r="Q358" i="1" s="1"/>
  <c r="R311" i="1"/>
  <c r="Q311" i="1" s="1"/>
  <c r="R56" i="1"/>
  <c r="Q56" i="1" s="1"/>
  <c r="R4" i="1"/>
  <c r="Q4" i="1" s="1"/>
  <c r="Q1185" i="1"/>
  <c r="R1501" i="1"/>
  <c r="Q1501" i="1" s="1"/>
  <c r="R276" i="1"/>
  <c r="Q276" i="1" s="1"/>
  <c r="R1209" i="1"/>
  <c r="Q1209" i="1" s="1"/>
  <c r="R596" i="1"/>
  <c r="Q596" i="1" s="1"/>
  <c r="R356" i="1"/>
  <c r="Q356" i="1" s="1"/>
  <c r="R409" i="1"/>
  <c r="Q409" i="1" s="1"/>
  <c r="S409" i="1" s="1"/>
  <c r="U409" i="1" s="1"/>
  <c r="V409" i="1" s="1"/>
  <c r="R1032" i="1"/>
  <c r="Q1032" i="1" s="1"/>
  <c r="R799" i="1"/>
  <c r="Q799" i="1" s="1"/>
  <c r="R1504" i="1"/>
  <c r="Q1504" i="1" s="1"/>
  <c r="R1731" i="1"/>
  <c r="Q1731" i="1" s="1"/>
  <c r="R1347" i="1"/>
  <c r="Q1347" i="1" s="1"/>
  <c r="R489" i="1"/>
  <c r="Q489" i="1" s="1"/>
  <c r="R143" i="1"/>
  <c r="Q143" i="1" s="1"/>
  <c r="R407" i="1"/>
  <c r="Q407" i="1" s="1"/>
  <c r="S407" i="1" s="1"/>
  <c r="R731" i="1"/>
  <c r="Q731" i="1" s="1"/>
  <c r="R1067" i="1"/>
  <c r="Q1067" i="1" s="1"/>
  <c r="R991" i="1"/>
  <c r="Q991" i="1" s="1"/>
  <c r="R509" i="1"/>
  <c r="Q509" i="1" s="1"/>
  <c r="R68" i="1"/>
  <c r="Q68" i="1" s="1"/>
  <c r="U1152" i="1"/>
  <c r="V1152" i="1" s="1"/>
  <c r="U1487" i="1"/>
  <c r="V1487" i="1" s="1"/>
  <c r="U1376" i="1"/>
  <c r="V1376" i="1" s="1"/>
  <c r="U1234" i="1"/>
  <c r="V1234" i="1" s="1"/>
  <c r="U1688" i="1"/>
  <c r="V1688" i="1" s="1"/>
  <c r="U1445" i="1"/>
  <c r="V1445" i="1" s="1"/>
  <c r="U1389" i="1"/>
  <c r="V1389" i="1" s="1"/>
  <c r="U1178" i="1"/>
  <c r="V1178" i="1" s="1"/>
  <c r="U1346" i="1"/>
  <c r="V1346" i="1" s="1"/>
  <c r="T590" i="1"/>
  <c r="T408" i="1"/>
  <c r="U1318" i="1"/>
  <c r="V1318" i="1" s="1"/>
  <c r="T639" i="1"/>
  <c r="T1685" i="1"/>
  <c r="U1600" i="1"/>
  <c r="V1600" i="1" s="1"/>
  <c r="U1303" i="1"/>
  <c r="V1303" i="1" s="1"/>
  <c r="T599" i="1"/>
  <c r="R903" i="1"/>
  <c r="Q903" i="1" s="1"/>
  <c r="R466" i="1"/>
  <c r="Q466" i="1" s="1"/>
  <c r="R434" i="1"/>
  <c r="Q434" i="1" s="1"/>
  <c r="R964" i="1"/>
  <c r="Q964" i="1" s="1"/>
  <c r="R442" i="1"/>
  <c r="Q442" i="1" s="1"/>
  <c r="R458" i="1"/>
  <c r="Q458" i="1" s="1"/>
  <c r="R754" i="1"/>
  <c r="Q754" i="1" s="1"/>
  <c r="R1756" i="1"/>
  <c r="Q1756" i="1" s="1"/>
  <c r="R1014" i="1"/>
  <c r="Q1014" i="1" s="1"/>
  <c r="R1152" i="1"/>
  <c r="Q1152" i="1" s="1"/>
  <c r="R898" i="1"/>
  <c r="Q898" i="1" s="1"/>
  <c r="R1294" i="1"/>
  <c r="Q1294" i="1" s="1"/>
  <c r="R147" i="1"/>
  <c r="Q147" i="1" s="1"/>
  <c r="R932" i="1"/>
  <c r="Q932" i="1" s="1"/>
  <c r="R854" i="1"/>
  <c r="Q854" i="1" s="1"/>
  <c r="R747" i="1"/>
  <c r="Q747" i="1" s="1"/>
  <c r="R999" i="1"/>
  <c r="Q999" i="1" s="1"/>
  <c r="R949" i="1"/>
  <c r="Q949" i="1" s="1"/>
  <c r="R810" i="1"/>
  <c r="Q810" i="1" s="1"/>
  <c r="R738" i="1"/>
  <c r="Q738" i="1" s="1"/>
  <c r="Q1574" i="1"/>
  <c r="R1574" i="1"/>
  <c r="R1648" i="1"/>
  <c r="Q1648" i="1" s="1"/>
  <c r="R1324" i="1"/>
  <c r="Q1324" i="1" s="1"/>
  <c r="R1743" i="1"/>
  <c r="Q1743" i="1" s="1"/>
  <c r="R1487" i="1"/>
  <c r="Q1487" i="1" s="1"/>
  <c r="R1376" i="1"/>
  <c r="Q1376" i="1" s="1"/>
  <c r="R1234" i="1"/>
  <c r="Q1234" i="1" s="1"/>
  <c r="R423" i="1"/>
  <c r="Q423" i="1" s="1"/>
  <c r="R516" i="1"/>
  <c r="Q516" i="1" s="1"/>
  <c r="R432" i="1"/>
  <c r="Q432" i="1" s="1"/>
  <c r="R55" i="1"/>
  <c r="Q55" i="1" s="1"/>
  <c r="R96" i="1"/>
  <c r="Q96" i="1" s="1"/>
  <c r="R66" i="1"/>
  <c r="Q66" i="1" s="1"/>
  <c r="R288" i="1"/>
  <c r="Q288" i="1" s="1"/>
  <c r="R1480" i="1"/>
  <c r="Q1480" i="1" s="1"/>
  <c r="R1474" i="1"/>
  <c r="Q1474" i="1" s="1"/>
  <c r="Q1688" i="1"/>
  <c r="R1688" i="1"/>
  <c r="Q1445" i="1"/>
  <c r="R1445" i="1"/>
  <c r="R1175" i="1"/>
  <c r="Q1175" i="1" s="1"/>
  <c r="R453" i="1"/>
  <c r="Q453" i="1" s="1"/>
  <c r="R491" i="1"/>
  <c r="Q491" i="1" s="1"/>
  <c r="R368" i="1"/>
  <c r="Q368" i="1" s="1"/>
  <c r="R1060" i="1"/>
  <c r="Q1060" i="1" s="1"/>
  <c r="R758" i="1"/>
  <c r="Q758" i="1" s="1"/>
  <c r="R1641" i="1"/>
  <c r="Q1641" i="1" s="1"/>
  <c r="R1354" i="1"/>
  <c r="Q1354" i="1" s="1"/>
  <c r="R1433" i="1"/>
  <c r="Q1433" i="1" s="1"/>
  <c r="R1760" i="1"/>
  <c r="Q1760" i="1" s="1"/>
  <c r="R1560" i="1"/>
  <c r="Q1560" i="1" s="1"/>
  <c r="R1389" i="1"/>
  <c r="Q1389" i="1" s="1"/>
  <c r="R1178" i="1"/>
  <c r="Q1178" i="1" s="1"/>
  <c r="R469" i="1"/>
  <c r="Q469" i="1" s="1"/>
  <c r="R459" i="1"/>
  <c r="Q459" i="1" s="1"/>
  <c r="Q373" i="1"/>
  <c r="R259" i="1"/>
  <c r="Q259" i="1" s="1"/>
  <c r="R62" i="1"/>
  <c r="Q62" i="1" s="1"/>
  <c r="R297" i="1"/>
  <c r="Q297" i="1" s="1"/>
  <c r="R88" i="1"/>
  <c r="Q88" i="1" s="1"/>
  <c r="R1623" i="1"/>
  <c r="Q1623" i="1" s="1"/>
  <c r="R1454" i="1"/>
  <c r="Q1454" i="1" s="1"/>
  <c r="R521" i="1"/>
  <c r="Q521" i="1" s="1"/>
  <c r="R985" i="1"/>
  <c r="Q985" i="1" s="1"/>
  <c r="R1438" i="1"/>
  <c r="Q1438" i="1" s="1"/>
  <c r="R1725" i="1"/>
  <c r="Q1725" i="1" s="1"/>
  <c r="R1346" i="1"/>
  <c r="Q1346" i="1" s="1"/>
  <c r="R348" i="1"/>
  <c r="Q348" i="1" s="1"/>
  <c r="R408" i="1"/>
  <c r="Q408" i="1" s="1"/>
  <c r="S408" i="1" s="1"/>
  <c r="R1040" i="1"/>
  <c r="Q1040" i="1" s="1"/>
  <c r="Q782" i="1"/>
  <c r="Q1449" i="1"/>
  <c r="R1707" i="1"/>
  <c r="Q1707" i="1" s="1"/>
  <c r="R639" i="1"/>
  <c r="Q639" i="1" s="1"/>
  <c r="S639" i="1" s="1"/>
  <c r="U639" i="1" s="1"/>
  <c r="V639" i="1" s="1"/>
  <c r="R330" i="1"/>
  <c r="Q330" i="1" s="1"/>
  <c r="R847" i="1"/>
  <c r="Q847" i="1" s="1"/>
  <c r="R727" i="1"/>
  <c r="Q727" i="1" s="1"/>
  <c r="R1065" i="1"/>
  <c r="Q1065" i="1" s="1"/>
  <c r="R1499" i="1"/>
  <c r="Q1499" i="1" s="1"/>
  <c r="R510" i="1"/>
  <c r="Q510" i="1" s="1"/>
  <c r="R251" i="1"/>
  <c r="Q251" i="1" s="1"/>
  <c r="U1660" i="1"/>
  <c r="V1660" i="1" s="1"/>
  <c r="T494" i="1"/>
  <c r="T867" i="1"/>
  <c r="T1077" i="1"/>
  <c r="U1486" i="1"/>
  <c r="V1486" i="1" s="1"/>
  <c r="U1270" i="1"/>
  <c r="V1270" i="1" s="1"/>
  <c r="T443" i="1"/>
  <c r="T333" i="1"/>
  <c r="T1059" i="1"/>
  <c r="T1735" i="1"/>
  <c r="U1403" i="1"/>
  <c r="V1403" i="1" s="1"/>
  <c r="U1167" i="1"/>
  <c r="V1167" i="1" s="1"/>
  <c r="T315" i="1"/>
  <c r="T316" i="1" s="1"/>
  <c r="T1033" i="1"/>
  <c r="T641" i="1"/>
  <c r="T1034" i="1"/>
  <c r="T1608" i="1"/>
  <c r="U1305" i="1"/>
  <c r="V1305" i="1" s="1"/>
  <c r="U1166" i="1"/>
  <c r="V1166" i="1" s="1"/>
  <c r="T621" i="1"/>
  <c r="R838" i="1"/>
  <c r="Q838" i="1" s="1"/>
  <c r="R528" i="1"/>
  <c r="Q528" i="1" s="1"/>
  <c r="R832" i="1"/>
  <c r="Q832" i="1" s="1"/>
  <c r="R496" i="1"/>
  <c r="Q496" i="1" s="1"/>
  <c r="R520" i="1"/>
  <c r="Q520" i="1" s="1"/>
  <c r="R716" i="1"/>
  <c r="Q716" i="1" s="1"/>
  <c r="R1660" i="1"/>
  <c r="Q1660" i="1" s="1"/>
  <c r="R960" i="1"/>
  <c r="Q960" i="1" s="1"/>
  <c r="R494" i="1"/>
  <c r="Q494" i="1" s="1"/>
  <c r="R867" i="1"/>
  <c r="Q867" i="1" s="1"/>
  <c r="S867" i="1" s="1"/>
  <c r="U867" i="1" s="1"/>
  <c r="V867" i="1" s="1"/>
  <c r="R1671" i="1"/>
  <c r="Q1671" i="1" s="1"/>
  <c r="R927" i="1"/>
  <c r="Q927" i="1" s="1"/>
  <c r="R853" i="1"/>
  <c r="Q853" i="1" s="1"/>
  <c r="R807" i="1"/>
  <c r="Q807" i="1" s="1"/>
  <c r="R743" i="1"/>
  <c r="Q743" i="1" s="1"/>
  <c r="R1077" i="1"/>
  <c r="Q1077" i="1" s="1"/>
  <c r="S1077" i="1" s="1"/>
  <c r="U1077" i="1" s="1"/>
  <c r="V1077" i="1" s="1"/>
  <c r="R996" i="1"/>
  <c r="Q996" i="1" s="1"/>
  <c r="R954" i="1"/>
  <c r="Q954" i="1" s="1"/>
  <c r="R651" i="1"/>
  <c r="Q651" i="1" s="1"/>
  <c r="R1575" i="1"/>
  <c r="Q1575" i="1" s="1"/>
  <c r="R1640" i="1"/>
  <c r="Q1640" i="1" s="1"/>
  <c r="R1366" i="1"/>
  <c r="Q1366" i="1" s="1"/>
  <c r="R1746" i="1"/>
  <c r="Q1746" i="1" s="1"/>
  <c r="R1486" i="1"/>
  <c r="Q1486" i="1" s="1"/>
  <c r="R1374" i="1"/>
  <c r="Q1374" i="1" s="1"/>
  <c r="R1270" i="1"/>
  <c r="Q1270" i="1" s="1"/>
  <c r="R620" i="1"/>
  <c r="Q620" i="1" s="1"/>
  <c r="R414" i="1"/>
  <c r="Q414" i="1" s="1"/>
  <c r="R456" i="1"/>
  <c r="Q456" i="1" s="1"/>
  <c r="R19" i="1"/>
  <c r="Q19" i="1" s="1"/>
  <c r="R132" i="1"/>
  <c r="Q132" i="1" s="1"/>
  <c r="R102" i="1"/>
  <c r="Q102" i="1" s="1"/>
  <c r="R256" i="1"/>
  <c r="Q256" i="1" s="1"/>
  <c r="R1634" i="1"/>
  <c r="Q1634" i="1" s="1"/>
  <c r="R1435" i="1"/>
  <c r="Q1435" i="1" s="1"/>
  <c r="R1676" i="1"/>
  <c r="Q1676" i="1" s="1"/>
  <c r="R1400" i="1"/>
  <c r="Q1400" i="1" s="1"/>
  <c r="R461" i="1"/>
  <c r="Q461" i="1" s="1"/>
  <c r="R443" i="1"/>
  <c r="Q443" i="1" s="1"/>
  <c r="R333" i="1"/>
  <c r="Q333" i="1" s="1"/>
  <c r="R281" i="1"/>
  <c r="Q281" i="1" s="1"/>
  <c r="R266" i="1"/>
  <c r="Q266" i="1" s="1"/>
  <c r="R1059" i="1"/>
  <c r="Q1059" i="1" s="1"/>
  <c r="S1059" i="1" s="1"/>
  <c r="U1059" i="1" s="1"/>
  <c r="V1059" i="1" s="1"/>
  <c r="R907" i="1"/>
  <c r="Q907" i="1" s="1"/>
  <c r="R1642" i="1"/>
  <c r="Q1642" i="1" s="1"/>
  <c r="R1735" i="1"/>
  <c r="Q1735" i="1" s="1"/>
  <c r="S1735" i="1" s="1"/>
  <c r="R1448" i="1"/>
  <c r="Q1448" i="1" s="1"/>
  <c r="R1682" i="1"/>
  <c r="Q1682" i="1" s="1"/>
  <c r="R1403" i="1"/>
  <c r="Q1403" i="1" s="1"/>
  <c r="R1167" i="1"/>
  <c r="Q1167" i="1" s="1"/>
  <c r="Q429" i="1"/>
  <c r="R429" i="1"/>
  <c r="R475" i="1"/>
  <c r="Q475" i="1" s="1"/>
  <c r="R315" i="1"/>
  <c r="Q315" i="1" s="1"/>
  <c r="R247" i="1"/>
  <c r="Q247" i="1" s="1"/>
  <c r="R352" i="1"/>
  <c r="Q352" i="1" s="1"/>
  <c r="R307" i="1"/>
  <c r="Q307" i="1" s="1"/>
  <c r="R76" i="1"/>
  <c r="Q76" i="1" s="1"/>
  <c r="R1573" i="1"/>
  <c r="Q1573" i="1" s="1"/>
  <c r="R1343" i="1"/>
  <c r="Q1343" i="1" s="1"/>
  <c r="R436" i="1"/>
  <c r="Q436" i="1" s="1"/>
  <c r="R1462" i="1"/>
  <c r="Q1462" i="1" s="1"/>
  <c r="R1729" i="1"/>
  <c r="Q1729" i="1" s="1"/>
  <c r="R167" i="1"/>
  <c r="Q167" i="1" s="1"/>
  <c r="R345" i="1"/>
  <c r="Q345" i="1" s="1"/>
  <c r="R1033" i="1"/>
  <c r="Q1033" i="1" s="1"/>
  <c r="S1033" i="1" s="1"/>
  <c r="R717" i="1"/>
  <c r="Q717" i="1" s="1"/>
  <c r="R1201" i="1"/>
  <c r="Q1201" i="1" s="1"/>
  <c r="R1706" i="1"/>
  <c r="Q1706" i="1" s="1"/>
  <c r="R1321" i="1"/>
  <c r="Q1321" i="1" s="1"/>
  <c r="R641" i="1"/>
  <c r="Q641" i="1" s="1"/>
  <c r="S641" i="1" s="1"/>
  <c r="U641" i="1" s="1"/>
  <c r="V641" i="1" s="1"/>
  <c r="R101" i="1"/>
  <c r="Q101" i="1" s="1"/>
  <c r="R202" i="1"/>
  <c r="Q202" i="1" s="1"/>
  <c r="R820" i="1"/>
  <c r="Q820" i="1" s="1"/>
  <c r="R698" i="1"/>
  <c r="Q698" i="1" s="1"/>
  <c r="R715" i="1"/>
  <c r="Q715" i="1" s="1"/>
  <c r="R609" i="1"/>
  <c r="Q609" i="1" s="1"/>
  <c r="U1524" i="1"/>
  <c r="V1524" i="1" s="1"/>
  <c r="T1351" i="1"/>
  <c r="T1352" i="1" s="1"/>
  <c r="U1123" i="1"/>
  <c r="V1123" i="1" s="1"/>
  <c r="U1675" i="1"/>
  <c r="V1675" i="1" s="1"/>
  <c r="U1179" i="1"/>
  <c r="V1179" i="1" s="1"/>
  <c r="T397" i="1"/>
  <c r="T1656" i="1"/>
  <c r="T1732" i="1"/>
  <c r="T422" i="1"/>
  <c r="T423" i="1" s="1"/>
  <c r="T415" i="1"/>
  <c r="T604" i="1"/>
  <c r="T586" i="1"/>
  <c r="U1236" i="1"/>
  <c r="V1236" i="1" s="1"/>
  <c r="T568" i="1"/>
  <c r="T1649" i="1"/>
  <c r="T1188" i="1"/>
  <c r="U1611" i="1"/>
  <c r="V1611" i="1" s="1"/>
  <c r="U1485" i="1"/>
  <c r="V1485" i="1" s="1"/>
  <c r="T617" i="1"/>
  <c r="T549" i="1"/>
  <c r="R752" i="1"/>
  <c r="Q752" i="1" s="1"/>
  <c r="Q217" i="1"/>
  <c r="R229" i="1"/>
  <c r="Q229" i="1" s="1"/>
  <c r="R746" i="1"/>
  <c r="Q746" i="1" s="1"/>
  <c r="R833" i="1"/>
  <c r="Q833" i="1" s="1"/>
  <c r="R205" i="1"/>
  <c r="Q205" i="1" s="1"/>
  <c r="R685" i="1"/>
  <c r="Q685" i="1" s="1"/>
  <c r="R1524" i="1"/>
  <c r="Q1524" i="1" s="1"/>
  <c r="R896" i="1"/>
  <c r="Q896" i="1" s="1"/>
  <c r="R427" i="1"/>
  <c r="Q427" i="1" s="1"/>
  <c r="R842" i="1"/>
  <c r="Q842" i="1" s="1"/>
  <c r="R1351" i="1"/>
  <c r="Q1351" i="1" s="1"/>
  <c r="R40" i="1"/>
  <c r="Q40" i="1" s="1"/>
  <c r="R909" i="1"/>
  <c r="Q909" i="1" s="1"/>
  <c r="R860" i="1"/>
  <c r="Q860" i="1" s="1"/>
  <c r="R1080" i="1"/>
  <c r="Q1080" i="1" s="1"/>
  <c r="R997" i="1"/>
  <c r="Q997" i="1" s="1"/>
  <c r="R826" i="1"/>
  <c r="Q826" i="1" s="1"/>
  <c r="R1355" i="1"/>
  <c r="Q1355" i="1" s="1"/>
  <c r="R1552" i="1"/>
  <c r="Q1552" i="1" s="1"/>
  <c r="R1622" i="1"/>
  <c r="Q1622" i="1" s="1"/>
  <c r="R1352" i="1"/>
  <c r="Q1352" i="1" s="1"/>
  <c r="R1621" i="1"/>
  <c r="Q1621" i="1" s="1"/>
  <c r="R1482" i="1"/>
  <c r="Q1482" i="1" s="1"/>
  <c r="R1378" i="1"/>
  <c r="Q1378" i="1" s="1"/>
  <c r="R1123" i="1"/>
  <c r="Q1123" i="1" s="1"/>
  <c r="R615" i="1"/>
  <c r="Q615" i="1" s="1"/>
  <c r="R532" i="1"/>
  <c r="Q532" i="1" s="1"/>
  <c r="R9" i="1"/>
  <c r="Q9" i="1" s="1"/>
  <c r="R120" i="1"/>
  <c r="Q120" i="1" s="1"/>
  <c r="R27" i="1"/>
  <c r="Q27" i="1" s="1"/>
  <c r="R244" i="1"/>
  <c r="Q244" i="1" s="1"/>
  <c r="R1381" i="1"/>
  <c r="Q1381" i="1" s="1"/>
  <c r="R1421" i="1"/>
  <c r="Q1421" i="1" s="1"/>
  <c r="R1675" i="1"/>
  <c r="Q1675" i="1" s="1"/>
  <c r="R1179" i="1"/>
  <c r="Q1179" i="1" s="1"/>
  <c r="R445" i="1"/>
  <c r="Q445" i="1" s="1"/>
  <c r="R397" i="1"/>
  <c r="Q397" i="1" s="1"/>
  <c r="S397" i="1" s="1"/>
  <c r="U397" i="1" s="1"/>
  <c r="V397" i="1" s="1"/>
  <c r="R328" i="1"/>
  <c r="Q328" i="1" s="1"/>
  <c r="R277" i="1"/>
  <c r="Q277" i="1" s="1"/>
  <c r="R1056" i="1"/>
  <c r="Q1056" i="1" s="1"/>
  <c r="R687" i="1"/>
  <c r="Q687" i="1" s="1"/>
  <c r="R1656" i="1"/>
  <c r="Q1656" i="1" s="1"/>
  <c r="S1656" i="1" s="1"/>
  <c r="U1656" i="1" s="1"/>
  <c r="V1656" i="1" s="1"/>
  <c r="Q1732" i="1"/>
  <c r="S1732" i="1" s="1"/>
  <c r="R1680" i="1"/>
  <c r="Q1680" i="1" s="1"/>
  <c r="R1537" i="1"/>
  <c r="Q1537" i="1" s="1"/>
  <c r="R1299" i="1"/>
  <c r="Q1299" i="1" s="1"/>
  <c r="R1151" i="1"/>
  <c r="Q1151" i="1" s="1"/>
  <c r="R422" i="1"/>
  <c r="Q422" i="1" s="1"/>
  <c r="R415" i="1"/>
  <c r="Q415" i="1" s="1"/>
  <c r="S415" i="1" s="1"/>
  <c r="R324" i="1"/>
  <c r="Q324" i="1" s="1"/>
  <c r="R270" i="1"/>
  <c r="Q270" i="1" s="1"/>
  <c r="R344" i="1"/>
  <c r="Q344" i="1" s="1"/>
  <c r="R287" i="1"/>
  <c r="Q287" i="1" s="1"/>
  <c r="R64" i="1"/>
  <c r="Q64" i="1" s="1"/>
  <c r="R1196" i="1"/>
  <c r="Q1196" i="1" s="1"/>
  <c r="R604" i="1"/>
  <c r="Q604" i="1" s="1"/>
  <c r="S604" i="1" s="1"/>
  <c r="R866" i="1"/>
  <c r="Q866" i="1" s="1"/>
  <c r="R1226" i="1"/>
  <c r="Q1226" i="1" s="1"/>
  <c r="R1715" i="1"/>
  <c r="Q1715" i="1" s="1"/>
  <c r="R586" i="1"/>
  <c r="Q586" i="1" s="1"/>
  <c r="S586" i="1" s="1"/>
  <c r="U586" i="1" s="1"/>
  <c r="V586" i="1" s="1"/>
  <c r="R191" i="1"/>
  <c r="Q191" i="1" s="1"/>
  <c r="R994" i="1"/>
  <c r="Q994" i="1" s="1"/>
  <c r="R700" i="1"/>
  <c r="Q700" i="1" s="1"/>
  <c r="R1598" i="1"/>
  <c r="Q1598" i="1" s="1"/>
  <c r="R1236" i="1"/>
  <c r="Q1236" i="1" s="1"/>
  <c r="R568" i="1"/>
  <c r="Q568" i="1" s="1"/>
  <c r="S568" i="1" s="1"/>
  <c r="U568" i="1" s="1"/>
  <c r="V568" i="1" s="1"/>
  <c r="R272" i="1"/>
  <c r="Q272" i="1" s="1"/>
  <c r="R819" i="1"/>
  <c r="Q819" i="1" s="1"/>
  <c r="R684" i="1"/>
  <c r="Q684" i="1" s="1"/>
  <c r="R688" i="1"/>
  <c r="Q688" i="1" s="1"/>
  <c r="R1434" i="1"/>
  <c r="Q1434" i="1" s="1"/>
  <c r="R505" i="1"/>
  <c r="Q505" i="1" s="1"/>
  <c r="R329" i="1"/>
  <c r="Q329" i="1" s="1"/>
  <c r="T1082" i="1"/>
  <c r="U1387" i="1"/>
  <c r="V1387" i="1" s="1"/>
  <c r="T981" i="1"/>
  <c r="T1078" i="1"/>
  <c r="U1361" i="1"/>
  <c r="V1361" i="1" s="1"/>
  <c r="U1668" i="1"/>
  <c r="V1668" i="1" s="1"/>
  <c r="U1402" i="1"/>
  <c r="V1402" i="1" s="1"/>
  <c r="T1058" i="1"/>
  <c r="T1738" i="1"/>
  <c r="U1546" i="1"/>
  <c r="V1546" i="1" s="1"/>
  <c r="U1164" i="1"/>
  <c r="V1164" i="1" s="1"/>
  <c r="U1345" i="1"/>
  <c r="V1345" i="1" s="1"/>
  <c r="T444" i="1"/>
  <c r="U1708" i="1"/>
  <c r="V1708" i="1" s="1"/>
  <c r="T647" i="1"/>
  <c r="U1590" i="1"/>
  <c r="V1590" i="1" s="1"/>
  <c r="U1207" i="1"/>
  <c r="V1207" i="1" s="1"/>
  <c r="T643" i="1"/>
  <c r="T1531" i="1"/>
  <c r="U1457" i="1"/>
  <c r="V1457" i="1" s="1"/>
  <c r="U1165" i="1"/>
  <c r="V1165" i="1" s="1"/>
  <c r="T605" i="1"/>
  <c r="T637" i="1"/>
  <c r="T582" i="1"/>
  <c r="T583" i="1" s="1"/>
  <c r="R675" i="1"/>
  <c r="Q675" i="1" s="1"/>
  <c r="R223" i="1"/>
  <c r="Q223" i="1" s="1"/>
  <c r="R235" i="1"/>
  <c r="Q235" i="1" s="1"/>
  <c r="R669" i="1"/>
  <c r="Q669" i="1" s="1"/>
  <c r="R175" i="1"/>
  <c r="Q175" i="1" s="1"/>
  <c r="R750" i="1"/>
  <c r="Q750" i="1" s="1"/>
  <c r="R187" i="1"/>
  <c r="Q187" i="1" s="1"/>
  <c r="R211" i="1"/>
  <c r="Q211" i="1" s="1"/>
  <c r="R1082" i="1"/>
  <c r="Q1082" i="1" s="1"/>
  <c r="S1082" i="1" s="1"/>
  <c r="R488" i="1"/>
  <c r="Q488" i="1" s="1"/>
  <c r="R812" i="1"/>
  <c r="Q812" i="1" s="1"/>
  <c r="R1752" i="1"/>
  <c r="Q1752" i="1" s="1"/>
  <c r="R862" i="1"/>
  <c r="Q862" i="1" s="1"/>
  <c r="R802" i="1"/>
  <c r="Q802" i="1" s="1"/>
  <c r="R704" i="1"/>
  <c r="Q704" i="1" s="1"/>
  <c r="R1078" i="1"/>
  <c r="Q1078" i="1" s="1"/>
  <c r="S1078" i="1" s="1"/>
  <c r="R885" i="1"/>
  <c r="Q885" i="1" s="1"/>
  <c r="R821" i="1"/>
  <c r="Q821" i="1" s="1"/>
  <c r="R1397" i="1"/>
  <c r="Q1397" i="1" s="1"/>
  <c r="R1553" i="1"/>
  <c r="Q1553" i="1" s="1"/>
  <c r="R1632" i="1"/>
  <c r="Q1632" i="1" s="1"/>
  <c r="R1323" i="1"/>
  <c r="Q1323" i="1" s="1"/>
  <c r="R1635" i="1"/>
  <c r="Q1635" i="1" s="1"/>
  <c r="R1497" i="1"/>
  <c r="Q1497" i="1" s="1"/>
  <c r="R1361" i="1"/>
  <c r="Q1361" i="1" s="1"/>
  <c r="R417" i="1"/>
  <c r="Q417" i="1" s="1"/>
  <c r="R61" i="1"/>
  <c r="Q61" i="1" s="1"/>
  <c r="R43" i="1"/>
  <c r="Q43" i="1" s="1"/>
  <c r="R84" i="1"/>
  <c r="Q84" i="1" s="1"/>
  <c r="R63" i="1"/>
  <c r="Q63" i="1" s="1"/>
  <c r="R278" i="1"/>
  <c r="Q278" i="1" s="1"/>
  <c r="R1408" i="1"/>
  <c r="Q1408" i="1" s="1"/>
  <c r="R1407" i="1"/>
  <c r="Q1407" i="1" s="1"/>
  <c r="R1402" i="1"/>
  <c r="Q1402" i="1" s="1"/>
  <c r="R619" i="1"/>
  <c r="Q619" i="1" s="1"/>
  <c r="R451" i="1"/>
  <c r="Q451" i="1" s="1"/>
  <c r="R285" i="1"/>
  <c r="Q285" i="1" s="1"/>
  <c r="R17" i="1"/>
  <c r="Q17" i="1" s="1"/>
  <c r="R319" i="1"/>
  <c r="Q319" i="1" s="1"/>
  <c r="R255" i="1"/>
  <c r="Q255" i="1" s="1"/>
  <c r="R1058" i="1"/>
  <c r="Q1058" i="1" s="1"/>
  <c r="S1058" i="1" s="1"/>
  <c r="R849" i="1"/>
  <c r="Q849" i="1" s="1"/>
  <c r="R689" i="1"/>
  <c r="Q689" i="1" s="1"/>
  <c r="R1633" i="1"/>
  <c r="Q1633" i="1" s="1"/>
  <c r="R1738" i="1"/>
  <c r="Q1738" i="1" s="1"/>
  <c r="S1738" i="1" s="1"/>
  <c r="R1687" i="1"/>
  <c r="Q1687" i="1" s="1"/>
  <c r="R1283" i="1"/>
  <c r="Q1283" i="1" s="1"/>
  <c r="R1164" i="1"/>
  <c r="Q1164" i="1" s="1"/>
  <c r="Q437" i="1"/>
  <c r="R437" i="1"/>
  <c r="R305" i="1"/>
  <c r="Q305" i="1" s="1"/>
  <c r="R385" i="1"/>
  <c r="Q385" i="1" s="1"/>
  <c r="R359" i="1"/>
  <c r="Q359" i="1" s="1"/>
  <c r="R231" i="1"/>
  <c r="Q231" i="1" s="1"/>
  <c r="R52" i="1"/>
  <c r="Q52" i="1" s="1"/>
  <c r="R1292" i="1"/>
  <c r="Q1292" i="1" s="1"/>
  <c r="R1345" i="1"/>
  <c r="Q1345" i="1" s="1"/>
  <c r="R444" i="1"/>
  <c r="Q444" i="1" s="1"/>
  <c r="R800" i="1"/>
  <c r="Q800" i="1" s="1"/>
  <c r="R1225" i="1"/>
  <c r="Q1225" i="1" s="1"/>
  <c r="R1708" i="1"/>
  <c r="Q1708" i="1" s="1"/>
  <c r="R1316" i="1"/>
  <c r="Q1316" i="1" s="1"/>
  <c r="R647" i="1"/>
  <c r="Q647" i="1" s="1"/>
  <c r="S647" i="1" s="1"/>
  <c r="R238" i="1"/>
  <c r="Q238" i="1" s="1"/>
  <c r="R718" i="1"/>
  <c r="Q718" i="1" s="1"/>
  <c r="R1214" i="1"/>
  <c r="Q1214" i="1" s="1"/>
  <c r="Q1590" i="1"/>
  <c r="R1207" i="1"/>
  <c r="Q1207" i="1" s="1"/>
  <c r="R643" i="1"/>
  <c r="Q643" i="1" s="1"/>
  <c r="S643" i="1" s="1"/>
  <c r="U643" i="1" s="1"/>
  <c r="V643" i="1" s="1"/>
  <c r="R289" i="1"/>
  <c r="Q289" i="1" s="1"/>
  <c r="R823" i="1"/>
  <c r="Q823" i="1" s="1"/>
  <c r="R702" i="1"/>
  <c r="Q702" i="1" s="1"/>
  <c r="R1087" i="1"/>
  <c r="Q1087" i="1" s="1"/>
  <c r="S1087" i="1" s="1"/>
  <c r="U1087" i="1" s="1"/>
  <c r="V1087" i="1" s="1"/>
  <c r="R151" i="1"/>
  <c r="Q151" i="1" s="1"/>
  <c r="U1248" i="1"/>
  <c r="V1248" i="1" s="1"/>
  <c r="T665" i="1"/>
  <c r="U1523" i="1"/>
  <c r="V1523" i="1" s="1"/>
  <c r="U1349" i="1"/>
  <c r="V1349" i="1" s="1"/>
  <c r="T500" i="1"/>
  <c r="U1416" i="1"/>
  <c r="V1416" i="1" s="1"/>
  <c r="U1137" i="1"/>
  <c r="V1137" i="1" s="1"/>
  <c r="T628" i="1"/>
  <c r="T1624" i="1"/>
  <c r="T1721" i="1"/>
  <c r="U1301" i="1"/>
  <c r="V1301" i="1" s="1"/>
  <c r="T428" i="1"/>
  <c r="T378" i="1"/>
  <c r="T379" i="1" s="1"/>
  <c r="U1197" i="1"/>
  <c r="V1197" i="1" s="1"/>
  <c r="U1331" i="1"/>
  <c r="V1331" i="1" s="1"/>
  <c r="T610" i="1"/>
  <c r="T645" i="1"/>
  <c r="T226" i="1"/>
  <c r="T227" i="1" s="1"/>
  <c r="T228" i="1" s="1"/>
  <c r="U1235" i="1"/>
  <c r="V1235" i="1" s="1"/>
  <c r="T580" i="1"/>
  <c r="U1592" i="1"/>
  <c r="V1592" i="1" s="1"/>
  <c r="U1471" i="1"/>
  <c r="V1471" i="1" s="1"/>
  <c r="U1335" i="1"/>
  <c r="V1335" i="1" s="1"/>
  <c r="T626" i="1"/>
  <c r="T545" i="1"/>
  <c r="R216" i="1"/>
  <c r="Q216" i="1" s="1"/>
  <c r="R228" i="1"/>
  <c r="Q228" i="1" s="1"/>
  <c r="R1426" i="1"/>
  <c r="Q1426" i="1" s="1"/>
  <c r="R168" i="1"/>
  <c r="Q168" i="1" s="1"/>
  <c r="R670" i="1"/>
  <c r="Q670" i="1" s="1"/>
  <c r="R180" i="1"/>
  <c r="Q180" i="1" s="1"/>
  <c r="R204" i="1"/>
  <c r="Q204" i="1" s="1"/>
  <c r="R1248" i="1"/>
  <c r="Q1248" i="1" s="1"/>
  <c r="R157" i="1"/>
  <c r="Q157" i="1" s="1"/>
  <c r="R783" i="1"/>
  <c r="Q783" i="1" s="1"/>
  <c r="R1646" i="1"/>
  <c r="Q1646" i="1" s="1"/>
  <c r="R976" i="1"/>
  <c r="Q976" i="1" s="1"/>
  <c r="R863" i="1"/>
  <c r="Q863" i="1" s="1"/>
  <c r="R665" i="1"/>
  <c r="Q665" i="1" s="1"/>
  <c r="S665" i="1" s="1"/>
  <c r="R1075" i="1"/>
  <c r="Q1075" i="1" s="1"/>
  <c r="Q1013" i="1"/>
  <c r="R1013" i="1"/>
  <c r="R882" i="1"/>
  <c r="Q882" i="1" s="1"/>
  <c r="R816" i="1"/>
  <c r="Q816" i="1" s="1"/>
  <c r="R648" i="1"/>
  <c r="Q648" i="1" s="1"/>
  <c r="R1411" i="1"/>
  <c r="Q1411" i="1" s="1"/>
  <c r="R1563" i="1"/>
  <c r="Q1563" i="1" s="1"/>
  <c r="R1655" i="1"/>
  <c r="Q1655" i="1" s="1"/>
  <c r="R1627" i="1"/>
  <c r="Q1627" i="1" s="1"/>
  <c r="R1349" i="1"/>
  <c r="Q1349" i="1" s="1"/>
  <c r="R454" i="1"/>
  <c r="Q454" i="1" s="1"/>
  <c r="R500" i="1"/>
  <c r="Q500" i="1" s="1"/>
  <c r="R49" i="1"/>
  <c r="Q49" i="1" s="1"/>
  <c r="R72" i="1"/>
  <c r="Q72" i="1" s="1"/>
  <c r="R51" i="1"/>
  <c r="Q51" i="1" s="1"/>
  <c r="R335" i="1"/>
  <c r="Q335" i="1" s="1"/>
  <c r="R1409" i="1"/>
  <c r="Q1409" i="1" s="1"/>
  <c r="R1566" i="1"/>
  <c r="Q1566" i="1" s="1"/>
  <c r="R1416" i="1"/>
  <c r="Q1416" i="1" s="1"/>
  <c r="R1137" i="1"/>
  <c r="Q1137" i="1" s="1"/>
  <c r="R628" i="1"/>
  <c r="Q628" i="1" s="1"/>
  <c r="S628" i="1" s="1"/>
  <c r="R601" i="1"/>
  <c r="Q601" i="1" s="1"/>
  <c r="R295" i="1"/>
  <c r="Q295" i="1" s="1"/>
  <c r="R7" i="1"/>
  <c r="Q7" i="1" s="1"/>
  <c r="R336" i="1"/>
  <c r="Q336" i="1" s="1"/>
  <c r="R177" i="1"/>
  <c r="Q177" i="1" s="1"/>
  <c r="R1026" i="1"/>
  <c r="Q1026" i="1" s="1"/>
  <c r="R851" i="1"/>
  <c r="Q851" i="1" s="1"/>
  <c r="R683" i="1"/>
  <c r="Q683" i="1" s="1"/>
  <c r="R1624" i="1"/>
  <c r="Q1624" i="1" s="1"/>
  <c r="R1405" i="1"/>
  <c r="Q1405" i="1" s="1"/>
  <c r="R1679" i="1"/>
  <c r="Q1679" i="1" s="1"/>
  <c r="R1532" i="1"/>
  <c r="Q1532" i="1" s="1"/>
  <c r="R1153" i="1"/>
  <c r="Q1153" i="1" s="1"/>
  <c r="R608" i="1"/>
  <c r="Q608" i="1" s="1"/>
  <c r="R428" i="1"/>
  <c r="Q428" i="1" s="1"/>
  <c r="S428" i="1" s="1"/>
  <c r="U428" i="1" s="1"/>
  <c r="V428" i="1" s="1"/>
  <c r="R253" i="1"/>
  <c r="Q253" i="1" s="1"/>
  <c r="R378" i="1"/>
  <c r="Q378" i="1" s="1"/>
  <c r="R300" i="1"/>
  <c r="Q300" i="1" s="1"/>
  <c r="R219" i="1"/>
  <c r="Q219" i="1" s="1"/>
  <c r="R1197" i="1"/>
  <c r="Q1197" i="1" s="1"/>
  <c r="R1331" i="1"/>
  <c r="Q1331" i="1" s="1"/>
  <c r="R610" i="1"/>
  <c r="Q610" i="1" s="1"/>
  <c r="S610" i="1" s="1"/>
  <c r="R786" i="1"/>
  <c r="Q786" i="1" s="1"/>
  <c r="R1173" i="1"/>
  <c r="Q1173" i="1" s="1"/>
  <c r="R1713" i="1"/>
  <c r="Q1713" i="1" s="1"/>
  <c r="R1314" i="1"/>
  <c r="Q1314" i="1" s="1"/>
  <c r="R645" i="1"/>
  <c r="Q645" i="1" s="1"/>
  <c r="S645" i="1" s="1"/>
  <c r="R161" i="1"/>
  <c r="Q161" i="1" s="1"/>
  <c r="R984" i="1"/>
  <c r="Q984" i="1" s="1"/>
  <c r="R701" i="1"/>
  <c r="Q701" i="1" s="1"/>
  <c r="R1235" i="1"/>
  <c r="Q1235" i="1" s="1"/>
  <c r="R580" i="1"/>
  <c r="Q580" i="1" s="1"/>
  <c r="S580" i="1" s="1"/>
  <c r="R279" i="1"/>
  <c r="Q279" i="1" s="1"/>
  <c r="R13" i="1"/>
  <c r="Q13" i="1" s="1"/>
  <c r="R1070" i="1"/>
  <c r="Q1070" i="1" s="1"/>
  <c r="R1357" i="1"/>
  <c r="Q1357" i="1" s="1"/>
  <c r="R506" i="1"/>
  <c r="Q506" i="1" s="1"/>
  <c r="R299" i="1"/>
  <c r="Q299" i="1" s="1"/>
  <c r="R375" i="1"/>
  <c r="Q375" i="1" s="1"/>
  <c r="S375" i="1" s="1"/>
  <c r="T1596" i="1"/>
  <c r="U1136" i="1"/>
  <c r="V1136" i="1" s="1"/>
  <c r="U1522" i="1"/>
  <c r="V1522" i="1" s="1"/>
  <c r="T1042" i="1"/>
  <c r="T1011" i="1"/>
  <c r="U1122" i="1"/>
  <c r="V1122" i="1" s="1"/>
  <c r="U1139" i="1"/>
  <c r="V1139" i="1" s="1"/>
  <c r="T1025" i="1"/>
  <c r="T1724" i="1"/>
  <c r="U1547" i="1"/>
  <c r="V1547" i="1" s="1"/>
  <c r="U1285" i="1"/>
  <c r="V1285" i="1" s="1"/>
  <c r="T392" i="1"/>
  <c r="U1730" i="1"/>
  <c r="V1730" i="1" s="1"/>
  <c r="U1218" i="1"/>
  <c r="V1218" i="1" s="1"/>
  <c r="T638" i="1"/>
  <c r="U1206" i="1"/>
  <c r="V1206" i="1" s="1"/>
  <c r="T592" i="1"/>
  <c r="T1657" i="1"/>
  <c r="U1237" i="1"/>
  <c r="V1237" i="1" s="1"/>
  <c r="T574" i="1"/>
  <c r="T1089" i="1"/>
  <c r="T1617" i="1"/>
  <c r="U1602" i="1"/>
  <c r="V1602" i="1" s="1"/>
  <c r="U1319" i="1"/>
  <c r="V1319" i="1" s="1"/>
  <c r="T562" i="1"/>
  <c r="U77" i="1"/>
  <c r="V77" i="1" s="1"/>
  <c r="T46" i="1"/>
  <c r="R1606" i="1"/>
  <c r="Q1606" i="1" s="1"/>
  <c r="R198" i="1"/>
  <c r="Q198" i="1" s="1"/>
  <c r="R210" i="1"/>
  <c r="Q210" i="1" s="1"/>
  <c r="R162" i="1"/>
  <c r="Q162" i="1" s="1"/>
  <c r="R1439" i="1"/>
  <c r="Q1439" i="1" s="1"/>
  <c r="R174" i="1"/>
  <c r="Q174" i="1" s="1"/>
  <c r="R972" i="1"/>
  <c r="Q972" i="1" s="1"/>
  <c r="R1021" i="1"/>
  <c r="Q1021" i="1" s="1"/>
  <c r="R1136" i="1"/>
  <c r="Q1136" i="1" s="1"/>
  <c r="R666" i="1"/>
  <c r="Q666" i="1" s="1"/>
  <c r="R163" i="1"/>
  <c r="Q163" i="1" s="1"/>
  <c r="Q748" i="1"/>
  <c r="Q1522" i="1"/>
  <c r="R977" i="1"/>
  <c r="Q977" i="1" s="1"/>
  <c r="R916" i="1"/>
  <c r="Q916" i="1" s="1"/>
  <c r="R859" i="1"/>
  <c r="Q859" i="1" s="1"/>
  <c r="R771" i="1"/>
  <c r="Q771" i="1" s="1"/>
  <c r="R672" i="1"/>
  <c r="Q672" i="1" s="1"/>
  <c r="R1042" i="1"/>
  <c r="Q1042" i="1" s="1"/>
  <c r="S1042" i="1" s="1"/>
  <c r="U1042" i="1" s="1"/>
  <c r="V1042" i="1" s="1"/>
  <c r="R1011" i="1"/>
  <c r="Q1011" i="1" s="1"/>
  <c r="S1011" i="1" s="1"/>
  <c r="R880" i="1"/>
  <c r="Q880" i="1" s="1"/>
  <c r="R822" i="1"/>
  <c r="Q822" i="1" s="1"/>
  <c r="R649" i="1"/>
  <c r="Q649" i="1" s="1"/>
  <c r="R1398" i="1"/>
  <c r="Q1398" i="1" s="1"/>
  <c r="R1662" i="1"/>
  <c r="Q1662" i="1" s="1"/>
  <c r="Q1337" i="1"/>
  <c r="R1619" i="1"/>
  <c r="Q1619" i="1" s="1"/>
  <c r="R1520" i="1"/>
  <c r="Q1520" i="1" s="1"/>
  <c r="R1390" i="1"/>
  <c r="Q1390" i="1" s="1"/>
  <c r="R1122" i="1"/>
  <c r="Q1122" i="1" s="1"/>
  <c r="R524" i="1"/>
  <c r="Q524" i="1" s="1"/>
  <c r="R386" i="1"/>
  <c r="Q386" i="1" s="1"/>
  <c r="R139" i="1"/>
  <c r="Q139" i="1" s="1"/>
  <c r="R108" i="1"/>
  <c r="Q108" i="1" s="1"/>
  <c r="Q14" i="1"/>
  <c r="R317" i="1"/>
  <c r="Q317" i="1" s="1"/>
  <c r="Q1367" i="1"/>
  <c r="R1156" i="1"/>
  <c r="Q1156" i="1" s="1"/>
  <c r="R1556" i="1"/>
  <c r="Q1556" i="1" s="1"/>
  <c r="R1418" i="1"/>
  <c r="Q1418" i="1" s="1"/>
  <c r="Q1139" i="1"/>
  <c r="R624" i="1"/>
  <c r="Q624" i="1" s="1"/>
  <c r="R595" i="1"/>
  <c r="Q595" i="1" s="1"/>
  <c r="R275" i="1"/>
  <c r="Q275" i="1" s="1"/>
  <c r="R363" i="1"/>
  <c r="Q363" i="1" s="1"/>
  <c r="R269" i="1"/>
  <c r="Q269" i="1" s="1"/>
  <c r="R141" i="1"/>
  <c r="Q141" i="1" s="1"/>
  <c r="R1025" i="1"/>
  <c r="Q1025" i="1" s="1"/>
  <c r="S1025" i="1" s="1"/>
  <c r="U1025" i="1" s="1"/>
  <c r="V1025" i="1" s="1"/>
  <c r="R1724" i="1"/>
  <c r="Q1724" i="1" s="1"/>
  <c r="S1724" i="1" s="1"/>
  <c r="R1689" i="1"/>
  <c r="Q1689" i="1" s="1"/>
  <c r="R1547" i="1"/>
  <c r="Q1547" i="1" s="1"/>
  <c r="R1285" i="1"/>
  <c r="Q1285" i="1" s="1"/>
  <c r="R603" i="1"/>
  <c r="Q603" i="1" s="1"/>
  <c r="R583" i="1"/>
  <c r="Q583" i="1" s="1"/>
  <c r="R241" i="1"/>
  <c r="Q241" i="1" s="1"/>
  <c r="R392" i="1"/>
  <c r="Q392" i="1" s="1"/>
  <c r="S392" i="1" s="1"/>
  <c r="R310" i="1"/>
  <c r="Q310" i="1" s="1"/>
  <c r="R243" i="1"/>
  <c r="Q243" i="1" s="1"/>
  <c r="R940" i="1"/>
  <c r="Q940" i="1" s="1"/>
  <c r="R1730" i="1"/>
  <c r="Q1730" i="1" s="1"/>
  <c r="R1218" i="1"/>
  <c r="Q1218" i="1" s="1"/>
  <c r="R638" i="1"/>
  <c r="Q638" i="1" s="1"/>
  <c r="S638" i="1" s="1"/>
  <c r="U638" i="1" s="1"/>
  <c r="V638" i="1" s="1"/>
  <c r="R705" i="1"/>
  <c r="Q705" i="1" s="1"/>
  <c r="R1186" i="1"/>
  <c r="Q1186" i="1" s="1"/>
  <c r="R1610" i="1"/>
  <c r="Q1610" i="1" s="1"/>
  <c r="R1206" i="1"/>
  <c r="Q1206" i="1" s="1"/>
  <c r="R592" i="1"/>
  <c r="Q592" i="1" s="1"/>
  <c r="S592" i="1" s="1"/>
  <c r="R318" i="1"/>
  <c r="Q318" i="1" s="1"/>
  <c r="R936" i="1"/>
  <c r="Q936" i="1" s="1"/>
  <c r="R1657" i="1"/>
  <c r="Q1657" i="1" s="1"/>
  <c r="S1657" i="1" s="1"/>
  <c r="U1657" i="1" s="1"/>
  <c r="V1657" i="1" s="1"/>
  <c r="R1605" i="1"/>
  <c r="Q1605" i="1" s="1"/>
  <c r="R1599" i="1"/>
  <c r="Q1599" i="1" s="1"/>
  <c r="R1237" i="1"/>
  <c r="Q1237" i="1" s="1"/>
  <c r="R574" i="1"/>
  <c r="Q574" i="1" s="1"/>
  <c r="S574" i="1" s="1"/>
  <c r="R137" i="1"/>
  <c r="Q137" i="1" s="1"/>
  <c r="R795" i="1"/>
  <c r="Q795" i="1" s="1"/>
  <c r="R1052" i="1"/>
  <c r="Q1052" i="1" s="1"/>
  <c r="R1479" i="1"/>
  <c r="Q1479" i="1" s="1"/>
  <c r="R1329" i="1"/>
  <c r="Q1329" i="1" s="1"/>
  <c r="R508" i="1"/>
  <c r="Q508" i="1" s="1"/>
  <c r="R113" i="1"/>
  <c r="Q113" i="1" s="1"/>
  <c r="R220" i="1"/>
  <c r="Q220" i="1" s="1"/>
  <c r="U1388" i="1"/>
  <c r="V1388" i="1" s="1"/>
  <c r="T668" i="1"/>
  <c r="U1629" i="1"/>
  <c r="V1629" i="1" s="1"/>
  <c r="U1106" i="1"/>
  <c r="V1106" i="1" s="1"/>
  <c r="T646" i="1"/>
  <c r="T1741" i="1"/>
  <c r="U1568" i="1"/>
  <c r="V1568" i="1" s="1"/>
  <c r="T591" i="1"/>
  <c r="T1716" i="1"/>
  <c r="U1444" i="1"/>
  <c r="V1444" i="1" s="1"/>
  <c r="U1302" i="1"/>
  <c r="V1302" i="1" s="1"/>
  <c r="U1134" i="1"/>
  <c r="V1134" i="1" s="1"/>
  <c r="U1219" i="1"/>
  <c r="V1219" i="1" s="1"/>
  <c r="T598" i="1"/>
  <c r="T1554" i="1"/>
  <c r="U1192" i="1"/>
  <c r="V1192" i="1" s="1"/>
  <c r="T623" i="1"/>
  <c r="U1581" i="1"/>
  <c r="V1581" i="1" s="1"/>
  <c r="T550" i="1"/>
  <c r="T390" i="1"/>
  <c r="R1340" i="1"/>
  <c r="Q1340" i="1" s="1"/>
  <c r="R195" i="1"/>
  <c r="Q195" i="1" s="1"/>
  <c r="Q207" i="1"/>
  <c r="R1310" i="1"/>
  <c r="Q1310" i="1" s="1"/>
  <c r="R1296" i="1"/>
  <c r="Q1296" i="1" s="1"/>
  <c r="R183" i="1"/>
  <c r="Q183" i="1" s="1"/>
  <c r="R965" i="1"/>
  <c r="Q965" i="1" s="1"/>
  <c r="R518" i="1"/>
  <c r="Q518" i="1" s="1"/>
  <c r="R1412" i="1"/>
  <c r="Q1412" i="1" s="1"/>
  <c r="R970" i="1"/>
  <c r="Q970" i="1" s="1"/>
  <c r="Q915" i="1"/>
  <c r="R830" i="1"/>
  <c r="Q830" i="1" s="1"/>
  <c r="R767" i="1"/>
  <c r="Q767" i="1" s="1"/>
  <c r="R668" i="1"/>
  <c r="Q668" i="1" s="1"/>
  <c r="S668" i="1" s="1"/>
  <c r="R1044" i="1"/>
  <c r="Q1044" i="1" s="1"/>
  <c r="R1008" i="1"/>
  <c r="Q1008" i="1" s="1"/>
  <c r="R887" i="1"/>
  <c r="Q887" i="1" s="1"/>
  <c r="R725" i="1"/>
  <c r="Q725" i="1" s="1"/>
  <c r="Q650" i="1"/>
  <c r="R650" i="1"/>
  <c r="R1384" i="1"/>
  <c r="Q1384" i="1" s="1"/>
  <c r="R1259" i="1"/>
  <c r="Q1259" i="1" s="1"/>
  <c r="R1736" i="1"/>
  <c r="Q1736" i="1" s="1"/>
  <c r="R1629" i="1"/>
  <c r="Q1629" i="1" s="1"/>
  <c r="R1510" i="1"/>
  <c r="Q1510" i="1" s="1"/>
  <c r="R1106" i="1"/>
  <c r="Q1106" i="1" s="1"/>
  <c r="R470" i="1"/>
  <c r="Q470" i="1" s="1"/>
  <c r="R646" i="1"/>
  <c r="Q646" i="1" s="1"/>
  <c r="S646" i="1" s="1"/>
  <c r="R379" i="1"/>
  <c r="Q379" i="1" s="1"/>
  <c r="R127" i="1"/>
  <c r="Q127" i="1" s="1"/>
  <c r="R18" i="1"/>
  <c r="Q18" i="1" s="1"/>
  <c r="R250" i="1"/>
  <c r="Q250" i="1" s="1"/>
  <c r="R308" i="1"/>
  <c r="Q308" i="1" s="1"/>
  <c r="R1741" i="1"/>
  <c r="Q1741" i="1" s="1"/>
  <c r="S1741" i="1" s="1"/>
  <c r="R1568" i="1"/>
  <c r="Q1568" i="1" s="1"/>
  <c r="R1281" i="1"/>
  <c r="Q1281" i="1" s="1"/>
  <c r="R1146" i="1"/>
  <c r="Q1146" i="1" s="1"/>
  <c r="R372" i="1"/>
  <c r="Q372" i="1" s="1"/>
  <c r="Q280" i="1"/>
  <c r="R93" i="1"/>
  <c r="Q93" i="1" s="1"/>
  <c r="R1023" i="1"/>
  <c r="Q1023" i="1" s="1"/>
  <c r="R843" i="1"/>
  <c r="Q843" i="1" s="1"/>
  <c r="R676" i="1"/>
  <c r="Q676" i="1" s="1"/>
  <c r="R1616" i="1"/>
  <c r="Q1616" i="1" s="1"/>
  <c r="R1716" i="1"/>
  <c r="Q1716" i="1" s="1"/>
  <c r="S1716" i="1" s="1"/>
  <c r="R1125" i="1"/>
  <c r="Q1125" i="1" s="1"/>
  <c r="Q1666" i="1"/>
  <c r="R1444" i="1"/>
  <c r="Q1444" i="1" s="1"/>
  <c r="R1302" i="1"/>
  <c r="Q1302" i="1" s="1"/>
  <c r="Q614" i="1"/>
  <c r="R589" i="1"/>
  <c r="Q589" i="1" s="1"/>
  <c r="R264" i="1"/>
  <c r="Q264" i="1" s="1"/>
  <c r="R347" i="1"/>
  <c r="Q347" i="1" s="1"/>
  <c r="R290" i="1"/>
  <c r="Q290" i="1" s="1"/>
  <c r="Q153" i="1"/>
  <c r="R804" i="1"/>
  <c r="Q804" i="1" s="1"/>
  <c r="R1720" i="1"/>
  <c r="Q1720" i="1" s="1"/>
  <c r="R1191" i="1"/>
  <c r="Q1191" i="1" s="1"/>
  <c r="R552" i="1"/>
  <c r="Q552" i="1" s="1"/>
  <c r="R706" i="1"/>
  <c r="Q706" i="1" s="1"/>
  <c r="R1604" i="1"/>
  <c r="Q1604" i="1" s="1"/>
  <c r="R1612" i="1"/>
  <c r="Q1612" i="1" s="1"/>
  <c r="R1219" i="1"/>
  <c r="Q1219" i="1" s="1"/>
  <c r="R598" i="1"/>
  <c r="Q598" i="1" s="1"/>
  <c r="S598" i="1" s="1"/>
  <c r="U598" i="1" s="1"/>
  <c r="V598" i="1" s="1"/>
  <c r="R309" i="1"/>
  <c r="Q309" i="1" s="1"/>
  <c r="R232" i="1"/>
  <c r="Q232" i="1" s="1"/>
  <c r="R923" i="1"/>
  <c r="Q923" i="1" s="1"/>
  <c r="R1554" i="1"/>
  <c r="Q1554" i="1" s="1"/>
  <c r="S1554" i="1" s="1"/>
  <c r="R1539" i="1"/>
  <c r="Q1539" i="1" s="1"/>
  <c r="R1577" i="1"/>
  <c r="Q1577" i="1" s="1"/>
  <c r="R1192" i="1"/>
  <c r="Q1192" i="1" s="1"/>
  <c r="R623" i="1"/>
  <c r="Q623" i="1" s="1"/>
  <c r="S623" i="1" s="1"/>
  <c r="R125" i="1"/>
  <c r="Q125" i="1" s="1"/>
  <c r="R148" i="1"/>
  <c r="Q148" i="1" s="1"/>
  <c r="R790" i="1"/>
  <c r="Q790" i="1" s="1"/>
  <c r="R1034" i="1"/>
  <c r="Q1034" i="1" s="1"/>
  <c r="S1034" i="1" s="1"/>
  <c r="U1034" i="1" s="1"/>
  <c r="V1034" i="1" s="1"/>
  <c r="R1369" i="1"/>
  <c r="Q1369" i="1" s="1"/>
  <c r="R1763" i="1"/>
  <c r="Q1763" i="1" s="1"/>
  <c r="R1301" i="1"/>
  <c r="Q1301" i="1" s="1"/>
  <c r="T382" i="1"/>
  <c r="T389" i="1"/>
  <c r="T1677" i="1"/>
  <c r="T1678" i="1" s="1"/>
  <c r="T1050" i="1"/>
  <c r="U1249" i="1"/>
  <c r="V1249" i="1" s="1"/>
  <c r="T962" i="1"/>
  <c r="T661" i="1"/>
  <c r="U1511" i="1"/>
  <c r="V1511" i="1" s="1"/>
  <c r="T1100" i="1"/>
  <c r="U1570" i="1"/>
  <c r="V1570" i="1" s="1"/>
  <c r="T47" i="1"/>
  <c r="T48" i="1" s="1"/>
  <c r="T1024" i="1"/>
  <c r="T1625" i="1"/>
  <c r="U1430" i="1"/>
  <c r="V1430" i="1" s="1"/>
  <c r="U1304" i="1"/>
  <c r="V1304" i="1" s="1"/>
  <c r="U1148" i="1"/>
  <c r="V1148" i="1" s="1"/>
  <c r="U1238" i="1"/>
  <c r="V1238" i="1" s="1"/>
  <c r="T640" i="1"/>
  <c r="T1692" i="1"/>
  <c r="T1665" i="1"/>
  <c r="U1500" i="1"/>
  <c r="V1500" i="1" s="1"/>
  <c r="T1086" i="1"/>
  <c r="T1626" i="1"/>
  <c r="T631" i="1"/>
  <c r="T400" i="1"/>
  <c r="T160" i="1"/>
  <c r="T161" i="1" s="1"/>
  <c r="T162" i="1" s="1"/>
  <c r="R1691" i="1"/>
  <c r="Q1691" i="1" s="1"/>
  <c r="R382" i="1"/>
  <c r="Q382" i="1" s="1"/>
  <c r="S382" i="1" s="1"/>
  <c r="R389" i="1"/>
  <c r="Q389" i="1" s="1"/>
  <c r="S389" i="1" s="1"/>
  <c r="R1670" i="1"/>
  <c r="Q1670" i="1" s="1"/>
  <c r="R360" i="1"/>
  <c r="Q360" i="1" s="1"/>
  <c r="R1677" i="1"/>
  <c r="Q1677" i="1" s="1"/>
  <c r="R367" i="1"/>
  <c r="Q367" i="1" s="1"/>
  <c r="R902" i="1"/>
  <c r="Q902" i="1" s="1"/>
  <c r="R450" i="1"/>
  <c r="Q450" i="1" s="1"/>
  <c r="R1585" i="1"/>
  <c r="Q1585" i="1" s="1"/>
  <c r="R150" i="1"/>
  <c r="Q150" i="1" s="1"/>
  <c r="R1050" i="1"/>
  <c r="Q1050" i="1" s="1"/>
  <c r="S1050" i="1" s="1"/>
  <c r="R1249" i="1"/>
  <c r="Q1249" i="1" s="1"/>
  <c r="R962" i="1"/>
  <c r="Q962" i="1" s="1"/>
  <c r="S962" i="1" s="1"/>
  <c r="U962" i="1" s="1"/>
  <c r="V962" i="1" s="1"/>
  <c r="R914" i="1"/>
  <c r="Q914" i="1" s="1"/>
  <c r="R829" i="1"/>
  <c r="Q829" i="1" s="1"/>
  <c r="R766" i="1"/>
  <c r="Q766" i="1" s="1"/>
  <c r="R661" i="1"/>
  <c r="Q661" i="1" s="1"/>
  <c r="S661" i="1" s="1"/>
  <c r="U661" i="1" s="1"/>
  <c r="V661" i="1" s="1"/>
  <c r="R1043" i="1"/>
  <c r="Q1043" i="1" s="1"/>
  <c r="R891" i="1"/>
  <c r="Q891" i="1" s="1"/>
  <c r="R732" i="1"/>
  <c r="Q732" i="1" s="1"/>
  <c r="Q660" i="1"/>
  <c r="R1370" i="1"/>
  <c r="Q1370" i="1" s="1"/>
  <c r="R1647" i="1"/>
  <c r="Q1647" i="1" s="1"/>
  <c r="R1628" i="1"/>
  <c r="Q1628" i="1" s="1"/>
  <c r="R1511" i="1"/>
  <c r="Q1511" i="1" s="1"/>
  <c r="R1124" i="1"/>
  <c r="Q1124" i="1" s="1"/>
  <c r="R446" i="1"/>
  <c r="Q446" i="1" s="1"/>
  <c r="R425" i="1"/>
  <c r="Q425" i="1" s="1"/>
  <c r="R37" i="1"/>
  <c r="Q37" i="1" s="1"/>
  <c r="R91" i="1"/>
  <c r="Q91" i="1" s="1"/>
  <c r="R39" i="1"/>
  <c r="Q39" i="1" s="1"/>
  <c r="R327" i="1"/>
  <c r="Q327" i="1" s="1"/>
  <c r="R1100" i="1"/>
  <c r="Q1100" i="1" s="1"/>
  <c r="S1100" i="1" s="1"/>
  <c r="R1109" i="1"/>
  <c r="Q1109" i="1" s="1"/>
  <c r="R1570" i="1"/>
  <c r="Q1570" i="1" s="1"/>
  <c r="R1300" i="1"/>
  <c r="Q1300" i="1" s="1"/>
  <c r="Q1133" i="1"/>
  <c r="R1133" i="1"/>
  <c r="R585" i="1"/>
  <c r="Q585" i="1" s="1"/>
  <c r="R565" i="1"/>
  <c r="Q565" i="1" s="1"/>
  <c r="R47" i="1"/>
  <c r="Q47" i="1" s="1"/>
  <c r="R340" i="1"/>
  <c r="Q340" i="1" s="1"/>
  <c r="R258" i="1"/>
  <c r="Q258" i="1" s="1"/>
  <c r="R33" i="1"/>
  <c r="Q33" i="1" s="1"/>
  <c r="R1024" i="1"/>
  <c r="Q1024" i="1" s="1"/>
  <c r="S1024" i="1" s="1"/>
  <c r="R677" i="1"/>
  <c r="Q677" i="1" s="1"/>
  <c r="R1625" i="1"/>
  <c r="Q1625" i="1" s="1"/>
  <c r="R1711" i="1"/>
  <c r="Q1711" i="1" s="1"/>
  <c r="R1108" i="1"/>
  <c r="Q1108" i="1" s="1"/>
  <c r="R1674" i="1"/>
  <c r="Q1674" i="1" s="1"/>
  <c r="R1430" i="1"/>
  <c r="Q1430" i="1" s="1"/>
  <c r="R1148" i="1"/>
  <c r="Q1148" i="1" s="1"/>
  <c r="R573" i="1"/>
  <c r="Q573" i="1" s="1"/>
  <c r="R577" i="1"/>
  <c r="Q577" i="1" s="1"/>
  <c r="R403" i="1"/>
  <c r="Q403" i="1" s="1"/>
  <c r="Q355" i="1"/>
  <c r="R165" i="1"/>
  <c r="Q165" i="1" s="1"/>
  <c r="R1733" i="1"/>
  <c r="Q1733" i="1" s="1"/>
  <c r="R1238" i="1"/>
  <c r="Q1238" i="1" s="1"/>
  <c r="R1692" i="1"/>
  <c r="Q1692" i="1" s="1"/>
  <c r="S1692" i="1" s="1"/>
  <c r="U1692" i="1" s="1"/>
  <c r="V1692" i="1" s="1"/>
  <c r="R1613" i="1"/>
  <c r="Q1613" i="1" s="1"/>
  <c r="R1618" i="1"/>
  <c r="Q1618" i="1" s="1"/>
  <c r="R1216" i="1"/>
  <c r="Q1216" i="1" s="1"/>
  <c r="R535" i="1"/>
  <c r="Q535" i="1" s="1"/>
  <c r="R149" i="1"/>
  <c r="Q149" i="1" s="1"/>
  <c r="R735" i="1"/>
  <c r="Q735" i="1" s="1"/>
  <c r="R1665" i="1"/>
  <c r="Q1665" i="1" s="1"/>
  <c r="S1665" i="1" s="1"/>
  <c r="U1665" i="1" s="1"/>
  <c r="V1665" i="1" s="1"/>
  <c r="Q1614" i="1"/>
  <c r="R1500" i="1"/>
  <c r="Q1500" i="1" s="1"/>
  <c r="R1090" i="1"/>
  <c r="Q1090" i="1" s="1"/>
  <c r="R519" i="1"/>
  <c r="Q519" i="1" s="1"/>
  <c r="R342" i="1"/>
  <c r="Q342" i="1" s="1"/>
  <c r="R900" i="1"/>
  <c r="Q900" i="1" s="1"/>
  <c r="R796" i="1"/>
  <c r="Q796" i="1" s="1"/>
  <c r="R1086" i="1"/>
  <c r="Q1086" i="1" s="1"/>
  <c r="S1086" i="1" s="1"/>
  <c r="R1035" i="1"/>
  <c r="Q1035" i="1" s="1"/>
  <c r="R1229" i="1"/>
  <c r="Q1229" i="1" s="1"/>
  <c r="R1748" i="1"/>
  <c r="Q1748" i="1" s="1"/>
  <c r="R1263" i="1"/>
  <c r="Q1263" i="1" s="1"/>
  <c r="R556" i="1"/>
  <c r="Q556" i="1" s="1"/>
  <c r="S556" i="1" s="1"/>
  <c r="U556" i="1" s="1"/>
  <c r="V556" i="1" s="1"/>
  <c r="R192" i="1"/>
  <c r="Q192" i="1" s="1"/>
  <c r="T1379" i="1"/>
  <c r="T1380" i="1" s="1"/>
  <c r="U1154" i="1"/>
  <c r="V1154" i="1" s="1"/>
  <c r="T1041" i="1"/>
  <c r="U1645" i="1"/>
  <c r="V1645" i="1" s="1"/>
  <c r="T1744" i="1"/>
  <c r="U1558" i="1"/>
  <c r="V1558" i="1" s="1"/>
  <c r="U1287" i="1"/>
  <c r="V1287" i="1" s="1"/>
  <c r="T569" i="1"/>
  <c r="U1289" i="1"/>
  <c r="V1289" i="1" s="1"/>
  <c r="T557" i="1"/>
  <c r="T401" i="1"/>
  <c r="T1700" i="1"/>
  <c r="U1579" i="1"/>
  <c r="V1579" i="1" s="1"/>
  <c r="U1233" i="1"/>
  <c r="V1233" i="1" s="1"/>
  <c r="T634" i="1"/>
  <c r="T1565" i="1"/>
  <c r="U1470" i="1"/>
  <c r="V1470" i="1" s="1"/>
  <c r="T630" i="1"/>
  <c r="T652" i="1"/>
  <c r="T1543" i="1"/>
  <c r="T1722" i="1"/>
  <c r="T1723" i="1" s="1"/>
  <c r="U1559" i="1"/>
  <c r="V1559" i="1" s="1"/>
  <c r="U1469" i="1"/>
  <c r="V1469" i="1" s="1"/>
  <c r="T593" i="1"/>
  <c r="T635" i="1"/>
  <c r="R172" i="1"/>
  <c r="Q172" i="1" s="1"/>
  <c r="R1393" i="1"/>
  <c r="Q1393" i="1" s="1"/>
  <c r="R1406" i="1"/>
  <c r="Q1406" i="1" s="1"/>
  <c r="R784" i="1"/>
  <c r="Q784" i="1" s="1"/>
  <c r="R1380" i="1"/>
  <c r="Q1380" i="1" s="1"/>
  <c r="Q813" i="1"/>
  <c r="R1392" i="1"/>
  <c r="Q1392" i="1" s="1"/>
  <c r="R1379" i="1"/>
  <c r="Q1379" i="1" s="1"/>
  <c r="R946" i="1"/>
  <c r="Q946" i="1" s="1"/>
  <c r="R834" i="1"/>
  <c r="Q834" i="1" s="1"/>
  <c r="R1311" i="1"/>
  <c r="Q1311" i="1" s="1"/>
  <c r="R159" i="1"/>
  <c r="Q159" i="1" s="1"/>
  <c r="Q1012" i="1"/>
  <c r="R1154" i="1"/>
  <c r="Q1154" i="1" s="1"/>
  <c r="R957" i="1"/>
  <c r="Q957" i="1" s="1"/>
  <c r="R883" i="1"/>
  <c r="Q883" i="1" s="1"/>
  <c r="R825" i="1"/>
  <c r="Q825" i="1" s="1"/>
  <c r="R777" i="1"/>
  <c r="Q777" i="1" s="1"/>
  <c r="R674" i="1"/>
  <c r="Q674" i="1" s="1"/>
  <c r="R1041" i="1"/>
  <c r="Q1041" i="1" s="1"/>
  <c r="S1041" i="1" s="1"/>
  <c r="U1041" i="1" s="1"/>
  <c r="V1041" i="1" s="1"/>
  <c r="R945" i="1"/>
  <c r="Q945" i="1" s="1"/>
  <c r="R890" i="1"/>
  <c r="Q890" i="1" s="1"/>
  <c r="R728" i="1"/>
  <c r="Q728" i="1" s="1"/>
  <c r="R664" i="1"/>
  <c r="Q664" i="1" s="1"/>
  <c r="R1383" i="1"/>
  <c r="Q1383" i="1" s="1"/>
  <c r="R1227" i="1"/>
  <c r="Q1227" i="1" s="1"/>
  <c r="R1639" i="1"/>
  <c r="Q1639" i="1" s="1"/>
  <c r="R1742" i="1"/>
  <c r="Q1742" i="1" s="1"/>
  <c r="R1645" i="1"/>
  <c r="Q1645" i="1" s="1"/>
  <c r="R1525" i="1"/>
  <c r="Q1525" i="1" s="1"/>
  <c r="R1230" i="1"/>
  <c r="Q1230" i="1" s="1"/>
  <c r="Q1116" i="1"/>
  <c r="R438" i="1"/>
  <c r="Q438" i="1" s="1"/>
  <c r="R419" i="1"/>
  <c r="Q419" i="1" s="1"/>
  <c r="R97" i="1"/>
  <c r="Q97" i="1" s="1"/>
  <c r="R79" i="1"/>
  <c r="Q79" i="1" s="1"/>
  <c r="R42" i="1"/>
  <c r="Q42" i="1" s="1"/>
  <c r="R99" i="1"/>
  <c r="Q99" i="1" s="1"/>
  <c r="Q28" i="1"/>
  <c r="R1744" i="1"/>
  <c r="Q1744" i="1" s="1"/>
  <c r="S1744" i="1" s="1"/>
  <c r="U1744" i="1" s="1"/>
  <c r="V1744" i="1" s="1"/>
  <c r="R1126" i="1"/>
  <c r="Q1126" i="1" s="1"/>
  <c r="R1558" i="1"/>
  <c r="Q1558" i="1" s="1"/>
  <c r="R1287" i="1"/>
  <c r="Q1287" i="1" s="1"/>
  <c r="R569" i="1"/>
  <c r="Q569" i="1" s="1"/>
  <c r="S569" i="1" s="1"/>
  <c r="R571" i="1"/>
  <c r="Q571" i="1" s="1"/>
  <c r="R35" i="1"/>
  <c r="Q35" i="1" s="1"/>
  <c r="R140" i="1"/>
  <c r="Q140" i="1" s="1"/>
  <c r="R45" i="1"/>
  <c r="Q45" i="1" s="1"/>
  <c r="R974" i="1"/>
  <c r="Q974" i="1" s="1"/>
  <c r="R1496" i="1"/>
  <c r="Q1496" i="1" s="1"/>
  <c r="R1395" i="1"/>
  <c r="Q1395" i="1" s="1"/>
  <c r="R1690" i="1"/>
  <c r="Q1690" i="1" s="1"/>
  <c r="R1143" i="1"/>
  <c r="Q1143" i="1" s="1"/>
  <c r="R1667" i="1"/>
  <c r="Q1667" i="1" s="1"/>
  <c r="R1427" i="1"/>
  <c r="Q1427" i="1" s="1"/>
  <c r="R1289" i="1"/>
  <c r="Q1289" i="1" s="1"/>
  <c r="R557" i="1"/>
  <c r="Q557" i="1" s="1"/>
  <c r="S557" i="1" s="1"/>
  <c r="U557" i="1" s="1"/>
  <c r="V557" i="1" s="1"/>
  <c r="R579" i="1"/>
  <c r="Q579" i="1" s="1"/>
  <c r="Q548" i="1"/>
  <c r="R548" i="1"/>
  <c r="R401" i="1"/>
  <c r="Q401" i="1" s="1"/>
  <c r="R313" i="1"/>
  <c r="Q313" i="1" s="1"/>
  <c r="R222" i="1"/>
  <c r="Q222" i="1" s="1"/>
  <c r="Q719" i="1"/>
  <c r="R1723" i="1"/>
  <c r="Q1723" i="1" s="1"/>
  <c r="R1203" i="1"/>
  <c r="Q1203" i="1" s="1"/>
  <c r="R558" i="1"/>
  <c r="Q558" i="1" s="1"/>
  <c r="R1700" i="1"/>
  <c r="Q1700" i="1" s="1"/>
  <c r="S1700" i="1" s="1"/>
  <c r="R1550" i="1"/>
  <c r="Q1550" i="1" s="1"/>
  <c r="R1579" i="1"/>
  <c r="Q1579" i="1" s="1"/>
  <c r="R1233" i="1"/>
  <c r="Q1233" i="1" s="1"/>
  <c r="R634" i="1"/>
  <c r="Q634" i="1" s="1"/>
  <c r="S634" i="1" s="1"/>
  <c r="U634" i="1" s="1"/>
  <c r="V634" i="1" s="1"/>
  <c r="R173" i="1"/>
  <c r="Q173" i="1" s="1"/>
  <c r="R726" i="1"/>
  <c r="Q726" i="1" s="1"/>
  <c r="R926" i="1"/>
  <c r="Q926" i="1" s="1"/>
  <c r="R1551" i="1"/>
  <c r="Q1551" i="1" s="1"/>
  <c r="Q1470" i="1"/>
  <c r="R1094" i="1"/>
  <c r="Q1094" i="1" s="1"/>
  <c r="R630" i="1"/>
  <c r="Q630" i="1" s="1"/>
  <c r="S630" i="1" s="1"/>
  <c r="R350" i="1"/>
  <c r="Q350" i="1" s="1"/>
  <c r="R905" i="1"/>
  <c r="Q905" i="1" s="1"/>
  <c r="R791" i="1"/>
  <c r="Q791" i="1" s="1"/>
  <c r="R986" i="1"/>
  <c r="Q986" i="1" s="1"/>
  <c r="R1615" i="1"/>
  <c r="Q1615" i="1" s="1"/>
  <c r="R1231" i="1"/>
  <c r="Q1231" i="1" s="1"/>
  <c r="R435" i="1"/>
  <c r="Q435" i="1" s="1"/>
  <c r="R398" i="1"/>
  <c r="Q398" i="1" s="1"/>
  <c r="U1135" i="1"/>
  <c r="V1135" i="1" s="1"/>
  <c r="T644" i="1"/>
  <c r="T133" i="1"/>
  <c r="T134" i="1" s="1"/>
  <c r="T135" i="1" s="1"/>
  <c r="T1727" i="1"/>
  <c r="T581" i="1"/>
  <c r="T391" i="1"/>
  <c r="T283" i="1"/>
  <c r="T284" i="1" s="1"/>
  <c r="T1093" i="1"/>
  <c r="U1288" i="1"/>
  <c r="V1288" i="1" s="1"/>
  <c r="T551" i="1"/>
  <c r="T1597" i="1"/>
  <c r="U1121" i="1"/>
  <c r="V1121" i="1" s="1"/>
  <c r="T1576" i="1"/>
  <c r="T636" i="1"/>
  <c r="U1484" i="1"/>
  <c r="V1484" i="1" s="1"/>
  <c r="T627" i="1"/>
  <c r="U1695" i="1"/>
  <c r="V1695" i="1" s="1"/>
  <c r="T611" i="1"/>
  <c r="T334" i="1"/>
  <c r="R755" i="1"/>
  <c r="Q755" i="1" s="1"/>
  <c r="R1755" i="1"/>
  <c r="Q1755" i="1" s="1"/>
  <c r="R1758" i="1"/>
  <c r="Q1758" i="1" s="1"/>
  <c r="R749" i="1"/>
  <c r="Q749" i="1" s="1"/>
  <c r="R1751" i="1"/>
  <c r="Q1751" i="1" s="1"/>
  <c r="R785" i="1"/>
  <c r="Q785" i="1" s="1"/>
  <c r="R1753" i="1"/>
  <c r="Q1753" i="1" s="1"/>
  <c r="R1754" i="1"/>
  <c r="Q1754" i="1" s="1"/>
  <c r="Q939" i="1"/>
  <c r="R939" i="1"/>
  <c r="Q751" i="1"/>
  <c r="R193" i="1"/>
  <c r="Q193" i="1" s="1"/>
  <c r="Q1678" i="1"/>
  <c r="R959" i="1"/>
  <c r="Q959" i="1" s="1"/>
  <c r="Q952" i="1"/>
  <c r="R824" i="1"/>
  <c r="Q824" i="1" s="1"/>
  <c r="Q779" i="1"/>
  <c r="R679" i="1"/>
  <c r="Q679" i="1" s="1"/>
  <c r="R1039" i="1"/>
  <c r="Q1039" i="1" s="1"/>
  <c r="R948" i="1"/>
  <c r="Q948" i="1" s="1"/>
  <c r="R886" i="1"/>
  <c r="Q886" i="1" s="1"/>
  <c r="R1277" i="1"/>
  <c r="Q1277" i="1" s="1"/>
  <c r="R1734" i="1"/>
  <c r="Q1734" i="1" s="1"/>
  <c r="R1644" i="1"/>
  <c r="Q1644" i="1" s="1"/>
  <c r="R1135" i="1"/>
  <c r="Q1135" i="1" s="1"/>
  <c r="R462" i="1"/>
  <c r="Q462" i="1" s="1"/>
  <c r="R644" i="1"/>
  <c r="Q644" i="1" s="1"/>
  <c r="S644" i="1" s="1"/>
  <c r="R133" i="1"/>
  <c r="Q133" i="1" s="1"/>
  <c r="R8" i="1"/>
  <c r="Q8" i="1" s="1"/>
  <c r="R135" i="1"/>
  <c r="Q135" i="1" s="1"/>
  <c r="R6" i="1"/>
  <c r="Q6" i="1" s="1"/>
  <c r="R1727" i="1"/>
  <c r="Q1727" i="1" s="1"/>
  <c r="S1727" i="1" s="1"/>
  <c r="U1727" i="1" s="1"/>
  <c r="V1727" i="1" s="1"/>
  <c r="R1765" i="1"/>
  <c r="Q1765" i="1" s="1"/>
  <c r="R1545" i="1"/>
  <c r="Q1545" i="1" s="1"/>
  <c r="R581" i="1"/>
  <c r="Q581" i="1" s="1"/>
  <c r="S581" i="1" s="1"/>
  <c r="U581" i="1" s="1"/>
  <c r="V581" i="1" s="1"/>
  <c r="R561" i="1"/>
  <c r="Q561" i="1" s="1"/>
  <c r="R559" i="1"/>
  <c r="Q559" i="1" s="1"/>
  <c r="R391" i="1"/>
  <c r="Q391" i="1" s="1"/>
  <c r="R283" i="1"/>
  <c r="Q283" i="1" s="1"/>
  <c r="R164" i="1"/>
  <c r="Q164" i="1" s="1"/>
  <c r="R21" i="1"/>
  <c r="Q21" i="1" s="1"/>
  <c r="R975" i="1"/>
  <c r="Q975" i="1" s="1"/>
  <c r="R769" i="1"/>
  <c r="Q769" i="1" s="1"/>
  <c r="R1507" i="1"/>
  <c r="Q1507" i="1" s="1"/>
  <c r="R1394" i="1"/>
  <c r="Q1394" i="1" s="1"/>
  <c r="R1683" i="1"/>
  <c r="Q1683" i="1" s="1"/>
  <c r="R1093" i="1"/>
  <c r="Q1093" i="1" s="1"/>
  <c r="S1093" i="1" s="1"/>
  <c r="U1093" i="1" s="1"/>
  <c r="V1093" i="1" s="1"/>
  <c r="R1669" i="1"/>
  <c r="Q1669" i="1" s="1"/>
  <c r="Q1414" i="1"/>
  <c r="R1288" i="1"/>
  <c r="Q1288" i="1" s="1"/>
  <c r="R551" i="1"/>
  <c r="Q551" i="1" s="1"/>
  <c r="S551" i="1" s="1"/>
  <c r="R538" i="1"/>
  <c r="Q538" i="1" s="1"/>
  <c r="R542" i="1"/>
  <c r="Q542" i="1" s="1"/>
  <c r="R1597" i="1"/>
  <c r="Q1597" i="1" s="1"/>
  <c r="S1597" i="1" s="1"/>
  <c r="U1597" i="1" s="1"/>
  <c r="V1597" i="1" s="1"/>
  <c r="R1630" i="1"/>
  <c r="Q1630" i="1" s="1"/>
  <c r="R1121" i="1"/>
  <c r="Q1121" i="1" s="1"/>
  <c r="R1538" i="1"/>
  <c r="Q1538" i="1" s="1"/>
  <c r="R1588" i="1"/>
  <c r="Q1588" i="1" s="1"/>
  <c r="R1189" i="1"/>
  <c r="Q1189" i="1" s="1"/>
  <c r="R636" i="1"/>
  <c r="Q636" i="1" s="1"/>
  <c r="S636" i="1" s="1"/>
  <c r="U636" i="1" s="1"/>
  <c r="V636" i="1" s="1"/>
  <c r="R703" i="1"/>
  <c r="Q703" i="1" s="1"/>
  <c r="R875" i="1"/>
  <c r="Q875" i="1" s="1"/>
  <c r="R1297" i="1"/>
  <c r="Q1297" i="1" s="1"/>
  <c r="R1257" i="1"/>
  <c r="Q1257" i="1" s="1"/>
  <c r="R1484" i="1"/>
  <c r="Q1484" i="1" s="1"/>
  <c r="R1098" i="1"/>
  <c r="Q1098" i="1" s="1"/>
  <c r="R627" i="1"/>
  <c r="Q627" i="1" s="1"/>
  <c r="S627" i="1" s="1"/>
  <c r="U627" i="1" s="1"/>
  <c r="V627" i="1" s="1"/>
  <c r="Q878" i="1"/>
  <c r="R761" i="1"/>
  <c r="Q761" i="1" s="1"/>
  <c r="R656" i="1"/>
  <c r="Q656" i="1" s="1"/>
  <c r="R868" i="1"/>
  <c r="Q868" i="1" s="1"/>
  <c r="R961" i="1"/>
  <c r="Q961" i="1" s="1"/>
  <c r="R1530" i="1"/>
  <c r="Q1530" i="1" s="1"/>
  <c r="R536" i="1"/>
  <c r="Q536" i="1" s="1"/>
  <c r="R265" i="1"/>
  <c r="Q265" i="1" s="1"/>
  <c r="Q1092" i="1"/>
  <c r="Q82" i="1"/>
  <c r="R652" i="1"/>
  <c r="Q652" i="1" s="1"/>
  <c r="S652" i="1" s="1"/>
  <c r="U652" i="1" s="1"/>
  <c r="V652" i="1" s="1"/>
  <c r="R613" i="1"/>
  <c r="Q613" i="1" s="1"/>
  <c r="R284" i="1"/>
  <c r="Q284" i="1" s="1"/>
  <c r="Q1722" i="1"/>
  <c r="Q1204" i="1"/>
  <c r="Q635" i="1"/>
  <c r="S635" i="1" s="1"/>
  <c r="Q487" i="1"/>
  <c r="R1187" i="1"/>
  <c r="Q1187" i="1" s="1"/>
  <c r="R1704" i="1"/>
  <c r="Q1704" i="1" s="1"/>
  <c r="R607" i="1"/>
  <c r="Q607" i="1" s="1"/>
  <c r="R402" i="1"/>
  <c r="Q402" i="1" s="1"/>
  <c r="Q1181" i="1"/>
  <c r="Q1695" i="1"/>
  <c r="Q503" i="1"/>
  <c r="R495" i="1"/>
  <c r="Q495" i="1" s="1"/>
  <c r="R400" i="1"/>
  <c r="Q400" i="1" s="1"/>
  <c r="R271" i="1"/>
  <c r="Q271" i="1" s="1"/>
  <c r="R82" i="1"/>
  <c r="Q1221" i="1"/>
  <c r="Q529" i="1"/>
  <c r="Q282" i="1"/>
  <c r="R931" i="1"/>
  <c r="Q931" i="1" s="1"/>
  <c r="R1224" i="1"/>
  <c r="Q1224" i="1" s="1"/>
  <c r="R633" i="1"/>
  <c r="Q633" i="1" s="1"/>
  <c r="S633" i="1" s="1"/>
  <c r="U633" i="1" s="1"/>
  <c r="V633" i="1" s="1"/>
  <c r="Q1694" i="1"/>
  <c r="Q622" i="1"/>
  <c r="S622" i="1" s="1"/>
  <c r="Q274" i="1"/>
  <c r="R930" i="1"/>
  <c r="Q930" i="1" s="1"/>
  <c r="R874" i="1"/>
  <c r="Q874" i="1" s="1"/>
  <c r="R1436" i="1"/>
  <c r="Q1436" i="1" s="1"/>
  <c r="R1241" i="1"/>
  <c r="Q1241" i="1" s="1"/>
  <c r="R1190" i="1"/>
  <c r="Q1190" i="1" s="1"/>
  <c r="R631" i="1"/>
  <c r="Q631" i="1" s="1"/>
  <c r="S631" i="1" s="1"/>
  <c r="U631" i="1" s="1"/>
  <c r="V631" i="1" s="1"/>
  <c r="R471" i="1"/>
  <c r="Q471" i="1" s="1"/>
  <c r="R236" i="1"/>
  <c r="Q236" i="1" s="1"/>
  <c r="Q1515" i="1"/>
  <c r="Q1719" i="1"/>
  <c r="Q1580" i="1"/>
  <c r="Q511" i="1"/>
  <c r="Q286" i="1"/>
  <c r="Q395" i="1"/>
  <c r="R539" i="1"/>
  <c r="Q539" i="1" s="1"/>
  <c r="S539" i="1" s="1"/>
  <c r="U539" i="1" s="1"/>
  <c r="V539" i="1" s="1"/>
  <c r="Q694" i="1"/>
  <c r="Q1514" i="1"/>
  <c r="Q1171" i="1"/>
  <c r="Q1709" i="1"/>
  <c r="Q1177" i="1"/>
  <c r="Q594" i="1"/>
  <c r="Q71" i="1"/>
  <c r="R869" i="1"/>
  <c r="Q869" i="1" s="1"/>
  <c r="R587" i="1"/>
  <c r="Q587" i="1" s="1"/>
  <c r="S587" i="1" s="1"/>
  <c r="U587" i="1" s="1"/>
  <c r="V587" i="1" s="1"/>
  <c r="R65" i="1"/>
  <c r="Q65" i="1" s="1"/>
  <c r="Q1262" i="1"/>
  <c r="Q1200" i="1"/>
  <c r="Q1594" i="1"/>
  <c r="Q1702" i="1"/>
  <c r="Q1315" i="1"/>
  <c r="Q1193" i="1"/>
  <c r="Q110" i="1"/>
  <c r="Q248" i="1"/>
  <c r="R980" i="1"/>
  <c r="Q980" i="1" s="1"/>
  <c r="R711" i="1"/>
  <c r="Q711" i="1" s="1"/>
  <c r="R1699" i="1"/>
  <c r="Q1699" i="1" s="1"/>
  <c r="S1699" i="1" s="1"/>
  <c r="U1699" i="1" s="1"/>
  <c r="V1699" i="1" s="1"/>
  <c r="R1424" i="1"/>
  <c r="Q1424" i="1" s="1"/>
  <c r="R1211" i="1"/>
  <c r="Q1211" i="1" s="1"/>
  <c r="R1469" i="1"/>
  <c r="Q1469" i="1" s="1"/>
  <c r="R1129" i="1"/>
  <c r="Q1129" i="1" s="1"/>
  <c r="R465" i="1"/>
  <c r="Q465" i="1" s="1"/>
  <c r="R564" i="1"/>
  <c r="Q564" i="1" s="1"/>
  <c r="R447" i="1"/>
  <c r="Q447" i="1" s="1"/>
  <c r="R53" i="1"/>
  <c r="Q53" i="1" s="1"/>
  <c r="R206" i="1"/>
  <c r="Q206" i="1" s="1"/>
  <c r="R160" i="1"/>
  <c r="Q160" i="1" s="1"/>
  <c r="Q1184" i="1"/>
  <c r="Q1600" i="1"/>
  <c r="Q1432" i="1"/>
  <c r="Q1176" i="1"/>
  <c r="Q599" i="1"/>
  <c r="S599" i="1" s="1"/>
  <c r="U599" i="1" s="1"/>
  <c r="V599" i="1" s="1"/>
  <c r="Q89" i="1"/>
  <c r="Q296" i="1"/>
  <c r="Q106" i="1"/>
  <c r="Q200" i="1"/>
  <c r="R1027" i="1"/>
  <c r="Q1027" i="1" s="1"/>
  <c r="R979" i="1"/>
  <c r="Q979" i="1" s="1"/>
  <c r="R707" i="1"/>
  <c r="Q707" i="1" s="1"/>
  <c r="R1543" i="1"/>
  <c r="Q1543" i="1" s="1"/>
  <c r="S1543" i="1" s="1"/>
  <c r="U1543" i="1" s="1"/>
  <c r="V1543" i="1" s="1"/>
  <c r="R1685" i="1"/>
  <c r="Q1685" i="1" s="1"/>
  <c r="S1685" i="1" s="1"/>
  <c r="U1685" i="1" s="1"/>
  <c r="V1685" i="1" s="1"/>
  <c r="R1572" i="1"/>
  <c r="Q1572" i="1" s="1"/>
  <c r="R1609" i="1"/>
  <c r="Q1609" i="1" s="1"/>
  <c r="R1559" i="1"/>
  <c r="Q1559" i="1" s="1"/>
  <c r="R1113" i="1"/>
  <c r="Q1113" i="1" s="1"/>
  <c r="R457" i="1"/>
  <c r="Q457" i="1" s="1"/>
  <c r="R616" i="1"/>
  <c r="Q616" i="1" s="1"/>
  <c r="S616" i="1" s="1"/>
  <c r="U616" i="1" s="1"/>
  <c r="V616" i="1" s="1"/>
  <c r="R233" i="1"/>
  <c r="Q233" i="1" s="1"/>
  <c r="R194" i="1"/>
  <c r="Q194" i="1" s="1"/>
  <c r="R353" i="1"/>
  <c r="Q353" i="1" s="1"/>
  <c r="R188" i="1"/>
  <c r="Q188" i="1" s="1"/>
  <c r="Q788" i="1"/>
  <c r="Q1608" i="1"/>
  <c r="S1608" i="1" s="1"/>
  <c r="U1608" i="1" s="1"/>
  <c r="V1608" i="1" s="1"/>
  <c r="Q1526" i="1"/>
  <c r="Q1240" i="1"/>
  <c r="Q1091" i="1"/>
  <c r="Q621" i="1"/>
  <c r="S621" i="1" s="1"/>
  <c r="Q439" i="1"/>
  <c r="Q227" i="1"/>
  <c r="Q94" i="1"/>
  <c r="Q70" i="1"/>
  <c r="R922" i="1"/>
  <c r="Q922" i="1" s="1"/>
  <c r="R1672" i="1"/>
  <c r="Q1672" i="1" s="1"/>
  <c r="S1672" i="1" s="1"/>
  <c r="U1672" i="1" s="1"/>
  <c r="V1672" i="1" s="1"/>
  <c r="R1494" i="1"/>
  <c r="Q1494" i="1" s="1"/>
  <c r="R1561" i="1"/>
  <c r="Q1561" i="1" s="1"/>
  <c r="R1465" i="1"/>
  <c r="Q1465" i="1" s="1"/>
  <c r="R1336" i="1"/>
  <c r="Q1336" i="1" s="1"/>
  <c r="R507" i="1"/>
  <c r="Q507" i="1" s="1"/>
  <c r="R29" i="1"/>
  <c r="Q29" i="1" s="1"/>
  <c r="R176" i="1"/>
  <c r="Q176" i="1" s="1"/>
  <c r="R178" i="1"/>
  <c r="Q178" i="1" s="1"/>
  <c r="R136" i="1"/>
  <c r="Q136" i="1" s="1"/>
  <c r="Q1037" i="1"/>
  <c r="Q935" i="1"/>
  <c r="Q1649" i="1"/>
  <c r="S1649" i="1" s="1"/>
  <c r="U1649" i="1" s="1"/>
  <c r="V1649" i="1" s="1"/>
  <c r="Q1145" i="1"/>
  <c r="Q1182" i="1"/>
  <c r="Q617" i="1"/>
  <c r="S617" i="1" s="1"/>
  <c r="U617" i="1" s="1"/>
  <c r="V617" i="1" s="1"/>
  <c r="Q515" i="1"/>
  <c r="Q95" i="1"/>
  <c r="Q362" i="1"/>
  <c r="R1061" i="1"/>
  <c r="Q1061" i="1" s="1"/>
  <c r="R1664" i="1"/>
  <c r="Q1664" i="1" s="1"/>
  <c r="S1664" i="1" s="1"/>
  <c r="R1127" i="1"/>
  <c r="Q1127" i="1" s="1"/>
  <c r="R1593" i="1"/>
  <c r="Q1593" i="1" s="1"/>
  <c r="R560" i="1"/>
  <c r="Q560" i="1" s="1"/>
  <c r="R441" i="1"/>
  <c r="Q441" i="1" s="1"/>
  <c r="R499" i="1"/>
  <c r="Q499" i="1" s="1"/>
  <c r="R209" i="1"/>
  <c r="Q209" i="1" s="1"/>
  <c r="R166" i="1"/>
  <c r="Q166" i="1" s="1"/>
  <c r="R249" i="1"/>
  <c r="Q249" i="1" s="1"/>
  <c r="R124" i="1"/>
  <c r="Q124" i="1" s="1"/>
  <c r="Q774" i="1"/>
  <c r="Q1531" i="1"/>
  <c r="S1531" i="1" s="1"/>
  <c r="U1531" i="1" s="1"/>
  <c r="V1531" i="1" s="1"/>
  <c r="Q1584" i="1"/>
  <c r="Q1457" i="1"/>
  <c r="Q605" i="1"/>
  <c r="S605" i="1" s="1"/>
  <c r="U605" i="1" s="1"/>
  <c r="V605" i="1" s="1"/>
  <c r="Q449" i="1"/>
  <c r="Q637" i="1"/>
  <c r="S637" i="1" s="1"/>
  <c r="U637" i="1" s="1"/>
  <c r="V637" i="1" s="1"/>
  <c r="Q582" i="1"/>
  <c r="Q59" i="1"/>
  <c r="Q58" i="1"/>
  <c r="R861" i="1"/>
  <c r="Q861" i="1" s="1"/>
  <c r="S861" i="1" s="1"/>
  <c r="U861" i="1" s="1"/>
  <c r="V861" i="1" s="1"/>
  <c r="R1492" i="1"/>
  <c r="Q1492" i="1" s="1"/>
  <c r="R1128" i="1"/>
  <c r="Q1128" i="1" s="1"/>
  <c r="R1589" i="1"/>
  <c r="Q1589" i="1" s="1"/>
  <c r="R1303" i="1"/>
  <c r="Q1303" i="1" s="1"/>
  <c r="R554" i="1"/>
  <c r="Q554" i="1" s="1"/>
  <c r="R433" i="1"/>
  <c r="Q433" i="1" s="1"/>
  <c r="R323" i="1"/>
  <c r="Q323" i="1" s="1"/>
  <c r="R197" i="1"/>
  <c r="Q197" i="1" s="1"/>
  <c r="R334" i="1"/>
  <c r="Q334" i="1" s="1"/>
  <c r="R154" i="1"/>
  <c r="Q154" i="1" s="1"/>
  <c r="R237" i="1"/>
  <c r="Q237" i="1" s="1"/>
  <c r="R112" i="1"/>
  <c r="Q112" i="1" s="1"/>
  <c r="Q921" i="1"/>
  <c r="Q780" i="1"/>
  <c r="Q1519" i="1"/>
  <c r="Q1493" i="1"/>
  <c r="Q1172" i="1"/>
  <c r="Q1502" i="1"/>
  <c r="Q1718" i="1"/>
  <c r="Q1592" i="1"/>
  <c r="Q1471" i="1"/>
  <c r="Q1335" i="1"/>
  <c r="Q1097" i="1"/>
  <c r="Q572" i="1"/>
  <c r="Q263" i="1"/>
  <c r="Q245" i="1"/>
  <c r="Q182" i="1"/>
  <c r="Q190" i="1"/>
  <c r="R696" i="1"/>
  <c r="Q696" i="1" s="1"/>
  <c r="R918" i="1"/>
  <c r="Q918" i="1" s="1"/>
  <c r="R857" i="1"/>
  <c r="Q857" i="1" s="1"/>
  <c r="R794" i="1"/>
  <c r="Q794" i="1" s="1"/>
  <c r="R1279" i="1"/>
  <c r="Q1279" i="1" s="1"/>
  <c r="R1478" i="1"/>
  <c r="Q1478" i="1" s="1"/>
  <c r="R1212" i="1"/>
  <c r="Q1212" i="1" s="1"/>
  <c r="R1317" i="1"/>
  <c r="Q1317" i="1" s="1"/>
  <c r="R1286" i="1"/>
  <c r="Q1286" i="1" s="1"/>
  <c r="R549" i="1"/>
  <c r="Q549" i="1" s="1"/>
  <c r="S549" i="1" s="1"/>
  <c r="R314" i="1"/>
  <c r="Q314" i="1" s="1"/>
  <c r="R325" i="1"/>
  <c r="Q325" i="1" s="1"/>
  <c r="R146" i="1"/>
  <c r="Q146" i="1" s="1"/>
  <c r="R142" i="1"/>
  <c r="Q142" i="1" s="1"/>
  <c r="R225" i="1"/>
  <c r="Q225" i="1" s="1"/>
  <c r="Q1028" i="1"/>
  <c r="Q1617" i="1"/>
  <c r="S1617" i="1" s="1"/>
  <c r="U1617" i="1" s="1"/>
  <c r="V1617" i="1" s="1"/>
  <c r="Q1423" i="1"/>
  <c r="Q1110" i="1"/>
  <c r="Q1726" i="1"/>
  <c r="Q1602" i="1"/>
  <c r="Q1428" i="1"/>
  <c r="Q1319" i="1"/>
  <c r="Q562" i="1"/>
  <c r="S562" i="1" s="1"/>
  <c r="U562" i="1" s="1"/>
  <c r="V562" i="1" s="1"/>
  <c r="Q83" i="1"/>
  <c r="Q170" i="1"/>
  <c r="Q292" i="1"/>
  <c r="Q46" i="1"/>
  <c r="R692" i="1"/>
  <c r="Q692" i="1" s="1"/>
  <c r="R856" i="1"/>
  <c r="Q856" i="1" s="1"/>
  <c r="R793" i="1"/>
  <c r="Q793" i="1" s="1"/>
  <c r="R699" i="1"/>
  <c r="Q699" i="1" s="1"/>
  <c r="R1477" i="1"/>
  <c r="Q1477" i="1" s="1"/>
  <c r="R1213" i="1"/>
  <c r="Q1213" i="1" s="1"/>
  <c r="R1334" i="1"/>
  <c r="Q1334" i="1" s="1"/>
  <c r="R1282" i="1"/>
  <c r="Q1282" i="1" s="1"/>
  <c r="R1165" i="1"/>
  <c r="Q1165" i="1" s="1"/>
  <c r="R543" i="1"/>
  <c r="Q543" i="1" s="1"/>
  <c r="R420" i="1"/>
  <c r="Q420" i="1" s="1"/>
  <c r="R304" i="1"/>
  <c r="Q304" i="1" s="1"/>
  <c r="R119" i="1"/>
  <c r="Q119" i="1" s="1"/>
  <c r="R316" i="1"/>
  <c r="Q316" i="1" s="1"/>
  <c r="R134" i="1"/>
  <c r="Q134" i="1" s="1"/>
  <c r="R312" i="1"/>
  <c r="Q312" i="1" s="1"/>
  <c r="R213" i="1"/>
  <c r="Q213" i="1" s="1"/>
  <c r="Q917" i="1"/>
  <c r="Q1518" i="1"/>
  <c r="Q1527" i="1"/>
  <c r="Q1693" i="1"/>
  <c r="Q1581" i="1"/>
  <c r="Q1466" i="1"/>
  <c r="Q1180" i="1"/>
  <c r="Q550" i="1"/>
  <c r="S550" i="1" s="1"/>
  <c r="U550" i="1" s="1"/>
  <c r="V550" i="1" s="1"/>
  <c r="Q588" i="1"/>
  <c r="Q600" i="1"/>
  <c r="Q239" i="1"/>
  <c r="Q158" i="1"/>
  <c r="Q383" i="1"/>
  <c r="Q390" i="1"/>
  <c r="Q261" i="1"/>
  <c r="R655" i="1"/>
  <c r="Q655" i="1" s="1"/>
  <c r="R995" i="1"/>
  <c r="Q995" i="1" s="1"/>
  <c r="R855" i="1"/>
  <c r="Q855" i="1" s="1"/>
  <c r="R792" i="1"/>
  <c r="Q792" i="1" s="1"/>
  <c r="R695" i="1"/>
  <c r="Q695" i="1" s="1"/>
  <c r="R1280" i="1"/>
  <c r="Q1280" i="1" s="1"/>
  <c r="R1476" i="1"/>
  <c r="Q1476" i="1" s="1"/>
  <c r="R1199" i="1"/>
  <c r="Q1199" i="1" s="1"/>
  <c r="R1183" i="1"/>
  <c r="Q1183" i="1" s="1"/>
  <c r="R1712" i="1"/>
  <c r="Q1712" i="1" s="1"/>
  <c r="R1330" i="1"/>
  <c r="Q1330" i="1" s="1"/>
  <c r="R1305" i="1"/>
  <c r="Q1305" i="1" s="1"/>
  <c r="R1161" i="1"/>
  <c r="Q1161" i="1" s="1"/>
  <c r="R537" i="1"/>
  <c r="Q537" i="1" s="1"/>
  <c r="R413" i="1"/>
  <c r="Q413" i="1" s="1"/>
  <c r="R618" i="1"/>
  <c r="Q618" i="1" s="1"/>
  <c r="S618" i="1" s="1"/>
  <c r="U618" i="1" s="1"/>
  <c r="V618" i="1" s="1"/>
  <c r="R294" i="1"/>
  <c r="Q294" i="1" s="1"/>
  <c r="R107" i="1"/>
  <c r="Q107" i="1" s="1"/>
  <c r="R306" i="1"/>
  <c r="Q306" i="1" s="1"/>
  <c r="R302" i="1"/>
  <c r="Q302" i="1" s="1"/>
  <c r="R118" i="1"/>
  <c r="Q118" i="1" s="1"/>
  <c r="R201" i="1"/>
  <c r="Q201" i="1" s="1"/>
  <c r="Q956" i="1"/>
  <c r="Q1325" i="1"/>
  <c r="Q1757" i="1"/>
  <c r="Q32" i="1"/>
  <c r="Q1437" i="1"/>
  <c r="Q1131" i="1"/>
  <c r="Q920" i="1"/>
  <c r="Q476" i="1"/>
  <c r="Q682" i="1"/>
  <c r="Q1169" i="1"/>
  <c r="Q291" i="1"/>
  <c r="Q1083" i="1"/>
  <c r="Q756" i="1"/>
  <c r="Q1339" i="1"/>
  <c r="Q1759" i="1"/>
  <c r="Q485" i="1"/>
  <c r="Q38" i="1"/>
  <c r="Q1517" i="1"/>
  <c r="Q1332" i="1"/>
  <c r="Q1223" i="1"/>
  <c r="Q1488" i="1"/>
  <c r="Q629" i="1"/>
  <c r="S629" i="1" s="1"/>
  <c r="U629" i="1" s="1"/>
  <c r="V629" i="1" s="1"/>
  <c r="Q474" i="1"/>
  <c r="Q897" i="1"/>
  <c r="Q803" i="1"/>
  <c r="Q301" i="1"/>
  <c r="Q590" i="1"/>
  <c r="Q1318" i="1"/>
  <c r="Q268" i="1"/>
  <c r="Q224" i="1"/>
  <c r="Q901" i="1"/>
  <c r="Q504" i="1"/>
  <c r="Q343" i="1"/>
  <c r="Q817" i="1"/>
  <c r="Q1341" i="1"/>
  <c r="Q1162" i="1"/>
  <c r="Q26" i="1"/>
  <c r="Q1533" i="1"/>
  <c r="Q925" i="1"/>
  <c r="Q1360" i="1"/>
  <c r="Q212" i="1"/>
  <c r="Q169" i="1"/>
  <c r="Q181" i="1"/>
  <c r="Q808" i="1"/>
  <c r="Q708" i="1"/>
  <c r="Q881" i="1"/>
  <c r="Q653" i="1"/>
  <c r="Q349" i="1"/>
  <c r="Q850" i="1"/>
  <c r="Q1364" i="1"/>
  <c r="Q22" i="1"/>
  <c r="Q1158" i="1"/>
  <c r="Q1188" i="1"/>
  <c r="S1188" i="1" s="1"/>
  <c r="U1188" i="1" s="1"/>
  <c r="V1188" i="1" s="1"/>
  <c r="Q1491" i="1"/>
  <c r="Q1611" i="1"/>
  <c r="Q570" i="1"/>
  <c r="Q981" i="1"/>
  <c r="S981" i="1" s="1"/>
  <c r="U981" i="1" s="1"/>
  <c r="V981" i="1" s="1"/>
  <c r="Q910" i="1"/>
  <c r="Q1009" i="1"/>
  <c r="Q654" i="1"/>
  <c r="Q1105" i="1"/>
  <c r="Q1668" i="1"/>
  <c r="Q1420" i="1"/>
  <c r="Q612" i="1"/>
  <c r="Q982" i="1"/>
  <c r="Q214" i="1"/>
  <c r="Q1571" i="1"/>
  <c r="Q1440" i="1"/>
  <c r="Q1054" i="1"/>
  <c r="Q745" i="1"/>
  <c r="Q904" i="1"/>
  <c r="Q772" i="1"/>
  <c r="Q1338" i="1"/>
  <c r="Q1523" i="1"/>
  <c r="Q1118" i="1"/>
  <c r="Q103" i="1"/>
  <c r="Q1157" i="1"/>
  <c r="Q1721" i="1"/>
  <c r="S1721" i="1" s="1"/>
  <c r="U1721" i="1" s="1"/>
  <c r="V1721" i="1" s="1"/>
  <c r="Q226" i="1"/>
  <c r="Q1144" i="1"/>
  <c r="Q1030" i="1"/>
  <c r="Q626" i="1"/>
  <c r="S626" i="1" s="1"/>
  <c r="Q377" i="1"/>
  <c r="Q1596" i="1"/>
  <c r="S1596" i="1" s="1"/>
  <c r="Q1244" i="1"/>
  <c r="Q478" i="1"/>
  <c r="Q1419" i="1"/>
  <c r="Q1155" i="1"/>
  <c r="Q34" i="1"/>
  <c r="Q1089" i="1"/>
  <c r="S1089" i="1" s="1"/>
  <c r="U1089" i="1" s="1"/>
  <c r="V1089" i="1" s="1"/>
  <c r="Q929" i="1"/>
  <c r="Q1583" i="1"/>
  <c r="Q531" i="1"/>
  <c r="Q455" i="1"/>
  <c r="Q77" i="1"/>
  <c r="Q171" i="1"/>
  <c r="Q963" i="1"/>
  <c r="Q156" i="1"/>
  <c r="Q709" i="1"/>
  <c r="Q1388" i="1"/>
  <c r="Q1220" i="1"/>
  <c r="Q1142" i="1"/>
  <c r="Q591" i="1"/>
  <c r="Q606" i="1"/>
  <c r="Q23" i="1"/>
  <c r="Q1134" i="1"/>
  <c r="Q1036" i="1"/>
  <c r="Q775" i="1"/>
  <c r="Q1130" i="1"/>
  <c r="Q1010" i="1"/>
  <c r="Q1243" i="1"/>
  <c r="Q1739" i="1"/>
  <c r="Q54" i="1"/>
  <c r="Q839" i="1"/>
  <c r="Q1304" i="1"/>
  <c r="Q234" i="1"/>
  <c r="Q787" i="1"/>
  <c r="Q640" i="1"/>
  <c r="S640" i="1" s="1"/>
  <c r="Q937" i="1"/>
  <c r="Q1626" i="1"/>
  <c r="S1626" i="1" s="1"/>
  <c r="U1626" i="1" s="1"/>
  <c r="V1626" i="1" s="1"/>
  <c r="Q1442" i="1"/>
  <c r="Q512" i="1"/>
  <c r="Q597" i="1"/>
  <c r="Q331" i="1"/>
  <c r="Q840" i="1"/>
  <c r="Q117" i="1"/>
  <c r="Q1565" i="1"/>
  <c r="S1565" i="1" s="1"/>
  <c r="Q1031" i="1"/>
  <c r="Q776" i="1"/>
  <c r="Q593" i="1"/>
  <c r="S593" i="1" s="1"/>
  <c r="U593" i="1" s="1"/>
  <c r="V593" i="1" s="1"/>
  <c r="Q184" i="1"/>
  <c r="Q351" i="1"/>
  <c r="Q486" i="1"/>
  <c r="Q884" i="1"/>
  <c r="Q724" i="1"/>
  <c r="Q663" i="1"/>
  <c r="Q1663" i="1"/>
  <c r="Q1508" i="1"/>
  <c r="Q1217" i="1"/>
  <c r="Q405" i="1"/>
  <c r="Q322" i="1"/>
  <c r="Q246" i="1"/>
  <c r="Q105" i="1"/>
  <c r="Q371" i="1"/>
  <c r="Q1576" i="1"/>
  <c r="S1576" i="1" s="1"/>
  <c r="Q374" i="1"/>
  <c r="Q230" i="1"/>
  <c r="Q992" i="1"/>
  <c r="Q1446" i="1"/>
  <c r="Q369" i="1"/>
  <c r="Q720" i="1"/>
  <c r="Q753" i="1"/>
  <c r="Q678" i="1"/>
  <c r="Q642" i="1"/>
  <c r="S642" i="1" s="1"/>
  <c r="U642" i="1" s="1"/>
  <c r="V642" i="1" s="1"/>
  <c r="Q1710" i="1"/>
  <c r="Q203" i="1"/>
  <c r="Q872" i="1"/>
  <c r="Q870" i="1"/>
  <c r="Q712" i="1"/>
  <c r="Q1703" i="1"/>
  <c r="Q576" i="1"/>
  <c r="Q686" i="1"/>
  <c r="Q1451" i="1"/>
  <c r="Q943" i="1"/>
  <c r="S943" i="1" s="1"/>
  <c r="U943" i="1" s="1"/>
  <c r="V943" i="1" s="1"/>
  <c r="Q837" i="1"/>
  <c r="Q773" i="1"/>
  <c r="Q1049" i="1"/>
  <c r="Q809" i="1"/>
  <c r="Q1322" i="1"/>
  <c r="Q1637" i="1"/>
  <c r="Q1673" i="1"/>
  <c r="Q215" i="1"/>
  <c r="Q1068" i="1"/>
  <c r="Q693" i="1"/>
  <c r="Q1717" i="1"/>
  <c r="Q1084" i="1"/>
  <c r="Q871" i="1"/>
  <c r="Q1607" i="1"/>
  <c r="Q744" i="1"/>
  <c r="Q836" i="1"/>
  <c r="Q742" i="1"/>
  <c r="Q1074" i="1"/>
  <c r="Q1048" i="1"/>
  <c r="Q1643" i="1"/>
  <c r="Q484" i="1"/>
  <c r="Q908" i="1"/>
  <c r="Q1516" i="1"/>
  <c r="Q983" i="1"/>
  <c r="Q1174" i="1"/>
  <c r="S1174" i="1" s="1"/>
  <c r="U1174" i="1" s="1"/>
  <c r="V1174" i="1" s="1"/>
  <c r="Q1595" i="1"/>
  <c r="Q1603" i="1"/>
  <c r="Q1205" i="1"/>
  <c r="U545" i="1" l="1"/>
  <c r="V545" i="1" s="1"/>
  <c r="U1202" i="1"/>
  <c r="V1202" i="1" s="1"/>
  <c r="U646" i="1"/>
  <c r="V646" i="1" s="1"/>
  <c r="U1738" i="1"/>
  <c r="V1738" i="1" s="1"/>
  <c r="U1700" i="1"/>
  <c r="V1700" i="1" s="1"/>
  <c r="U1024" i="1"/>
  <c r="V1024" i="1" s="1"/>
  <c r="U1732" i="1"/>
  <c r="V1732" i="1" s="1"/>
  <c r="U632" i="1"/>
  <c r="V632" i="1" s="1"/>
  <c r="U630" i="1"/>
  <c r="V630" i="1" s="1"/>
  <c r="U580" i="1"/>
  <c r="V580" i="1" s="1"/>
  <c r="U604" i="1"/>
  <c r="V604" i="1" s="1"/>
  <c r="U1735" i="1"/>
  <c r="V1735" i="1" s="1"/>
  <c r="U1085" i="1"/>
  <c r="V1085" i="1" s="1"/>
  <c r="U645" i="1"/>
  <c r="V645" i="1" s="1"/>
  <c r="U1081" i="1"/>
  <c r="V1081" i="1" s="1"/>
  <c r="U623" i="1"/>
  <c r="V623" i="1" s="1"/>
  <c r="U1058" i="1"/>
  <c r="V1058" i="1" s="1"/>
  <c r="U626" i="1"/>
  <c r="V626" i="1" s="1"/>
  <c r="U1100" i="1"/>
  <c r="V1100" i="1" s="1"/>
  <c r="U574" i="1"/>
  <c r="V574" i="1" s="1"/>
  <c r="U1033" i="1"/>
  <c r="V1033" i="1" s="1"/>
  <c r="U621" i="1"/>
  <c r="V621" i="1" s="1"/>
  <c r="U1072" i="1"/>
  <c r="V1072" i="1" s="1"/>
  <c r="U410" i="1"/>
  <c r="V410" i="1" s="1"/>
  <c r="U392" i="1"/>
  <c r="V392" i="1" s="1"/>
  <c r="U640" i="1"/>
  <c r="V640" i="1" s="1"/>
  <c r="U1664" i="1"/>
  <c r="V1664" i="1" s="1"/>
  <c r="U635" i="1"/>
  <c r="V635" i="1" s="1"/>
  <c r="U389" i="1"/>
  <c r="V389" i="1" s="1"/>
  <c r="U668" i="1"/>
  <c r="V668" i="1" s="1"/>
  <c r="S514" i="1"/>
  <c r="U514" i="1" s="1"/>
  <c r="V514" i="1" s="1"/>
  <c r="U1576" i="1"/>
  <c r="V1576" i="1" s="1"/>
  <c r="U382" i="1"/>
  <c r="V382" i="1" s="1"/>
  <c r="U546" i="1"/>
  <c r="V546" i="1" s="1"/>
  <c r="U549" i="1"/>
  <c r="V549" i="1" s="1"/>
  <c r="U644" i="1"/>
  <c r="V644" i="1" s="1"/>
  <c r="U1086" i="1"/>
  <c r="V1086" i="1" s="1"/>
  <c r="U408" i="1"/>
  <c r="V408" i="1" s="1"/>
  <c r="U407" i="1"/>
  <c r="V407" i="1" s="1"/>
  <c r="U888" i="1"/>
  <c r="V888" i="1" s="1"/>
  <c r="U592" i="1"/>
  <c r="V592" i="1" s="1"/>
  <c r="U1050" i="1"/>
  <c r="V1050" i="1" s="1"/>
  <c r="U622" i="1"/>
  <c r="V622" i="1" s="1"/>
  <c r="U1596" i="1"/>
  <c r="V1596" i="1" s="1"/>
  <c r="U551" i="1"/>
  <c r="V551" i="1" s="1"/>
  <c r="U1741" i="1"/>
  <c r="V1741" i="1" s="1"/>
  <c r="U406" i="1"/>
  <c r="V406" i="1" s="1"/>
  <c r="S1733" i="1"/>
  <c r="U1733" i="1" s="1"/>
  <c r="V1733" i="1" s="1"/>
  <c r="S136" i="1"/>
  <c r="U136" i="1" s="1"/>
  <c r="V136" i="1" s="1"/>
  <c r="U1716" i="1"/>
  <c r="V1716" i="1" s="1"/>
  <c r="S351" i="1"/>
  <c r="S606" i="1"/>
  <c r="U606" i="1" s="1"/>
  <c r="V606" i="1" s="1"/>
  <c r="S416" i="1"/>
  <c r="S417" i="1" s="1"/>
  <c r="S333" i="1"/>
  <c r="S596" i="1"/>
  <c r="U596" i="1" s="1"/>
  <c r="V596" i="1" s="1"/>
  <c r="S418" i="1"/>
  <c r="U418" i="1" s="1"/>
  <c r="V418" i="1" s="1"/>
  <c r="S473" i="1"/>
  <c r="U473" i="1" s="1"/>
  <c r="V473" i="1" s="1"/>
  <c r="U665" i="1"/>
  <c r="V665" i="1" s="1"/>
  <c r="S1647" i="1"/>
  <c r="S1648" i="1" s="1"/>
  <c r="S487" i="1"/>
  <c r="S488" i="1" s="1"/>
  <c r="S1125" i="1"/>
  <c r="U1125" i="1" s="1"/>
  <c r="V1125" i="1" s="1"/>
  <c r="T416" i="1"/>
  <c r="T417" i="1" s="1"/>
  <c r="U1565" i="1"/>
  <c r="V1565" i="1" s="1"/>
  <c r="S1677" i="1"/>
  <c r="U1677" i="1" s="1"/>
  <c r="V1677" i="1" s="1"/>
  <c r="S578" i="1"/>
  <c r="U578" i="1" s="1"/>
  <c r="V578" i="1" s="1"/>
  <c r="U1554" i="1"/>
  <c r="V1554" i="1" s="1"/>
  <c r="S1367" i="1"/>
  <c r="S262" i="1"/>
  <c r="U262" i="1" s="1"/>
  <c r="V262" i="1" s="1"/>
  <c r="S925" i="1"/>
  <c r="U925" i="1" s="1"/>
  <c r="V925" i="1" s="1"/>
  <c r="S1312" i="1"/>
  <c r="S1749" i="1"/>
  <c r="U1749" i="1" s="1"/>
  <c r="V1749" i="1" s="1"/>
  <c r="S2" i="1"/>
  <c r="S511" i="1"/>
  <c r="U511" i="1" s="1"/>
  <c r="V511" i="1" s="1"/>
  <c r="U569" i="1"/>
  <c r="V569" i="1" s="1"/>
  <c r="S1745" i="1"/>
  <c r="U1745" i="1" s="1"/>
  <c r="V1745" i="1" s="1"/>
  <c r="S481" i="1"/>
  <c r="S482" i="1" s="1"/>
  <c r="S944" i="1"/>
  <c r="S945" i="1" s="1"/>
  <c r="S1615" i="1"/>
  <c r="T445" i="1"/>
  <c r="T446" i="1" s="1"/>
  <c r="S404" i="1"/>
  <c r="S1144" i="1"/>
  <c r="S1145" i="1" s="1"/>
  <c r="U611" i="1"/>
  <c r="V611" i="1" s="1"/>
  <c r="S160" i="1"/>
  <c r="U160" i="1" s="1"/>
  <c r="V160" i="1" s="1"/>
  <c r="S1725" i="1"/>
  <c r="U1725" i="1" s="1"/>
  <c r="V1725" i="1" s="1"/>
  <c r="S1631" i="1"/>
  <c r="S1353" i="1"/>
  <c r="U1353" i="1" s="1"/>
  <c r="V1353" i="1" s="1"/>
  <c r="S12" i="1"/>
  <c r="U12" i="1" s="1"/>
  <c r="V12" i="1" s="1"/>
  <c r="S1495" i="1"/>
  <c r="U1495" i="1" s="1"/>
  <c r="V1495" i="1" s="1"/>
  <c r="S437" i="1"/>
  <c r="U437" i="1" s="1"/>
  <c r="V437" i="1" s="1"/>
  <c r="U575" i="1"/>
  <c r="V575" i="1" s="1"/>
  <c r="U375" i="1"/>
  <c r="V375" i="1" s="1"/>
  <c r="U647" i="1"/>
  <c r="V647" i="1" s="1"/>
  <c r="S459" i="1"/>
  <c r="S460" i="1" s="1"/>
  <c r="S584" i="1"/>
  <c r="U584" i="1" s="1"/>
  <c r="V584" i="1" s="1"/>
  <c r="S1256" i="1"/>
  <c r="U1256" i="1" s="1"/>
  <c r="V1256" i="1" s="1"/>
  <c r="S541" i="1"/>
  <c r="U541" i="1" s="1"/>
  <c r="V541" i="1" s="1"/>
  <c r="U1011" i="1"/>
  <c r="V1011" i="1" s="1"/>
  <c r="S339" i="1"/>
  <c r="U339" i="1" s="1"/>
  <c r="V339" i="1" s="1"/>
  <c r="S841" i="1"/>
  <c r="S842" i="1" s="1"/>
  <c r="S376" i="1"/>
  <c r="U376" i="1" s="1"/>
  <c r="V376" i="1" s="1"/>
  <c r="S361" i="1"/>
  <c r="U361" i="1" s="1"/>
  <c r="V361" i="1" s="1"/>
  <c r="U1082" i="1"/>
  <c r="V1082" i="1" s="1"/>
  <c r="S602" i="1"/>
  <c r="U602" i="1" s="1"/>
  <c r="V602" i="1" s="1"/>
  <c r="U924" i="1"/>
  <c r="V924" i="1" s="1"/>
  <c r="S1365" i="1"/>
  <c r="U1365" i="1" s="1"/>
  <c r="V1365" i="1" s="1"/>
  <c r="S1461" i="1"/>
  <c r="S1462" i="1" s="1"/>
  <c r="S547" i="1"/>
  <c r="U547" i="1" s="1"/>
  <c r="V547" i="1" s="1"/>
  <c r="U628" i="1"/>
  <c r="V628" i="1" s="1"/>
  <c r="S1425" i="1"/>
  <c r="S1369" i="1"/>
  <c r="U1369" i="1" s="1"/>
  <c r="V1369" i="1" s="1"/>
  <c r="U1724" i="1"/>
  <c r="V1724" i="1" s="1"/>
  <c r="U1078" i="1"/>
  <c r="V1078" i="1" s="1"/>
  <c r="S461" i="1"/>
  <c r="U461" i="1" s="1"/>
  <c r="V461" i="1" s="1"/>
  <c r="S1574" i="1"/>
  <c r="S1575" i="1" s="1"/>
  <c r="S493" i="1"/>
  <c r="U493" i="1" s="1"/>
  <c r="V493" i="1" s="1"/>
  <c r="S517" i="1"/>
  <c r="U517" i="1" s="1"/>
  <c r="V517" i="1" s="1"/>
  <c r="S353" i="1"/>
  <c r="U353" i="1" s="1"/>
  <c r="V353" i="1" s="1"/>
  <c r="S1279" i="1"/>
  <c r="U1279" i="1" s="1"/>
  <c r="V1279" i="1" s="1"/>
  <c r="S455" i="1"/>
  <c r="S456" i="1" s="1"/>
  <c r="S1503" i="1"/>
  <c r="S1502" i="1"/>
  <c r="S495" i="1"/>
  <c r="S496" i="1" s="1"/>
  <c r="S352" i="1"/>
  <c r="U988" i="1"/>
  <c r="V988" i="1" s="1"/>
  <c r="S61" i="1"/>
  <c r="S62" i="1" s="1"/>
  <c r="U62" i="1" s="1"/>
  <c r="V62" i="1" s="1"/>
  <c r="S1622" i="1"/>
  <c r="S1623" i="1" s="1"/>
  <c r="S1451" i="1"/>
  <c r="U1451" i="1" s="1"/>
  <c r="V1451" i="1" s="1"/>
  <c r="S91" i="1"/>
  <c r="S92" i="1" s="1"/>
  <c r="U92" i="1" s="1"/>
  <c r="V92" i="1" s="1"/>
  <c r="S393" i="1"/>
  <c r="S394" i="1" s="1"/>
  <c r="S503" i="1"/>
  <c r="S504" i="1" s="1"/>
  <c r="U610" i="1"/>
  <c r="V610" i="1" s="1"/>
  <c r="S576" i="1"/>
  <c r="U576" i="1" s="1"/>
  <c r="V576" i="1" s="1"/>
  <c r="S523" i="1"/>
  <c r="S524" i="1" s="1"/>
  <c r="S507" i="1"/>
  <c r="S508" i="1" s="1"/>
  <c r="S424" i="1"/>
  <c r="U424" i="1" s="1"/>
  <c r="V424" i="1" s="1"/>
  <c r="S371" i="1"/>
  <c r="S372" i="1" s="1"/>
  <c r="S564" i="1"/>
  <c r="U564" i="1" s="1"/>
  <c r="V564" i="1" s="1"/>
  <c r="S1368" i="1"/>
  <c r="S359" i="1"/>
  <c r="U359" i="1" s="1"/>
  <c r="V359" i="1" s="1"/>
  <c r="U10" i="1"/>
  <c r="V10" i="1" s="1"/>
  <c r="S1439" i="1"/>
  <c r="S1440" i="1" s="1"/>
  <c r="S281" i="1"/>
  <c r="S282" i="1" s="1"/>
  <c r="S1594" i="1"/>
  <c r="S1595" i="1" s="1"/>
  <c r="S324" i="1"/>
  <c r="U324" i="1" s="1"/>
  <c r="V324" i="1" s="1"/>
  <c r="U296" i="1"/>
  <c r="V296" i="1" s="1"/>
  <c r="U415" i="1"/>
  <c r="V415" i="1" s="1"/>
  <c r="U1002" i="1"/>
  <c r="V1002" i="1" s="1"/>
  <c r="S422" i="1"/>
  <c r="U422" i="1" s="1"/>
  <c r="V422" i="1" s="1"/>
  <c r="S387" i="1"/>
  <c r="S388" i="1" s="1"/>
  <c r="S1514" i="1"/>
  <c r="S1515" i="1" s="1"/>
  <c r="S1722" i="1"/>
  <c r="U1722" i="1" s="1"/>
  <c r="V1722" i="1" s="1"/>
  <c r="S1616" i="1"/>
  <c r="S273" i="1"/>
  <c r="U273" i="1" s="1"/>
  <c r="V273" i="1" s="1"/>
  <c r="S274" i="1"/>
  <c r="S311" i="1"/>
  <c r="S312" i="1" s="1"/>
  <c r="S533" i="1"/>
  <c r="U533" i="1" s="1"/>
  <c r="V533" i="1" s="1"/>
  <c r="S1761" i="1"/>
  <c r="S1762" i="1" s="1"/>
  <c r="S315" i="1"/>
  <c r="U315" i="1" s="1"/>
  <c r="V315" i="1" s="1"/>
  <c r="U540" i="1"/>
  <c r="V540" i="1" s="1"/>
  <c r="S489" i="1"/>
  <c r="S490" i="1" s="1"/>
  <c r="U1088" i="1"/>
  <c r="V1088" i="1" s="1"/>
  <c r="S3" i="1"/>
  <c r="S1313" i="1"/>
  <c r="S423" i="1" l="1"/>
  <c r="U423" i="1" s="1"/>
  <c r="V423" i="1" s="1"/>
  <c r="U417" i="1"/>
  <c r="V417" i="1" s="1"/>
  <c r="S1750" i="1"/>
  <c r="U1750" i="1" s="1"/>
  <c r="V1750" i="1" s="1"/>
  <c r="S534" i="1"/>
  <c r="S603" i="1"/>
  <c r="S474" i="1"/>
  <c r="S354" i="1"/>
  <c r="S565" i="1"/>
  <c r="S425" i="1"/>
  <c r="S63" i="1"/>
  <c r="S161" i="1"/>
  <c r="U161" i="1" s="1"/>
  <c r="V161" i="1" s="1"/>
  <c r="S1726" i="1"/>
  <c r="S577" i="1"/>
  <c r="S518" i="1"/>
  <c r="S1452" i="1"/>
  <c r="S13" i="1"/>
  <c r="S512" i="1"/>
  <c r="S1723" i="1"/>
  <c r="U1723" i="1" s="1"/>
  <c r="V1723" i="1" s="1"/>
  <c r="S1370" i="1"/>
  <c r="S325" i="1"/>
  <c r="S1280" i="1"/>
  <c r="S438" i="1"/>
  <c r="S419" i="1"/>
  <c r="U1425" i="1"/>
  <c r="V1425" i="1" s="1"/>
  <c r="S1426" i="1"/>
  <c r="S462" i="1"/>
  <c r="S137" i="1"/>
  <c r="S548" i="1"/>
  <c r="S542" i="1"/>
  <c r="S1366" i="1"/>
  <c r="S597" i="1"/>
  <c r="S1734" i="1"/>
  <c r="S360" i="1"/>
  <c r="U1631" i="1"/>
  <c r="V1631" i="1" s="1"/>
  <c r="S1632" i="1"/>
  <c r="S377" i="1"/>
  <c r="S1746" i="1"/>
  <c r="S1354" i="1"/>
  <c r="S316" i="1"/>
  <c r="U316" i="1" s="1"/>
  <c r="V316" i="1" s="1"/>
  <c r="S162" i="1"/>
  <c r="U162" i="1" s="1"/>
  <c r="V162" i="1" s="1"/>
  <c r="S1496" i="1"/>
  <c r="S494" i="1"/>
  <c r="U494" i="1" s="1"/>
  <c r="V494" i="1" s="1"/>
  <c r="S585" i="1"/>
  <c r="S607" i="1"/>
  <c r="S1126" i="1"/>
  <c r="S926" i="1"/>
  <c r="S362" i="1"/>
  <c r="S1678" i="1"/>
  <c r="U1678" i="1" s="1"/>
  <c r="V1678" i="1" s="1"/>
  <c r="S93" i="1"/>
  <c r="S263" i="1"/>
  <c r="S579" i="1"/>
  <c r="S340" i="1"/>
  <c r="U404" i="1"/>
  <c r="V404" i="1" s="1"/>
  <c r="S405" i="1"/>
  <c r="U333" i="1"/>
  <c r="V333" i="1" s="1"/>
  <c r="S334" i="1"/>
  <c r="U334" i="1" s="1"/>
  <c r="V334" i="1" s="1"/>
  <c r="S1257" i="1"/>
  <c r="S535" i="1"/>
  <c r="S536" i="1" s="1"/>
  <c r="S1108" i="1"/>
  <c r="S1109" i="1" s="1"/>
  <c r="S1337" i="1"/>
  <c r="S1753" i="1"/>
  <c r="S1463" i="1"/>
  <c r="S1464" i="1" s="1"/>
  <c r="S345" i="1"/>
  <c r="S346" i="1" s="1"/>
  <c r="S525" i="1"/>
  <c r="S543" i="1"/>
  <c r="S544" i="1" s="1"/>
  <c r="S1742" i="1"/>
  <c r="S1743" i="1" s="1"/>
  <c r="S357" i="1"/>
  <c r="S1572" i="1"/>
  <c r="U7" i="1"/>
  <c r="V7" i="1" s="1"/>
  <c r="S329" i="1"/>
  <c r="S1383" i="1"/>
  <c r="S1384" i="1" s="1"/>
  <c r="S619" i="1"/>
  <c r="S620" i="1" s="1"/>
  <c r="S465" i="1"/>
  <c r="S560" i="1"/>
  <c r="S439" i="1"/>
  <c r="S440" i="1" s="1"/>
  <c r="S521" i="1"/>
  <c r="S522" i="1" s="1"/>
  <c r="U221" i="1"/>
  <c r="V221" i="1" s="1"/>
  <c r="S554" i="1"/>
  <c r="S555" i="1" s="1"/>
  <c r="S1538" i="1"/>
  <c r="S1539" i="1" s="1"/>
  <c r="S1381" i="1"/>
  <c r="S1382" i="1" s="1"/>
  <c r="S385" i="1"/>
  <c r="S469" i="1"/>
  <c r="S519" i="1"/>
  <c r="S520" i="1" s="1"/>
  <c r="S497" i="1"/>
  <c r="S301" i="1"/>
  <c r="S449" i="1"/>
  <c r="S1158" i="1"/>
  <c r="S1159" i="1" s="1"/>
  <c r="S369" i="1"/>
  <c r="S370" i="1" s="1"/>
  <c r="S341" i="1"/>
  <c r="S342" i="1" s="1"/>
  <c r="U416" i="1"/>
  <c r="V416" i="1" s="1"/>
  <c r="S1240" i="1"/>
  <c r="S1241" i="1" s="1"/>
  <c r="S1355" i="1"/>
  <c r="S1356" i="1" s="1"/>
  <c r="S1763" i="1"/>
  <c r="S491" i="1"/>
  <c r="S1351" i="1"/>
  <c r="U279" i="1"/>
  <c r="V279" i="1" s="1"/>
  <c r="S471" i="1"/>
  <c r="S472" i="1" s="1"/>
  <c r="S435" i="1"/>
  <c r="S436" i="1" s="1"/>
  <c r="S1662" i="1"/>
  <c r="S1663" i="1" s="1"/>
  <c r="S349" i="1"/>
  <c r="S1029" i="1"/>
  <c r="U1018" i="1"/>
  <c r="V1018" i="1" s="1"/>
  <c r="U1572" i="1" l="1"/>
  <c r="V1572" i="1" s="1"/>
  <c r="S1573" i="1"/>
  <c r="U357" i="1"/>
  <c r="V357" i="1" s="1"/>
  <c r="S358" i="1"/>
  <c r="U349" i="1"/>
  <c r="V349" i="1" s="1"/>
  <c r="S350" i="1"/>
  <c r="U1351" i="1"/>
  <c r="V1351" i="1" s="1"/>
  <c r="S1352" i="1"/>
  <c r="U1352" i="1" s="1"/>
  <c r="V1352" i="1" s="1"/>
  <c r="U137" i="1"/>
  <c r="V137" i="1" s="1"/>
  <c r="S138" i="1"/>
  <c r="U491" i="1"/>
  <c r="V491" i="1" s="1"/>
  <c r="S492" i="1"/>
  <c r="U449" i="1"/>
  <c r="V449" i="1" s="1"/>
  <c r="S450" i="1"/>
  <c r="U560" i="1"/>
  <c r="V560" i="1" s="1"/>
  <c r="S561" i="1"/>
  <c r="U525" i="1"/>
  <c r="V525" i="1" s="1"/>
  <c r="S526" i="1"/>
  <c r="U1763" i="1"/>
  <c r="V1763" i="1" s="1"/>
  <c r="S1764" i="1"/>
  <c r="U301" i="1"/>
  <c r="V301" i="1" s="1"/>
  <c r="S302" i="1"/>
  <c r="U497" i="1"/>
  <c r="V497" i="1" s="1"/>
  <c r="S498" i="1"/>
  <c r="U465" i="1"/>
  <c r="V465" i="1" s="1"/>
  <c r="S466" i="1"/>
  <c r="U469" i="1"/>
  <c r="V469" i="1" s="1"/>
  <c r="S470" i="1"/>
  <c r="U1753" i="1"/>
  <c r="V1753" i="1" s="1"/>
  <c r="S1754" i="1"/>
  <c r="U385" i="1"/>
  <c r="V385" i="1" s="1"/>
  <c r="S386" i="1"/>
  <c r="U1337" i="1"/>
  <c r="V1337" i="1" s="1"/>
  <c r="S1338" i="1"/>
  <c r="U329" i="1"/>
  <c r="V329" i="1" s="1"/>
  <c r="S330" i="1"/>
  <c r="S1038" i="1"/>
  <c r="S1046" i="1" l="1"/>
  <c r="S1055" i="1" l="1"/>
  <c r="S1063" i="1" l="1"/>
  <c r="S1069" i="1" l="1"/>
  <c r="U850" i="1" l="1"/>
  <c r="V850" i="1" s="1"/>
  <c r="U676" i="1"/>
  <c r="V676" i="1" s="1"/>
  <c r="U1027" i="1"/>
  <c r="V1027" i="1" s="1"/>
  <c r="U703" i="1"/>
  <c r="V703" i="1" s="1"/>
  <c r="U881" i="1"/>
  <c r="V881" i="1" s="1"/>
  <c r="U1556" i="1"/>
  <c r="V1556" i="1" s="1"/>
  <c r="U673" i="1"/>
  <c r="V673" i="1" s="1"/>
  <c r="U999" i="1"/>
  <c r="V999" i="1" s="1"/>
  <c r="T996" i="1"/>
  <c r="T997" i="1"/>
  <c r="U1091" i="1"/>
  <c r="V1091" i="1" s="1"/>
  <c r="U1392" i="1"/>
  <c r="V1392" i="1" s="1"/>
  <c r="U971" i="1"/>
  <c r="V971" i="1" s="1"/>
  <c r="T1052" i="1"/>
  <c r="T1053" i="1" s="1"/>
  <c r="T1054" i="1" s="1"/>
  <c r="U1053" i="1"/>
  <c r="V1053" i="1" s="1"/>
  <c r="U663" i="1"/>
  <c r="V663" i="1" s="1"/>
  <c r="U757" i="1"/>
  <c r="V757" i="1" s="1"/>
  <c r="U1707" i="1"/>
  <c r="V1707" i="1" s="1"/>
  <c r="U1636" i="1"/>
  <c r="V1636" i="1" s="1"/>
  <c r="U1454" i="1"/>
  <c r="V1454" i="1" s="1"/>
  <c r="U853" i="1"/>
  <c r="V853" i="1" s="1"/>
  <c r="S921" i="1"/>
  <c r="U921" i="1" s="1"/>
  <c r="V921" i="1" s="1"/>
  <c r="U1323" i="1"/>
  <c r="V1323" i="1" s="1"/>
  <c r="S823" i="1"/>
  <c r="S824" i="1" s="1"/>
  <c r="S825" i="1" s="1"/>
  <c r="T938" i="1"/>
  <c r="T939" i="1" s="1"/>
  <c r="S1039" i="1"/>
  <c r="S1040" i="1"/>
  <c r="S1624" i="1"/>
  <c r="U1624" i="1" s="1"/>
  <c r="V1624" i="1" s="1"/>
  <c r="S1012" i="1"/>
  <c r="S1013" i="1" s="1"/>
  <c r="S1408" i="1"/>
  <c r="S1409" i="1" s="1"/>
  <c r="S1410" i="1" s="1"/>
  <c r="S1067" i="1"/>
  <c r="S1068" i="1" s="1"/>
  <c r="U1068" i="1" s="1"/>
  <c r="V1068" i="1" s="1"/>
  <c r="S951" i="1"/>
  <c r="S952" i="1" s="1"/>
  <c r="S953" i="1" s="1"/>
  <c r="S864" i="1"/>
  <c r="S865" i="1" s="1"/>
  <c r="S866" i="1" s="1"/>
  <c r="S774" i="1"/>
  <c r="S775" i="1"/>
  <c r="S776" i="1" s="1"/>
  <c r="T957" i="1"/>
  <c r="T958" i="1" s="1"/>
  <c r="S1070" i="1"/>
  <c r="S1071" i="1" s="1"/>
  <c r="U1071" i="1" s="1"/>
  <c r="V1071" i="1" s="1"/>
  <c r="U736" i="1"/>
  <c r="V736" i="1" s="1"/>
  <c r="U805" i="1"/>
  <c r="V805" i="1" s="1"/>
  <c r="S973" i="1"/>
  <c r="S974" i="1" s="1"/>
  <c r="S975" i="1" s="1"/>
  <c r="U685" i="1"/>
  <c r="V685" i="1" s="1"/>
  <c r="U656" i="1"/>
  <c r="V656" i="1" s="1"/>
  <c r="U875" i="1"/>
  <c r="V875" i="1" s="1"/>
  <c r="U1442" i="1"/>
  <c r="V1442" i="1" s="1"/>
  <c r="U830" i="1"/>
  <c r="V830" i="1" s="1"/>
  <c r="U1264" i="1"/>
  <c r="V1264" i="1" s="1"/>
  <c r="U748" i="1"/>
  <c r="V748" i="1" s="1"/>
  <c r="U878" i="1"/>
  <c r="V878" i="1" s="1"/>
  <c r="S1641" i="1"/>
  <c r="S1642" i="1" s="1"/>
  <c r="U1130" i="1"/>
  <c r="V1130" i="1" s="1"/>
  <c r="U1243" i="1"/>
  <c r="V1243" i="1" s="1"/>
  <c r="U1259" i="1"/>
  <c r="V1259" i="1" s="1"/>
  <c r="U802" i="1"/>
  <c r="V802" i="1" s="1"/>
  <c r="U936" i="1"/>
  <c r="V936" i="1" s="1"/>
  <c r="U772" i="1"/>
  <c r="V772" i="1" s="1"/>
  <c r="U769" i="1"/>
  <c r="V769" i="1" s="1"/>
  <c r="U1105" i="1"/>
  <c r="V1105" i="1" s="1"/>
  <c r="U1295" i="1"/>
  <c r="V1295" i="1" s="1"/>
  <c r="S892" i="1"/>
  <c r="S893" i="1" s="1"/>
  <c r="S894" i="1" s="1"/>
  <c r="U1133" i="1"/>
  <c r="V1133" i="1" s="1"/>
  <c r="T807" i="1"/>
  <c r="T808" i="1" s="1"/>
  <c r="U1414" i="1"/>
  <c r="V1414" i="1" s="1"/>
  <c r="U1116" i="1"/>
  <c r="V1116" i="1" s="1"/>
  <c r="U784" i="1"/>
  <c r="V784" i="1" s="1"/>
  <c r="T835" i="1"/>
  <c r="T836" i="1" s="1"/>
  <c r="T837" i="1" s="1"/>
  <c r="U836" i="1"/>
  <c r="V836" i="1" s="1"/>
  <c r="U1196" i="1"/>
  <c r="V1196" i="1" s="1"/>
  <c r="T809" i="1"/>
  <c r="T810" i="1" s="1"/>
  <c r="T811" i="1" s="1"/>
  <c r="U1300" i="1"/>
  <c r="V1300" i="1" s="1"/>
  <c r="U1231" i="1"/>
  <c r="V1231" i="1" s="1"/>
  <c r="S1185" i="1"/>
  <c r="S1186" i="1" s="1"/>
  <c r="S1187" i="1" s="1"/>
  <c r="T1394" i="1"/>
  <c r="T1395" i="1"/>
  <c r="T1396" i="1" s="1"/>
  <c r="U1395" i="1"/>
  <c r="V1395" i="1" s="1"/>
  <c r="U1186" i="1"/>
  <c r="V1186" i="1" s="1"/>
  <c r="T780" i="1"/>
  <c r="T781" i="1" s="1"/>
  <c r="T782" i="1" s="1"/>
  <c r="U1718" i="1"/>
  <c r="V1718" i="1" s="1"/>
  <c r="U745" i="1"/>
  <c r="V745" i="1" s="1"/>
  <c r="T750" i="1"/>
  <c r="T751" i="1" s="1"/>
  <c r="T752" i="1" s="1"/>
  <c r="U819" i="1"/>
  <c r="V819" i="1" s="1"/>
  <c r="U949" i="1"/>
  <c r="V949" i="1" s="1"/>
  <c r="U1204" i="1"/>
  <c r="V1204" i="1" s="1"/>
  <c r="T1405" i="1"/>
  <c r="T1406" i="1" s="1"/>
  <c r="T1407" i="1" s="1"/>
  <c r="U816" i="1"/>
  <c r="V816" i="1" s="1"/>
  <c r="U1282" i="1"/>
  <c r="V1282" i="1" s="1"/>
  <c r="U1477" i="1"/>
  <c r="V1477" i="1" s="1"/>
  <c r="U700" i="1"/>
  <c r="V700" i="1" s="1"/>
  <c r="T696" i="1"/>
  <c r="T697" i="1" s="1"/>
  <c r="T698" i="1" s="1"/>
  <c r="U697" i="1"/>
  <c r="V697" i="1" s="1"/>
  <c r="U1213" i="1"/>
  <c r="V1213" i="1" s="1"/>
  <c r="U679" i="1"/>
  <c r="V679" i="1" s="1"/>
  <c r="U1406" i="1"/>
  <c r="V1406" i="1" s="1"/>
  <c r="U902" i="1"/>
  <c r="V902" i="1" s="1"/>
  <c r="U1466" i="1"/>
  <c r="V1466" i="1" s="1"/>
  <c r="U915" i="1"/>
  <c r="V915" i="1" s="1"/>
  <c r="U688" i="1"/>
  <c r="V688" i="1" s="1"/>
  <c r="U1482" i="1"/>
  <c r="V1482" i="1" s="1"/>
  <c r="U930" i="1"/>
  <c r="V930" i="1" s="1"/>
  <c r="U907" i="1"/>
  <c r="V907" i="1" s="1"/>
  <c r="U839" i="1"/>
  <c r="V839" i="1" s="1"/>
  <c r="U1628" i="1"/>
  <c r="V1628" i="1" s="1"/>
  <c r="U1330" i="1"/>
  <c r="V1330" i="1" s="1"/>
  <c r="U1277" i="1"/>
  <c r="V1277" i="1" s="1"/>
  <c r="U824" i="1"/>
  <c r="V824" i="1" s="1"/>
  <c r="U922" i="1"/>
  <c r="V922" i="1" s="1"/>
  <c r="U974" i="1"/>
  <c r="V974" i="1" s="1"/>
  <c r="U890" i="1"/>
  <c r="V890" i="1" s="1"/>
  <c r="U706" i="1"/>
  <c r="V706" i="1" s="1"/>
  <c r="T717" i="1"/>
  <c r="T718" i="1" s="1"/>
  <c r="T719" i="1" s="1"/>
  <c r="T726" i="1"/>
  <c r="T727" i="1" s="1"/>
  <c r="U1031" i="1"/>
  <c r="V1031" i="1" s="1"/>
  <c r="U1674" i="1"/>
  <c r="V1674" i="1" s="1"/>
  <c r="U718" i="1"/>
  <c r="V718" i="1" s="1"/>
  <c r="U1533" i="1"/>
  <c r="V1533" i="1" s="1"/>
  <c r="U754" i="1"/>
  <c r="V754" i="1" s="1"/>
  <c r="T798" i="1"/>
  <c r="T799" i="1" s="1"/>
  <c r="T800" i="1" s="1"/>
  <c r="U799" i="1"/>
  <c r="V799" i="1" s="1"/>
  <c r="U968" i="1"/>
  <c r="V968" i="1" s="1"/>
  <c r="U778" i="1"/>
  <c r="V778" i="1" s="1"/>
  <c r="U1217" i="1"/>
  <c r="V1217" i="1" s="1"/>
  <c r="U775" i="1"/>
  <c r="V775" i="1" s="1"/>
  <c r="U1599" i="1"/>
  <c r="V1599" i="1" s="1"/>
  <c r="T841" i="1"/>
  <c r="U841" i="1" s="1"/>
  <c r="V841" i="1" s="1"/>
  <c r="U833" i="1"/>
  <c r="V833" i="1" s="1"/>
  <c r="T1563" i="1"/>
  <c r="T1564" i="1" s="1"/>
  <c r="U1437" i="1"/>
  <c r="V1437" i="1" s="1"/>
  <c r="S1449" i="1"/>
  <c r="S1450" i="1" s="1"/>
  <c r="U1450" i="1" s="1"/>
  <c r="V1450" i="1" s="1"/>
  <c r="T1528" i="1"/>
  <c r="T1529" i="1" s="1"/>
  <c r="T1530" i="1" s="1"/>
  <c r="U1529" i="1"/>
  <c r="V1529" i="1" s="1"/>
  <c r="T720" i="1"/>
  <c r="T721" i="1"/>
  <c r="T722" i="1" s="1"/>
  <c r="U721" i="1"/>
  <c r="V721" i="1" s="1"/>
  <c r="U1036" i="1"/>
  <c r="V1036" i="1" s="1"/>
  <c r="T1422" i="1"/>
  <c r="T1423" i="1"/>
  <c r="T1424" i="1" s="1"/>
  <c r="U1713" i="1"/>
  <c r="V1713" i="1" s="1"/>
  <c r="U1409" i="1"/>
  <c r="V1409" i="1" s="1"/>
  <c r="U793" i="1"/>
  <c r="V793" i="1" s="1"/>
  <c r="T1449" i="1"/>
  <c r="T1450" i="1" s="1"/>
  <c r="U952" i="1"/>
  <c r="V952" i="1" s="1"/>
  <c r="U751" i="1"/>
  <c r="V751" i="1" s="1"/>
  <c r="U1667" i="1"/>
  <c r="V1667" i="1" s="1"/>
  <c r="U1044" i="1"/>
  <c r="V1044" i="1" s="1"/>
  <c r="U709" i="1"/>
  <c r="V709" i="1" s="1"/>
  <c r="U1423" i="1"/>
  <c r="V1423" i="1" s="1"/>
  <c r="U859" i="1"/>
  <c r="V859" i="1" s="1"/>
  <c r="U1009" i="1"/>
  <c r="V1009" i="1" s="1"/>
  <c r="U1729" i="1"/>
  <c r="V1729" i="1" s="1"/>
  <c r="T723" i="1"/>
  <c r="T724" i="1" s="1"/>
  <c r="T725" i="1" s="1"/>
  <c r="U724" i="1"/>
  <c r="V724" i="1" s="1"/>
  <c r="U1190" i="1"/>
  <c r="V1190" i="1" s="1"/>
  <c r="U787" i="1"/>
  <c r="V787" i="1" s="1"/>
  <c r="S1686" i="1"/>
  <c r="S1687" i="1" s="1"/>
  <c r="S1688" i="1" s="1"/>
  <c r="S1689" i="1" s="1"/>
  <c r="U1687" i="1"/>
  <c r="V1687" i="1" s="1"/>
  <c r="U1680" i="1"/>
  <c r="V1680" i="1" s="1"/>
  <c r="T1070" i="1"/>
  <c r="T1071" i="1"/>
  <c r="U1589" i="1"/>
  <c r="V1589" i="1" s="1"/>
  <c r="U813" i="1"/>
  <c r="V813" i="1" s="1"/>
  <c r="U1428" i="1"/>
  <c r="V1428" i="1" s="1"/>
  <c r="S1291" i="1"/>
  <c r="S1292" i="1"/>
  <c r="S1293" i="1" s="1"/>
  <c r="U1182" i="1"/>
  <c r="V1182" i="1" s="1"/>
  <c r="T1461" i="1"/>
  <c r="U1461" i="1" s="1"/>
  <c r="V1461" i="1" s="1"/>
  <c r="U1400" i="1"/>
  <c r="V1400" i="1" s="1"/>
  <c r="U960" i="1"/>
  <c r="V960" i="1" s="1"/>
  <c r="T1473" i="1"/>
  <c r="T1474" i="1" s="1"/>
  <c r="T1475" i="1" s="1"/>
  <c r="U992" i="1"/>
  <c r="V992" i="1" s="1"/>
  <c r="U886" i="1"/>
  <c r="V886" i="1" s="1"/>
  <c r="U766" i="1"/>
  <c r="V766" i="1" s="1"/>
  <c r="U790" i="1"/>
  <c r="V790" i="1" s="1"/>
  <c r="T1291" i="1"/>
  <c r="T1292" i="1" s="1"/>
  <c r="T1293" i="1" s="1"/>
  <c r="T1419" i="1"/>
  <c r="T1420" i="1" s="1"/>
  <c r="T1421" i="1" s="1"/>
  <c r="U896" i="1"/>
  <c r="V896" i="1" s="1"/>
  <c r="U869" i="1"/>
  <c r="V869" i="1" s="1"/>
  <c r="U865" i="1"/>
  <c r="V865" i="1" s="1"/>
  <c r="T741" i="1"/>
  <c r="T742" i="1" s="1"/>
  <c r="T743" i="1" s="1"/>
  <c r="U742" i="1"/>
  <c r="V742" i="1" s="1"/>
  <c r="U1610" i="1"/>
  <c r="V1610" i="1" s="1"/>
  <c r="U670" i="1"/>
  <c r="V670" i="1" s="1"/>
  <c r="U1292" i="1"/>
  <c r="V1292" i="1" s="1"/>
  <c r="U1420" i="1"/>
  <c r="V1420" i="1" s="1"/>
  <c r="U1147" i="1"/>
  <c r="V1147" i="1" s="1"/>
  <c r="U1434" i="1"/>
  <c r="V1434" i="1" s="1"/>
  <c r="T666" i="1"/>
  <c r="T667" i="1" s="1"/>
  <c r="U1274" i="1"/>
  <c r="V1274" i="1" s="1"/>
  <c r="U659" i="1"/>
  <c r="V659" i="1" s="1"/>
  <c r="U847" i="1"/>
  <c r="V847" i="1" s="1"/>
  <c r="U1315" i="1"/>
  <c r="V1315" i="1" s="1"/>
  <c r="U781" i="1"/>
  <c r="V781" i="1" s="1"/>
  <c r="U1247" i="1"/>
  <c r="V1247" i="1" s="1"/>
  <c r="U691" i="1"/>
  <c r="V691" i="1" s="1"/>
  <c r="U1521" i="1"/>
  <c r="V1521" i="1" s="1"/>
  <c r="T946" i="1"/>
  <c r="T947" i="1" s="1"/>
  <c r="U1358" i="1"/>
  <c r="V1358" i="1" s="1"/>
  <c r="U1567" i="1"/>
  <c r="V1567" i="1" s="1"/>
  <c r="U712" i="1"/>
  <c r="V712" i="1" s="1"/>
  <c r="U733" i="1"/>
  <c r="V733" i="1" s="1"/>
  <c r="U694" i="1"/>
  <c r="V694" i="1" s="1"/>
  <c r="T762" i="1"/>
  <c r="U1490" i="1"/>
  <c r="V1490" i="1" s="1"/>
  <c r="U715" i="1"/>
  <c r="V715" i="1" s="1"/>
  <c r="U1344" i="1"/>
  <c r="V1344" i="1" s="1"/>
  <c r="U739" i="1"/>
  <c r="V739" i="1" s="1"/>
  <c r="U1015" i="1"/>
  <c r="V1015" i="1" s="1"/>
  <c r="U844" i="1"/>
  <c r="V844" i="1" s="1"/>
  <c r="U1386" i="1"/>
  <c r="V1386" i="1" s="1"/>
  <c r="U1541" i="1"/>
  <c r="V1541" i="1" s="1"/>
  <c r="U912" i="1"/>
  <c r="V912" i="1" s="1"/>
  <c r="U1176" i="1"/>
  <c r="V1176" i="1" s="1"/>
  <c r="U682" i="1"/>
  <c r="V682" i="1" s="1"/>
  <c r="U1509" i="1"/>
  <c r="V1509" i="1" s="1"/>
  <c r="U1694" i="1"/>
  <c r="V1694" i="1" s="1"/>
  <c r="T1765" i="1"/>
  <c r="T1766" i="1"/>
  <c r="U941" i="1"/>
  <c r="V941" i="1" s="1"/>
  <c r="U856" i="1"/>
  <c r="V856" i="1" s="1"/>
  <c r="U1659" i="1"/>
  <c r="V1659" i="1" s="1"/>
  <c r="U985" i="1"/>
  <c r="V985" i="1" s="1"/>
  <c r="U1702" i="1"/>
  <c r="V1702" i="1" s="1"/>
  <c r="U1372" i="1"/>
  <c r="V1372" i="1" s="1"/>
  <c r="U1308" i="1"/>
  <c r="V1308" i="1" s="1"/>
  <c r="U955" i="1"/>
  <c r="V955" i="1" s="1"/>
  <c r="U1498" i="1"/>
  <c r="V1498" i="1" s="1"/>
  <c r="U1161" i="1"/>
  <c r="V1161" i="1" s="1"/>
  <c r="U893" i="1"/>
  <c r="V893" i="1" s="1"/>
  <c r="U1061" i="1"/>
  <c r="V1061" i="1" s="1"/>
  <c r="T1083" i="1"/>
  <c r="T1084" i="1" s="1"/>
  <c r="U979" i="1"/>
  <c r="V979" i="1" s="1"/>
  <c r="U760" i="1"/>
  <c r="V760" i="1" s="1"/>
  <c r="U1223" i="1"/>
  <c r="V1223" i="1" s="1"/>
  <c r="U1578" i="1"/>
  <c r="V1578" i="1" s="1"/>
  <c r="U1048" i="1"/>
  <c r="V1048" i="1" s="1"/>
  <c r="T728" i="1"/>
  <c r="T729" i="1"/>
  <c r="U872" i="1"/>
  <c r="V872" i="1" s="1"/>
  <c r="U1022" i="1"/>
  <c r="V1022" i="1" s="1"/>
  <c r="T1067" i="1"/>
  <c r="T1068" i="1"/>
  <c r="U1474" i="1"/>
  <c r="V1474" i="1" s="1"/>
  <c r="U810" i="1"/>
  <c r="V810" i="1" s="1"/>
  <c r="T763" i="1"/>
  <c r="T764" i="1" s="1"/>
  <c r="T1073" i="1"/>
  <c r="T1074" i="1"/>
  <c r="U899" i="1"/>
  <c r="V899" i="1" s="1"/>
  <c r="U763" i="1"/>
  <c r="V763" i="1" s="1"/>
  <c r="U827" i="1"/>
  <c r="V827" i="1" s="1"/>
  <c r="S1625" i="1" l="1"/>
  <c r="U1625" i="1" s="1"/>
  <c r="V1625" i="1" s="1"/>
  <c r="T1462" i="1"/>
  <c r="U1462" i="1" s="1"/>
  <c r="V1462" i="1" s="1"/>
  <c r="U1293" i="1"/>
  <c r="V1293" i="1" s="1"/>
  <c r="S922" i="1"/>
  <c r="S923" i="1" s="1"/>
  <c r="T842" i="1"/>
  <c r="U842" i="1" s="1"/>
  <c r="V842" i="1" s="1"/>
  <c r="U708" i="1"/>
  <c r="V708" i="1" s="1"/>
  <c r="U684" i="1"/>
  <c r="V684" i="1" s="1"/>
  <c r="U759" i="1"/>
  <c r="V759" i="1" s="1"/>
  <c r="U690" i="1"/>
  <c r="V690" i="1" s="1"/>
  <c r="U1532" i="1"/>
  <c r="V1532" i="1" s="1"/>
  <c r="U1516" i="1"/>
  <c r="V1516" i="1" s="1"/>
  <c r="U1263" i="1"/>
  <c r="V1263" i="1" s="1"/>
  <c r="U911" i="1"/>
  <c r="V911" i="1" s="1"/>
  <c r="U1497" i="1"/>
  <c r="V1497" i="1" s="1"/>
  <c r="U1129" i="1"/>
  <c r="V1129" i="1" s="1"/>
  <c r="U1189" i="1"/>
  <c r="V1189" i="1" s="1"/>
  <c r="U1212" i="1"/>
  <c r="V1212" i="1" s="1"/>
  <c r="U1181" i="1"/>
  <c r="V1181" i="1" s="1"/>
  <c r="U1609" i="1"/>
  <c r="V1609" i="1" s="1"/>
  <c r="U967" i="1"/>
  <c r="V967" i="1" s="1"/>
  <c r="U1160" i="1"/>
  <c r="V1160" i="1" s="1"/>
  <c r="U699" i="1"/>
  <c r="V699" i="1" s="1"/>
  <c r="U693" i="1"/>
  <c r="V693" i="1" s="1"/>
  <c r="U906" i="1"/>
  <c r="V906" i="1" s="1"/>
  <c r="U984" i="1"/>
  <c r="V984" i="1" s="1"/>
  <c r="U1504" i="1"/>
  <c r="V1504" i="1" s="1"/>
  <c r="U1132" i="1"/>
  <c r="V1132" i="1" s="1"/>
  <c r="U1441" i="1"/>
  <c r="V1441" i="1" s="1"/>
  <c r="U1540" i="1"/>
  <c r="V1540" i="1" s="1"/>
  <c r="U1399" i="1"/>
  <c r="V1399" i="1" s="1"/>
  <c r="U818" i="1"/>
  <c r="V818" i="1" s="1"/>
  <c r="U1465" i="1"/>
  <c r="V1465" i="1" s="1"/>
  <c r="U1489" i="1"/>
  <c r="V1489" i="1" s="1"/>
  <c r="U909" i="1"/>
  <c r="V909" i="1" s="1"/>
  <c r="U681" i="1"/>
  <c r="V681" i="1" s="1"/>
  <c r="U868" i="1"/>
  <c r="V868" i="1" s="1"/>
  <c r="U786" i="1"/>
  <c r="V786" i="1" s="1"/>
  <c r="U801" i="1"/>
  <c r="V801" i="1" s="1"/>
  <c r="U889" i="1"/>
  <c r="V889" i="1" s="1"/>
  <c r="U895" i="1"/>
  <c r="V895" i="1" s="1"/>
  <c r="U732" i="1"/>
  <c r="V732" i="1" s="1"/>
  <c r="U1598" i="1"/>
  <c r="V1598" i="1" s="1"/>
  <c r="U978" i="1"/>
  <c r="V978" i="1" s="1"/>
  <c r="U1047" i="1"/>
  <c r="V1047" i="1" s="1"/>
  <c r="U846" i="1"/>
  <c r="V846" i="1" s="1"/>
  <c r="U783" i="1"/>
  <c r="V783" i="1" s="1"/>
  <c r="U1427" i="1"/>
  <c r="V1427" i="1" s="1"/>
  <c r="U1246" i="1"/>
  <c r="V1246" i="1" s="1"/>
  <c r="U678" i="1"/>
  <c r="V678" i="1" s="1"/>
  <c r="U1175" i="1"/>
  <c r="V1175" i="1" s="1"/>
  <c r="U1008" i="1"/>
  <c r="V1008" i="1" s="1"/>
  <c r="U1520" i="1"/>
  <c r="V1520" i="1" s="1"/>
  <c r="U653" i="1"/>
  <c r="V653" i="1" s="1"/>
  <c r="U789" i="1"/>
  <c r="V789" i="1" s="1"/>
  <c r="U747" i="1"/>
  <c r="V747" i="1" s="1"/>
  <c r="U1728" i="1"/>
  <c r="V1728" i="1" s="1"/>
  <c r="U669" i="1"/>
  <c r="V669" i="1" s="1"/>
  <c r="U877" i="1"/>
  <c r="V877" i="1" s="1"/>
  <c r="U1203" i="1"/>
  <c r="V1203" i="1" s="1"/>
  <c r="U855" i="1"/>
  <c r="V855" i="1" s="1"/>
  <c r="U874" i="1"/>
  <c r="V874" i="1" s="1"/>
  <c r="U1056" i="1"/>
  <c r="V1056" i="1" s="1"/>
  <c r="U1343" i="1"/>
  <c r="V1343" i="1" s="1"/>
  <c r="U658" i="1"/>
  <c r="V658" i="1" s="1"/>
  <c r="U1577" i="1"/>
  <c r="V1577" i="1" s="1"/>
  <c r="U1481" i="1"/>
  <c r="V1481" i="1" s="1"/>
  <c r="U1030" i="1"/>
  <c r="V1030" i="1" s="1"/>
  <c r="U838" i="1"/>
  <c r="V838" i="1" s="1"/>
  <c r="U883" i="1"/>
  <c r="V883" i="1" s="1"/>
  <c r="U744" i="1"/>
  <c r="V744" i="1" s="1"/>
  <c r="U815" i="1"/>
  <c r="V815" i="1" s="1"/>
  <c r="U1357" i="1"/>
  <c r="V1357" i="1" s="1"/>
  <c r="U1436" i="1"/>
  <c r="V1436" i="1" s="1"/>
  <c r="U1566" i="1"/>
  <c r="V1566" i="1" s="1"/>
  <c r="U1115" i="1"/>
  <c r="V1115" i="1" s="1"/>
  <c r="U1329" i="1"/>
  <c r="V1329" i="1" s="1"/>
  <c r="U771" i="1"/>
  <c r="V771" i="1" s="1"/>
  <c r="U1588" i="1"/>
  <c r="V1588" i="1" s="1"/>
  <c r="U1035" i="1"/>
  <c r="V1035" i="1" s="1"/>
  <c r="U1508" i="1"/>
  <c r="V1508" i="1" s="1"/>
  <c r="U1371" i="1"/>
  <c r="V1371" i="1" s="1"/>
  <c r="U1222" i="1"/>
  <c r="V1222" i="1" s="1"/>
  <c r="U826" i="1"/>
  <c r="V826" i="1" s="1"/>
  <c r="U1314" i="1"/>
  <c r="V1314" i="1" s="1"/>
  <c r="U982" i="1"/>
  <c r="V982" i="1" s="1"/>
  <c r="U871" i="1"/>
  <c r="V871" i="1" s="1"/>
  <c r="U1014" i="1"/>
  <c r="V1014" i="1" s="1"/>
  <c r="U1413" i="1"/>
  <c r="V1413" i="1" s="1"/>
  <c r="U914" i="1"/>
  <c r="V914" i="1" s="1"/>
  <c r="U687" i="1"/>
  <c r="V687" i="1" s="1"/>
  <c r="U1146" i="1"/>
  <c r="V1146" i="1" s="1"/>
  <c r="U1476" i="1"/>
  <c r="V1476" i="1" s="1"/>
  <c r="U821" i="1"/>
  <c r="V821" i="1" s="1"/>
  <c r="U917" i="1"/>
  <c r="V917" i="1" s="1"/>
  <c r="U858" i="1"/>
  <c r="V858" i="1" s="1"/>
  <c r="U1385" i="1"/>
  <c r="V1385" i="1" s="1"/>
  <c r="U929" i="1"/>
  <c r="V929" i="1" s="1"/>
  <c r="U1449" i="1"/>
  <c r="V1449" i="1" s="1"/>
  <c r="U1291" i="1"/>
  <c r="V1291" i="1" s="1"/>
  <c r="U1067" i="1"/>
  <c r="V1067" i="1" s="1"/>
  <c r="U1185" i="1"/>
  <c r="V1185" i="1" s="1"/>
  <c r="U1070" i="1"/>
  <c r="V1070" i="1" s="1"/>
  <c r="U951" i="1"/>
  <c r="V951" i="1" s="1"/>
  <c r="U774" i="1"/>
  <c r="V774" i="1" s="1"/>
  <c r="U892" i="1"/>
  <c r="V892" i="1" s="1"/>
  <c r="U973" i="1"/>
  <c r="V973" i="1" s="1"/>
  <c r="U823" i="1"/>
  <c r="V823" i="1" s="1"/>
  <c r="U1641" i="1"/>
  <c r="V1641" i="1" s="1"/>
  <c r="T885" i="1"/>
  <c r="T886" i="1" s="1"/>
  <c r="T887" i="1" s="1"/>
  <c r="U885" i="1"/>
  <c r="V885" i="1" s="1"/>
  <c r="T1310" i="1"/>
  <c r="T1311" i="1" s="1"/>
  <c r="U1310" i="1"/>
  <c r="V1310" i="1" s="1"/>
  <c r="T864" i="1"/>
  <c r="T865" i="1" s="1"/>
  <c r="T866" i="1" s="1"/>
  <c r="U866" i="1" s="1"/>
  <c r="V866" i="1" s="1"/>
  <c r="U864" i="1"/>
  <c r="T765" i="1"/>
  <c r="T766" i="1" s="1"/>
  <c r="T767" i="1" s="1"/>
  <c r="U765" i="1"/>
  <c r="T1697" i="1"/>
  <c r="T1698" i="1" s="1"/>
  <c r="U1697" i="1"/>
  <c r="T1409" i="1"/>
  <c r="T1410" i="1" s="1"/>
  <c r="U1410" i="1" s="1"/>
  <c r="V1410" i="1" s="1"/>
  <c r="T1408" i="1"/>
  <c r="U1408" i="1"/>
  <c r="T1060" i="1"/>
  <c r="T1061" i="1" s="1"/>
  <c r="T1062" i="1" s="1"/>
  <c r="U1060" i="1"/>
  <c r="V1060" i="1" s="1"/>
  <c r="T714" i="1"/>
  <c r="T715" i="1" s="1"/>
  <c r="T716" i="1" s="1"/>
  <c r="U714" i="1"/>
  <c r="T1666" i="1"/>
  <c r="T1667" i="1" s="1"/>
  <c r="T1668" i="1" s="1"/>
  <c r="T1669" i="1" s="1"/>
  <c r="U1666" i="1"/>
  <c r="T705" i="1"/>
  <c r="T706" i="1" s="1"/>
  <c r="T707" i="1" s="1"/>
  <c r="U705" i="1"/>
  <c r="V705" i="1" s="1"/>
  <c r="T829" i="1"/>
  <c r="T830" i="1" s="1"/>
  <c r="T831" i="1" s="1"/>
  <c r="U829" i="1"/>
  <c r="T648" i="1"/>
  <c r="T649" i="1" s="1"/>
  <c r="U648" i="1"/>
  <c r="T832" i="1"/>
  <c r="T833" i="1" s="1"/>
  <c r="T834" i="1" s="1"/>
  <c r="U832" i="1"/>
  <c r="V832" i="1" s="1"/>
  <c r="T1075" i="1"/>
  <c r="T1076" i="1" s="1"/>
  <c r="U1075" i="1"/>
  <c r="T1433" i="1"/>
  <c r="T1434" i="1" s="1"/>
  <c r="T1435" i="1" s="1"/>
  <c r="U1433" i="1"/>
  <c r="T1094" i="1"/>
  <c r="T1095" i="1" s="1"/>
  <c r="U1094" i="1"/>
  <c r="T1044" i="1"/>
  <c r="T1045" i="1" s="1"/>
  <c r="T1043" i="1"/>
  <c r="U1043" i="1"/>
  <c r="T1673" i="1"/>
  <c r="T1674" i="1" s="1"/>
  <c r="T1675" i="1" s="1"/>
  <c r="T1676" i="1" s="1"/>
  <c r="U1673" i="1"/>
  <c r="T948" i="1"/>
  <c r="T949" i="1" s="1"/>
  <c r="T950" i="1" s="1"/>
  <c r="U948" i="1"/>
  <c r="V948" i="1" s="1"/>
  <c r="T1628" i="1"/>
  <c r="T1629" i="1" s="1"/>
  <c r="T1630" i="1" s="1"/>
  <c r="T1627" i="1"/>
  <c r="U1627" i="1"/>
  <c r="T1686" i="1"/>
  <c r="T1687" i="1" s="1"/>
  <c r="T1688" i="1" s="1"/>
  <c r="T1689" i="1" s="1"/>
  <c r="U1689" i="1" s="1"/>
  <c r="V1689" i="1" s="1"/>
  <c r="U1686" i="1"/>
  <c r="T1712" i="1"/>
  <c r="T1713" i="1" s="1"/>
  <c r="T1714" i="1" s="1"/>
  <c r="T1715" i="1" s="1"/>
  <c r="U1712" i="1"/>
  <c r="T1273" i="1"/>
  <c r="T1274" i="1" s="1"/>
  <c r="T1275" i="1" s="1"/>
  <c r="U1273" i="1"/>
  <c r="T966" i="1"/>
  <c r="T965" i="1"/>
  <c r="U965" i="1"/>
  <c r="T1294" i="1"/>
  <c r="T1295" i="1" s="1"/>
  <c r="T1296" i="1" s="1"/>
  <c r="U1294" i="1"/>
  <c r="V1294" i="1" s="1"/>
  <c r="T995" i="1"/>
  <c r="T994" i="1"/>
  <c r="U994" i="1"/>
  <c r="T1040" i="1"/>
  <c r="U1040" i="1" s="1"/>
  <c r="V1040" i="1" s="1"/>
  <c r="T1039" i="1"/>
  <c r="U1039" i="1"/>
  <c r="T1012" i="1"/>
  <c r="T1013" i="1" s="1"/>
  <c r="U1013" i="1" s="1"/>
  <c r="V1013" i="1" s="1"/>
  <c r="U1012" i="1"/>
  <c r="T959" i="1"/>
  <c r="T960" i="1" s="1"/>
  <c r="T961" i="1" s="1"/>
  <c r="U959" i="1"/>
  <c r="T1679" i="1"/>
  <c r="T1680" i="1" s="1"/>
  <c r="T1681" i="1" s="1"/>
  <c r="T1682" i="1" s="1"/>
  <c r="U1679" i="1"/>
  <c r="T1658" i="1"/>
  <c r="T1659" i="1" s="1"/>
  <c r="T1660" i="1" s="1"/>
  <c r="T1661" i="1" s="1"/>
  <c r="U1658" i="1"/>
  <c r="V1658" i="1" s="1"/>
  <c r="T898" i="1"/>
  <c r="T899" i="1" s="1"/>
  <c r="T900" i="1" s="1"/>
  <c r="U898" i="1"/>
  <c r="T1069" i="1"/>
  <c r="U1069" i="1"/>
  <c r="T1063" i="1"/>
  <c r="U1063" i="1"/>
  <c r="T1055" i="1"/>
  <c r="U1055" i="1" s="1"/>
  <c r="V1055" i="1" s="1"/>
  <c r="T1046" i="1"/>
  <c r="U1046" i="1"/>
  <c r="T1038" i="1"/>
  <c r="U1038" i="1" s="1"/>
  <c r="V1038" i="1" s="1"/>
  <c r="T1240" i="1"/>
  <c r="T1241" i="1" s="1"/>
  <c r="U1241" i="1" s="1"/>
  <c r="V1241" i="1" s="1"/>
  <c r="U1240" i="1"/>
  <c r="T535" i="1"/>
  <c r="T536" i="1" s="1"/>
  <c r="U536" i="1" s="1"/>
  <c r="V536" i="1" s="1"/>
  <c r="U535" i="1"/>
  <c r="T43" i="1"/>
  <c r="T44" i="1" s="1"/>
  <c r="T45" i="1" s="1"/>
  <c r="U43" i="1"/>
  <c r="V43" i="1" s="1"/>
  <c r="T1663" i="1"/>
  <c r="U1663" i="1" s="1"/>
  <c r="V1663" i="1" s="1"/>
  <c r="T1662" i="1"/>
  <c r="U1662" i="1"/>
  <c r="T619" i="1"/>
  <c r="T620" i="1" s="1"/>
  <c r="U620" i="1" s="1"/>
  <c r="V620" i="1" s="1"/>
  <c r="U619" i="1"/>
  <c r="T1463" i="1"/>
  <c r="T1464" i="1" s="1"/>
  <c r="U1464" i="1" s="1"/>
  <c r="V1464" i="1" s="1"/>
  <c r="U1463" i="1"/>
  <c r="T543" i="1"/>
  <c r="T544" i="1" s="1"/>
  <c r="U544" i="1" s="1"/>
  <c r="V544" i="1" s="1"/>
  <c r="U543" i="1"/>
  <c r="T554" i="1"/>
  <c r="T555" i="1" s="1"/>
  <c r="U555" i="1" s="1"/>
  <c r="V555" i="1" s="1"/>
  <c r="U554" i="1"/>
  <c r="T519" i="1"/>
  <c r="T520" i="1" s="1"/>
  <c r="U520" i="1" s="1"/>
  <c r="V520" i="1" s="1"/>
  <c r="U519" i="1"/>
  <c r="T31" i="1"/>
  <c r="T32" i="1" s="1"/>
  <c r="T33" i="1" s="1"/>
  <c r="U31" i="1"/>
  <c r="V31" i="1" s="1"/>
  <c r="T1029" i="1"/>
  <c r="U1029" i="1"/>
  <c r="V1029" i="1" s="1"/>
  <c r="T253" i="1"/>
  <c r="T254" i="1" s="1"/>
  <c r="T255" i="1" s="1"/>
  <c r="U253" i="1"/>
  <c r="T278" i="1"/>
  <c r="T279" i="1" s="1"/>
  <c r="T280" i="1" s="1"/>
  <c r="U278" i="1"/>
  <c r="T197" i="1"/>
  <c r="T198" i="1" s="1"/>
  <c r="T196" i="1"/>
  <c r="U196" i="1"/>
  <c r="T64" i="1"/>
  <c r="T65" i="1" s="1"/>
  <c r="T66" i="1" s="1"/>
  <c r="U64" i="1"/>
  <c r="V64" i="1" s="1"/>
  <c r="T217" i="1"/>
  <c r="T218" i="1" s="1"/>
  <c r="T219" i="1" s="1"/>
  <c r="U217" i="1"/>
  <c r="T220" i="1"/>
  <c r="T221" i="1" s="1"/>
  <c r="T222" i="1" s="1"/>
  <c r="U220" i="1"/>
  <c r="V220" i="1" s="1"/>
  <c r="T233" i="1"/>
  <c r="T234" i="1" s="1"/>
  <c r="T232" i="1"/>
  <c r="U232" i="1"/>
  <c r="T345" i="1"/>
  <c r="T346" i="1" s="1"/>
  <c r="U346" i="1" s="1"/>
  <c r="V346" i="1" s="1"/>
  <c r="U345" i="1"/>
  <c r="T29" i="1"/>
  <c r="T30" i="1" s="1"/>
  <c r="T28" i="1"/>
  <c r="U28" i="1"/>
  <c r="T187" i="1"/>
  <c r="T188" i="1" s="1"/>
  <c r="T189" i="1" s="1"/>
  <c r="U187" i="1"/>
  <c r="T6" i="1"/>
  <c r="T7" i="1" s="1"/>
  <c r="T8" i="1" s="1"/>
  <c r="U6" i="1"/>
  <c r="T471" i="1"/>
  <c r="T472" i="1" s="1"/>
  <c r="U472" i="1" s="1"/>
  <c r="V472" i="1" s="1"/>
  <c r="U471" i="1"/>
  <c r="V471" i="1" s="1"/>
  <c r="T79" i="1"/>
  <c r="T80" i="1" s="1"/>
  <c r="T81" i="1" s="1"/>
  <c r="U79" i="1"/>
  <c r="T341" i="1"/>
  <c r="T342" i="1" s="1"/>
  <c r="U342" i="1" s="1"/>
  <c r="V342" i="1" s="1"/>
  <c r="U341" i="1"/>
  <c r="T1383" i="1"/>
  <c r="T1384" i="1" s="1"/>
  <c r="U1384" i="1" s="1"/>
  <c r="V1384" i="1" s="1"/>
  <c r="U1383" i="1"/>
  <c r="T215" i="1"/>
  <c r="T216" i="1" s="1"/>
  <c r="T214" i="1"/>
  <c r="U214" i="1"/>
  <c r="T1493" i="1"/>
  <c r="T1494" i="1" s="1"/>
  <c r="T1492" i="1"/>
  <c r="U1492" i="1"/>
  <c r="V1492" i="1" s="1"/>
  <c r="T521" i="1"/>
  <c r="T522" i="1" s="1"/>
  <c r="U522" i="1" s="1"/>
  <c r="V522" i="1" s="1"/>
  <c r="U521" i="1"/>
  <c r="V521" i="1" s="1"/>
  <c r="T1538" i="1"/>
  <c r="T1539" i="1" s="1"/>
  <c r="U1539" i="1" s="1"/>
  <c r="V1539" i="1" s="1"/>
  <c r="U1538" i="1"/>
  <c r="T193" i="1"/>
  <c r="T194" i="1" s="1"/>
  <c r="T195" i="1" s="1"/>
  <c r="U193" i="1"/>
  <c r="T1158" i="1"/>
  <c r="T1159" i="1" s="1"/>
  <c r="U1159" i="1" s="1"/>
  <c r="V1159" i="1" s="1"/>
  <c r="U1158" i="1"/>
  <c r="V1158" i="1" s="1"/>
  <c r="T157" i="1"/>
  <c r="T158" i="1" s="1"/>
  <c r="T159" i="1" s="1"/>
  <c r="U157" i="1"/>
  <c r="T1108" i="1"/>
  <c r="T1109" i="1" s="1"/>
  <c r="U1109" i="1" s="1"/>
  <c r="V1109" i="1" s="1"/>
  <c r="U1108" i="1"/>
  <c r="T1355" i="1"/>
  <c r="T1356" i="1" s="1"/>
  <c r="U1356" i="1" s="1"/>
  <c r="V1356" i="1" s="1"/>
  <c r="U1355" i="1"/>
  <c r="T267" i="1"/>
  <c r="T268" i="1" s="1"/>
  <c r="T269" i="1" s="1"/>
  <c r="U267" i="1"/>
  <c r="V267" i="1" s="1"/>
  <c r="T37" i="1"/>
  <c r="T38" i="1" s="1"/>
  <c r="T39" i="1" s="1"/>
  <c r="U37" i="1"/>
  <c r="T435" i="1"/>
  <c r="T436" i="1" s="1"/>
  <c r="U436" i="1" s="1"/>
  <c r="V436" i="1" s="1"/>
  <c r="U435" i="1"/>
  <c r="T40" i="1"/>
  <c r="T41" i="1" s="1"/>
  <c r="T42" i="1" s="1"/>
  <c r="U40" i="1"/>
  <c r="T25" i="1"/>
  <c r="T26" i="1" s="1"/>
  <c r="T27" i="1" s="1"/>
  <c r="U25" i="1"/>
  <c r="T1742" i="1"/>
  <c r="T1743" i="1" s="1"/>
  <c r="U1743" i="1" s="1"/>
  <c r="V1743" i="1" s="1"/>
  <c r="U1742" i="1"/>
  <c r="V1742" i="1" s="1"/>
  <c r="T1381" i="1"/>
  <c r="T1382" i="1" s="1"/>
  <c r="U1382" i="1" s="1"/>
  <c r="V1382" i="1" s="1"/>
  <c r="U1381" i="1"/>
  <c r="V1381" i="1" s="1"/>
  <c r="T439" i="1"/>
  <c r="T440" i="1" s="1"/>
  <c r="U440" i="1" s="1"/>
  <c r="V440" i="1" s="1"/>
  <c r="U439" i="1"/>
  <c r="T369" i="1"/>
  <c r="T370" i="1" s="1"/>
  <c r="U370" i="1" s="1"/>
  <c r="V370" i="1" s="1"/>
  <c r="U369" i="1"/>
  <c r="T308" i="1"/>
  <c r="T309" i="1" s="1"/>
  <c r="T310" i="1" s="1"/>
  <c r="U308" i="1"/>
  <c r="T82" i="1"/>
  <c r="T83" i="1" s="1"/>
  <c r="T84" i="1" s="1"/>
  <c r="U82" i="1"/>
  <c r="T70" i="1"/>
  <c r="T71" i="1" s="1"/>
  <c r="T72" i="1" s="1"/>
  <c r="U70" i="1"/>
  <c r="T455" i="1"/>
  <c r="T456" i="1" s="1"/>
  <c r="U456" i="1" s="1"/>
  <c r="V456" i="1" s="1"/>
  <c r="U455" i="1"/>
  <c r="T1761" i="1"/>
  <c r="T1762" i="1" s="1"/>
  <c r="U1762" i="1" s="1"/>
  <c r="V1762" i="1" s="1"/>
  <c r="U1761" i="1"/>
  <c r="V1761" i="1" s="1"/>
  <c r="T62" i="1"/>
  <c r="T63" i="1" s="1"/>
  <c r="U63" i="1" s="1"/>
  <c r="V63" i="1" s="1"/>
  <c r="T61" i="1"/>
  <c r="U61" i="1"/>
  <c r="T1312" i="1"/>
  <c r="T1313" i="1" s="1"/>
  <c r="U1313" i="1" s="1"/>
  <c r="V1313" i="1" s="1"/>
  <c r="U1312" i="1"/>
  <c r="T91" i="1"/>
  <c r="T92" i="1" s="1"/>
  <c r="T93" i="1" s="1"/>
  <c r="U93" i="1" s="1"/>
  <c r="V93" i="1" s="1"/>
  <c r="U91" i="1"/>
  <c r="T481" i="1"/>
  <c r="T482" i="1" s="1"/>
  <c r="U482" i="1" s="1"/>
  <c r="V482" i="1" s="1"/>
  <c r="U481" i="1"/>
  <c r="T489" i="1"/>
  <c r="T490" i="1" s="1"/>
  <c r="U490" i="1" s="1"/>
  <c r="V490" i="1" s="1"/>
  <c r="U489" i="1"/>
  <c r="V489" i="1" s="1"/>
  <c r="T1647" i="1"/>
  <c r="T1648" i="1" s="1"/>
  <c r="U1648" i="1" s="1"/>
  <c r="V1648" i="1" s="1"/>
  <c r="U1647" i="1"/>
  <c r="V1647" i="1" s="1"/>
  <c r="T1440" i="1"/>
  <c r="U1440" i="1" s="1"/>
  <c r="V1440" i="1" s="1"/>
  <c r="T1439" i="1"/>
  <c r="U1439" i="1"/>
  <c r="T124" i="1"/>
  <c r="T125" i="1" s="1"/>
  <c r="T126" i="1" s="1"/>
  <c r="U124" i="1"/>
  <c r="T312" i="1"/>
  <c r="U312" i="1" s="1"/>
  <c r="V312" i="1" s="1"/>
  <c r="T311" i="1"/>
  <c r="U311" i="1"/>
  <c r="T352" i="1"/>
  <c r="U352" i="1" s="1"/>
  <c r="V352" i="1" s="1"/>
  <c r="T351" i="1"/>
  <c r="U351" i="1"/>
  <c r="T52" i="1"/>
  <c r="T53" i="1" s="1"/>
  <c r="T54" i="1" s="1"/>
  <c r="U52" i="1"/>
  <c r="V52" i="1" s="1"/>
  <c r="T127" i="1"/>
  <c r="T128" i="1" s="1"/>
  <c r="T129" i="1" s="1"/>
  <c r="U127" i="1"/>
  <c r="V127" i="1" s="1"/>
  <c r="T1503" i="1"/>
  <c r="U1503" i="1" s="1"/>
  <c r="V1503" i="1" s="1"/>
  <c r="T1502" i="1"/>
  <c r="U1502" i="1"/>
  <c r="T250" i="1"/>
  <c r="T251" i="1" s="1"/>
  <c r="T252" i="1" s="1"/>
  <c r="U250" i="1"/>
  <c r="T1622" i="1"/>
  <c r="T1623" i="1" s="1"/>
  <c r="U1623" i="1" s="1"/>
  <c r="V1623" i="1" s="1"/>
  <c r="U1622" i="1"/>
  <c r="T495" i="1"/>
  <c r="T496" i="1" s="1"/>
  <c r="U496" i="1" s="1"/>
  <c r="V496" i="1" s="1"/>
  <c r="U495" i="1"/>
  <c r="T1514" i="1"/>
  <c r="T1515" i="1" s="1"/>
  <c r="U1515" i="1" s="1"/>
  <c r="V1515" i="1" s="1"/>
  <c r="U1514" i="1"/>
  <c r="T507" i="1"/>
  <c r="T508" i="1" s="1"/>
  <c r="U508" i="1" s="1"/>
  <c r="V508" i="1" s="1"/>
  <c r="U507" i="1"/>
  <c r="V507" i="1" s="1"/>
  <c r="T503" i="1"/>
  <c r="T504" i="1" s="1"/>
  <c r="U504" i="1" s="1"/>
  <c r="V504" i="1" s="1"/>
  <c r="U503" i="1"/>
  <c r="T371" i="1"/>
  <c r="T372" i="1" s="1"/>
  <c r="U372" i="1" s="1"/>
  <c r="V372" i="1" s="1"/>
  <c r="U371" i="1"/>
  <c r="T393" i="1"/>
  <c r="T394" i="1" s="1"/>
  <c r="U394" i="1" s="1"/>
  <c r="V394" i="1" s="1"/>
  <c r="U393" i="1"/>
  <c r="V393" i="1" s="1"/>
  <c r="T524" i="1"/>
  <c r="U524" i="1" s="1"/>
  <c r="V524" i="1" s="1"/>
  <c r="T523" i="1"/>
  <c r="U523" i="1"/>
  <c r="V523" i="1" s="1"/>
  <c r="T1144" i="1"/>
  <c r="T1145" i="1" s="1"/>
  <c r="U1145" i="1" s="1"/>
  <c r="V1145" i="1" s="1"/>
  <c r="U1144" i="1"/>
  <c r="T281" i="1"/>
  <c r="T282" i="1" s="1"/>
  <c r="U282" i="1" s="1"/>
  <c r="V282" i="1" s="1"/>
  <c r="U281" i="1"/>
  <c r="V281" i="1" s="1"/>
  <c r="T1367" i="1"/>
  <c r="T1368" i="1" s="1"/>
  <c r="U1368" i="1" s="1"/>
  <c r="V1368" i="1" s="1"/>
  <c r="U1367" i="1"/>
  <c r="T9" i="1"/>
  <c r="T10" i="1" s="1"/>
  <c r="T11" i="1" s="1"/>
  <c r="U9" i="1"/>
  <c r="V9" i="1" s="1"/>
  <c r="T387" i="1"/>
  <c r="T388" i="1" s="1"/>
  <c r="U388" i="1" s="1"/>
  <c r="V388" i="1" s="1"/>
  <c r="U387" i="1"/>
  <c r="V387" i="1" s="1"/>
  <c r="T1594" i="1"/>
  <c r="T1595" i="1" s="1"/>
  <c r="U1595" i="1" s="1"/>
  <c r="V1595" i="1" s="1"/>
  <c r="U1594" i="1"/>
  <c r="T2" i="1"/>
  <c r="T3" i="1" s="1"/>
  <c r="U3" i="1" s="1"/>
  <c r="V3" i="1" s="1"/>
  <c r="U2" i="1"/>
  <c r="T1618" i="1"/>
  <c r="T1619" i="1" s="1"/>
  <c r="T1620" i="1" s="1"/>
  <c r="T1621" i="1" s="1"/>
  <c r="U1618" i="1"/>
  <c r="T1615" i="1"/>
  <c r="T1616" i="1" s="1"/>
  <c r="U1616" i="1" s="1"/>
  <c r="V1616" i="1" s="1"/>
  <c r="U1615" i="1"/>
  <c r="V1615" i="1" s="1"/>
  <c r="T295" i="1"/>
  <c r="T296" i="1" s="1"/>
  <c r="T297" i="1" s="1"/>
  <c r="U295" i="1"/>
  <c r="T487" i="1"/>
  <c r="T488" i="1" s="1"/>
  <c r="U488" i="1" s="1"/>
  <c r="V488" i="1" s="1"/>
  <c r="U487" i="1"/>
  <c r="T459" i="1"/>
  <c r="T460" i="1" s="1"/>
  <c r="U460" i="1" s="1"/>
  <c r="V460" i="1" s="1"/>
  <c r="U459" i="1"/>
  <c r="T74" i="1"/>
  <c r="T75" i="1" s="1"/>
  <c r="T73" i="1"/>
  <c r="U73" i="1"/>
  <c r="T185" i="1"/>
  <c r="T186" i="1" s="1"/>
  <c r="T184" i="1"/>
  <c r="U184" i="1"/>
  <c r="V184" i="1" s="1"/>
  <c r="S106" i="1"/>
  <c r="S107" i="1" s="1"/>
  <c r="S108" i="1" s="1"/>
  <c r="S151" i="1"/>
  <c r="S152" i="1" s="1"/>
  <c r="S153" i="1" s="1"/>
  <c r="U153" i="1" s="1"/>
  <c r="V153" i="1" s="1"/>
  <c r="S343" i="1"/>
  <c r="S344" i="1" s="1"/>
  <c r="S963" i="1"/>
  <c r="S964" i="1" s="1"/>
  <c r="S115" i="1"/>
  <c r="S116" i="1" s="1"/>
  <c r="S117" i="1" s="1"/>
  <c r="S675" i="1"/>
  <c r="S676" i="1" s="1"/>
  <c r="S677" i="1" s="1"/>
  <c r="S1644" i="1"/>
  <c r="S1645" i="1" s="1"/>
  <c r="S1646" i="1" s="1"/>
  <c r="S1643" i="1"/>
  <c r="S317" i="1"/>
  <c r="S318" i="1" s="1"/>
  <c r="S319" i="1" s="1"/>
  <c r="U318" i="1"/>
  <c r="U101" i="1"/>
  <c r="S976" i="1"/>
  <c r="S977" i="1" s="1"/>
  <c r="S402" i="1"/>
  <c r="S403" i="1" s="1"/>
  <c r="S531" i="1"/>
  <c r="S532" i="1" s="1"/>
  <c r="S433" i="1"/>
  <c r="S434" i="1" s="1"/>
  <c r="S537" i="1"/>
  <c r="S538" i="1" s="1"/>
  <c r="U1644" i="1"/>
  <c r="V1644" i="1" s="1"/>
  <c r="S1736" i="1"/>
  <c r="S1737" i="1" s="1"/>
  <c r="S849" i="1"/>
  <c r="S850" i="1" s="1"/>
  <c r="S851" i="1" s="1"/>
  <c r="S1112" i="1"/>
  <c r="S1113" i="1" s="1"/>
  <c r="S1114" i="1" s="1"/>
  <c r="U1113" i="1"/>
  <c r="S443" i="1"/>
  <c r="S444" i="1" s="1"/>
  <c r="U444" i="1" s="1"/>
  <c r="V444" i="1" s="1"/>
  <c r="S331" i="1"/>
  <c r="S332" i="1" s="1"/>
  <c r="S1526" i="1"/>
  <c r="S1527" i="1" s="1"/>
  <c r="S205" i="1"/>
  <c r="S206" i="1" s="1"/>
  <c r="S207" i="1" s="1"/>
  <c r="U116" i="1"/>
  <c r="S558" i="1"/>
  <c r="S559" i="1" s="1"/>
  <c r="S229" i="1"/>
  <c r="S230" i="1" s="1"/>
  <c r="S231" i="1" s="1"/>
  <c r="U230" i="1"/>
  <c r="S852" i="1"/>
  <c r="S853" i="1" s="1"/>
  <c r="S854" i="1" s="1"/>
  <c r="S1757" i="1"/>
  <c r="S1758" i="1" s="1"/>
  <c r="S100" i="1"/>
  <c r="S101" i="1" s="1"/>
  <c r="S102" i="1" s="1"/>
  <c r="S247" i="1"/>
  <c r="S248" i="1" s="1"/>
  <c r="S249" i="1" s="1"/>
  <c r="U248" i="1"/>
  <c r="V248" i="1" s="1"/>
  <c r="S133" i="1"/>
  <c r="S134" i="1" s="1"/>
  <c r="S135" i="1" s="1"/>
  <c r="U135" i="1" s="1"/>
  <c r="V135" i="1" s="1"/>
  <c r="U134" i="1"/>
  <c r="V134" i="1" s="1"/>
  <c r="S22" i="1"/>
  <c r="S23" i="1" s="1"/>
  <c r="S24" i="1" s="1"/>
  <c r="U23" i="1"/>
  <c r="U20" i="1"/>
  <c r="S1650" i="1"/>
  <c r="S1651" i="1" s="1"/>
  <c r="S1652" i="1" s="1"/>
  <c r="S1653" i="1" s="1"/>
  <c r="U1651" i="1"/>
  <c r="S1555" i="1"/>
  <c r="S1556" i="1" s="1"/>
  <c r="S1557" i="1" s="1"/>
  <c r="S1558" i="1" s="1"/>
  <c r="S1559" i="1" s="1"/>
  <c r="S1560" i="1" s="1"/>
  <c r="S1379" i="1"/>
  <c r="S1380" i="1" s="1"/>
  <c r="U1380" i="1" s="1"/>
  <c r="V1380" i="1" s="1"/>
  <c r="S1635" i="1"/>
  <c r="S1636" i="1" s="1"/>
  <c r="S1637" i="1" s="1"/>
  <c r="S1638" i="1" s="1"/>
  <c r="S441" i="1"/>
  <c r="S442" i="1" s="1"/>
  <c r="S97" i="1"/>
  <c r="S98" i="1" s="1"/>
  <c r="S99" i="1" s="1"/>
  <c r="U98" i="1"/>
  <c r="S94" i="1"/>
  <c r="S95" i="1" s="1"/>
  <c r="S96" i="1" s="1"/>
  <c r="U95" i="1"/>
  <c r="S1142" i="1"/>
  <c r="S1143" i="1" s="1"/>
  <c r="S1550" i="1"/>
  <c r="S1551" i="1" s="1"/>
  <c r="S259" i="1"/>
  <c r="S260" i="1" s="1"/>
  <c r="S261" i="1" s="1"/>
  <c r="U260" i="1"/>
  <c r="S293" i="1"/>
  <c r="S294" i="1" s="1"/>
  <c r="S166" i="1"/>
  <c r="S167" i="1" s="1"/>
  <c r="S168" i="1" s="1"/>
  <c r="U167" i="1"/>
  <c r="V167" i="1" s="1"/>
  <c r="S413" i="1"/>
  <c r="S414" i="1" s="1"/>
  <c r="S16" i="1"/>
  <c r="S17" i="1" s="1"/>
  <c r="S18" i="1" s="1"/>
  <c r="S298" i="1"/>
  <c r="S299" i="1" s="1"/>
  <c r="S300" i="1" s="1"/>
  <c r="S927" i="1"/>
  <c r="S928" i="1" s="1"/>
  <c r="S572" i="1"/>
  <c r="S573" i="1" s="1"/>
  <c r="S49" i="1"/>
  <c r="S50" i="1" s="1"/>
  <c r="S51" i="1" s="1"/>
  <c r="U50" i="1"/>
  <c r="V50" i="1" s="1"/>
  <c r="S118" i="1"/>
  <c r="S119" i="1" s="1"/>
  <c r="S120" i="1" s="1"/>
  <c r="S1544" i="1"/>
  <c r="S1545" i="1" s="1"/>
  <c r="S1546" i="1" s="1"/>
  <c r="S1547" i="1" s="1"/>
  <c r="S1548" i="1" s="1"/>
  <c r="S1549" i="1" s="1"/>
  <c r="U1545" i="1"/>
  <c r="V1545" i="1" s="1"/>
  <c r="S756" i="1"/>
  <c r="S757" i="1" s="1"/>
  <c r="S758" i="1" s="1"/>
  <c r="S284" i="1"/>
  <c r="U284" i="1" s="1"/>
  <c r="V284" i="1" s="1"/>
  <c r="S283" i="1"/>
  <c r="S1690" i="1"/>
  <c r="S1691" i="1" s="1"/>
  <c r="S509" i="1"/>
  <c r="S510" i="1" s="1"/>
  <c r="S373" i="1"/>
  <c r="S374" i="1" s="1"/>
  <c r="S313" i="1"/>
  <c r="S314" i="1" s="1"/>
  <c r="S1459" i="1"/>
  <c r="S1460" i="1" s="1"/>
  <c r="S624" i="1"/>
  <c r="S625" i="1" s="1"/>
  <c r="S1297" i="1"/>
  <c r="S1298" i="1" s="1"/>
  <c r="S612" i="1"/>
  <c r="S613" i="1" s="1"/>
  <c r="S1052" i="1"/>
  <c r="S1053" i="1" s="1"/>
  <c r="S1054" i="1" s="1"/>
  <c r="U1054" i="1" s="1"/>
  <c r="V1054" i="1" s="1"/>
  <c r="S1064" i="1"/>
  <c r="S1065" i="1" s="1"/>
  <c r="S1759" i="1"/>
  <c r="S1760" i="1" s="1"/>
  <c r="U1760" i="1" s="1"/>
  <c r="V1760" i="1" s="1"/>
  <c r="U119" i="1"/>
  <c r="V119" i="1" s="1"/>
  <c r="S529" i="1"/>
  <c r="S530" i="1" s="1"/>
  <c r="U530" i="1" s="1"/>
  <c r="V530" i="1" s="1"/>
  <c r="S1583" i="1"/>
  <c r="S1584" i="1" s="1"/>
  <c r="S1613" i="1"/>
  <c r="S1614" i="1" s="1"/>
  <c r="S208" i="1"/>
  <c r="S209" i="1" s="1"/>
  <c r="S210" i="1" s="1"/>
  <c r="U209" i="1"/>
  <c r="V209" i="1" s="1"/>
  <c r="U179" i="1"/>
  <c r="V179" i="1" s="1"/>
  <c r="U122" i="1"/>
  <c r="S1397" i="1"/>
  <c r="S1398" i="1" s="1"/>
  <c r="S957" i="1"/>
  <c r="S958" i="1" s="1"/>
  <c r="U958" i="1" s="1"/>
  <c r="V958" i="1" s="1"/>
  <c r="S4" i="1"/>
  <c r="S5" i="1" s="1"/>
  <c r="T614" i="1"/>
  <c r="T615" i="1" s="1"/>
  <c r="U614" i="1"/>
  <c r="V614" i="1" s="1"/>
  <c r="S303" i="1"/>
  <c r="S304" i="1" s="1"/>
  <c r="S337" i="1"/>
  <c r="S338" i="1" s="1"/>
  <c r="U338" i="1" s="1"/>
  <c r="V338" i="1" s="1"/>
  <c r="S1585" i="1"/>
  <c r="S1586" i="1" s="1"/>
  <c r="S154" i="1"/>
  <c r="S155" i="1" s="1"/>
  <c r="S156" i="1" s="1"/>
  <c r="U155" i="1"/>
  <c r="V155" i="1" s="1"/>
  <c r="S570" i="1"/>
  <c r="S571" i="1" s="1"/>
  <c r="S582" i="1"/>
  <c r="S583" i="1" s="1"/>
  <c r="U583" i="1" s="1"/>
  <c r="V583" i="1" s="1"/>
  <c r="S181" i="1"/>
  <c r="S182" i="1" s="1"/>
  <c r="S183" i="1" s="1"/>
  <c r="U182" i="1"/>
  <c r="S275" i="1"/>
  <c r="S276" i="1" s="1"/>
  <c r="S277" i="1" s="1"/>
  <c r="U276" i="1"/>
  <c r="S235" i="1"/>
  <c r="S236" i="1" s="1"/>
  <c r="S237" i="1" s="1"/>
  <c r="U236" i="1"/>
  <c r="S148" i="1"/>
  <c r="S149" i="1" s="1"/>
  <c r="S150" i="1" s="1"/>
  <c r="S112" i="1"/>
  <c r="S113" i="1" s="1"/>
  <c r="S114" i="1" s="1"/>
  <c r="S270" i="1"/>
  <c r="S271" i="1" s="1"/>
  <c r="S272" i="1" s="1"/>
  <c r="U271" i="1"/>
  <c r="S1453" i="1"/>
  <c r="S1454" i="1" s="1"/>
  <c r="S1455" i="1" s="1"/>
  <c r="S1456" i="1" s="1"/>
  <c r="S1457" i="1" s="1"/>
  <c r="S1458" i="1" s="1"/>
  <c r="S475" i="1"/>
  <c r="S476" i="1" s="1"/>
  <c r="S451" i="1"/>
  <c r="S452" i="1" s="1"/>
  <c r="S1710" i="1"/>
  <c r="S1711" i="1" s="1"/>
  <c r="S398" i="1"/>
  <c r="S399" i="1" s="1"/>
  <c r="S904" i="1"/>
  <c r="S905" i="1" s="1"/>
  <c r="S485" i="1"/>
  <c r="S486" i="1" s="1"/>
  <c r="S552" i="1"/>
  <c r="S553" i="1" s="1"/>
  <c r="S285" i="1"/>
  <c r="S286" i="1" s="1"/>
  <c r="S287" i="1" s="1"/>
  <c r="S211" i="1"/>
  <c r="S212" i="1" s="1"/>
  <c r="S213" i="1" s="1"/>
  <c r="U212" i="1"/>
  <c r="S367" i="1"/>
  <c r="S368" i="1" s="1"/>
  <c r="U113" i="1"/>
  <c r="V113" i="1" s="1"/>
  <c r="S1706" i="1"/>
  <c r="S1707" i="1" s="1"/>
  <c r="S1708" i="1" s="1"/>
  <c r="S1709" i="1" s="1"/>
  <c r="S662" i="1"/>
  <c r="S663" i="1" s="1"/>
  <c r="S664" i="1" s="1"/>
  <c r="S420" i="1"/>
  <c r="S421" i="1" s="1"/>
  <c r="S1261" i="1"/>
  <c r="S1262" i="1" s="1"/>
  <c r="U206" i="1"/>
  <c r="V206" i="1" s="1"/>
  <c r="S998" i="1"/>
  <c r="S999" i="1" s="1"/>
  <c r="S1000" i="1" s="1"/>
  <c r="S320" i="1"/>
  <c r="S321" i="1" s="1"/>
  <c r="U321" i="1" s="1"/>
  <c r="V321" i="1" s="1"/>
  <c r="S1506" i="1"/>
  <c r="S1507" i="1" s="1"/>
  <c r="U245" i="1"/>
  <c r="S322" i="1"/>
  <c r="S323" i="1" s="1"/>
  <c r="S590" i="1"/>
  <c r="S591" i="1" s="1"/>
  <c r="U591" i="1" s="1"/>
  <c r="V591" i="1" s="1"/>
  <c r="U286" i="1"/>
  <c r="S390" i="1"/>
  <c r="S391" i="1" s="1"/>
  <c r="U391" i="1" s="1"/>
  <c r="V391" i="1" s="1"/>
  <c r="S347" i="1"/>
  <c r="S348" i="1" s="1"/>
  <c r="U176" i="1"/>
  <c r="S445" i="1"/>
  <c r="S446" i="1" s="1"/>
  <c r="U446" i="1" s="1"/>
  <c r="V446" i="1" s="1"/>
  <c r="S121" i="1"/>
  <c r="S122" i="1" s="1"/>
  <c r="S123" i="1" s="1"/>
  <c r="S1017" i="1"/>
  <c r="S1018" i="1" s="1"/>
  <c r="S1019" i="1" s="1"/>
  <c r="S1020" i="1" s="1"/>
  <c r="S363" i="1"/>
  <c r="S364" i="1" s="1"/>
  <c r="S467" i="1"/>
  <c r="S468" i="1" s="1"/>
  <c r="S1755" i="1"/>
  <c r="S1756" i="1" s="1"/>
  <c r="S145" i="1"/>
  <c r="S146" i="1" s="1"/>
  <c r="S147" i="1" s="1"/>
  <c r="U146" i="1"/>
  <c r="S1654" i="1"/>
  <c r="S1655" i="1" s="1"/>
  <c r="S1670" i="1"/>
  <c r="S1671" i="1" s="1"/>
  <c r="S395" i="1"/>
  <c r="S396" i="1" s="1"/>
  <c r="S1604" i="1"/>
  <c r="S1605" i="1" s="1"/>
  <c r="S190" i="1"/>
  <c r="S191" i="1" s="1"/>
  <c r="S192" i="1" s="1"/>
  <c r="U191" i="1"/>
  <c r="S970" i="1"/>
  <c r="S971" i="1" s="1"/>
  <c r="S972" i="1" s="1"/>
  <c r="U1210" i="1"/>
  <c r="S862" i="1"/>
  <c r="S863" i="1" s="1"/>
  <c r="S429" i="1"/>
  <c r="S430" i="1" s="1"/>
  <c r="U1102" i="1"/>
  <c r="V1102" i="1" s="1"/>
  <c r="S356" i="1"/>
  <c r="S355" i="1"/>
  <c r="S400" i="1"/>
  <c r="S401" i="1" s="1"/>
  <c r="U401" i="1" s="1"/>
  <c r="V401" i="1" s="1"/>
  <c r="S1561" i="1"/>
  <c r="S1562" i="1" s="1"/>
  <c r="S600" i="1"/>
  <c r="S601" i="1" s="1"/>
  <c r="S19" i="1"/>
  <c r="S20" i="1" s="1"/>
  <c r="S21" i="1" s="1"/>
  <c r="S264" i="1"/>
  <c r="S265" i="1" s="1"/>
  <c r="S266" i="1" s="1"/>
  <c r="U265" i="1"/>
  <c r="V265" i="1" s="1"/>
  <c r="S244" i="1"/>
  <c r="S245" i="1" s="1"/>
  <c r="S246" i="1" s="1"/>
  <c r="S1391" i="1"/>
  <c r="S1392" i="1" s="1"/>
  <c r="S1393" i="1" s="1"/>
  <c r="S594" i="1"/>
  <c r="S595" i="1" s="1"/>
  <c r="S383" i="1"/>
  <c r="S384" i="1" s="1"/>
  <c r="S795" i="1"/>
  <c r="S796" i="1" s="1"/>
  <c r="S797" i="1" s="1"/>
  <c r="S1479" i="1"/>
  <c r="S1480" i="1" s="1"/>
  <c r="S1209" i="1"/>
  <c r="S1210" i="1" s="1"/>
  <c r="S1211" i="1" s="1"/>
  <c r="U1211" i="1" s="1"/>
  <c r="V1211" i="1" s="1"/>
  <c r="S499" i="1"/>
  <c r="S500" i="1" s="1"/>
  <c r="U500" i="1" s="1"/>
  <c r="V500" i="1" s="1"/>
  <c r="U299" i="1"/>
  <c r="S1101" i="1"/>
  <c r="S1102" i="1" s="1"/>
  <c r="S1103" i="1" s="1"/>
  <c r="S226" i="1"/>
  <c r="S227" i="1" s="1"/>
  <c r="S228" i="1" s="1"/>
  <c r="U228" i="1" s="1"/>
  <c r="V228" i="1" s="1"/>
  <c r="U227" i="1"/>
  <c r="S1639" i="1"/>
  <c r="S1640" i="1" s="1"/>
  <c r="S380" i="1"/>
  <c r="S381" i="1" s="1"/>
  <c r="U104" i="1"/>
  <c r="S335" i="1"/>
  <c r="S336" i="1" s="1"/>
  <c r="S996" i="1"/>
  <c r="S997" i="1" s="1"/>
  <c r="U997" i="1" s="1"/>
  <c r="V997" i="1" s="1"/>
  <c r="U796" i="1"/>
  <c r="S1096" i="1"/>
  <c r="S1097" i="1" s="1"/>
  <c r="S1098" i="1" s="1"/>
  <c r="U1097" i="1"/>
  <c r="S457" i="1"/>
  <c r="S458" i="1" s="1"/>
  <c r="S1411" i="1"/>
  <c r="S1412" i="1" s="1"/>
  <c r="S1170" i="1"/>
  <c r="S1171" i="1" s="1"/>
  <c r="S178" i="1"/>
  <c r="S179" i="1" s="1"/>
  <c r="S180" i="1" s="1"/>
  <c r="S291" i="1"/>
  <c r="S292" i="1" s="1"/>
  <c r="S256" i="1"/>
  <c r="S257" i="1" s="1"/>
  <c r="S258" i="1" s="1"/>
  <c r="U257" i="1"/>
  <c r="S608" i="1"/>
  <c r="S609" i="1" s="1"/>
  <c r="S109" i="1"/>
  <c r="S110" i="1" s="1"/>
  <c r="S111" i="1" s="1"/>
  <c r="U110" i="1"/>
  <c r="V110" i="1" s="1"/>
  <c r="S515" i="1"/>
  <c r="S516" i="1" s="1"/>
  <c r="S378" i="1"/>
  <c r="S379" i="1" s="1"/>
  <c r="U379" i="1" s="1"/>
  <c r="V379" i="1" s="1"/>
  <c r="S130" i="1"/>
  <c r="S131" i="1" s="1"/>
  <c r="S132" i="1" s="1"/>
  <c r="U131" i="1"/>
  <c r="S199" i="1"/>
  <c r="S200" i="1" s="1"/>
  <c r="S201" i="1" s="1"/>
  <c r="U200" i="1"/>
  <c r="S447" i="1"/>
  <c r="S448" i="1" s="1"/>
  <c r="U289" i="1"/>
  <c r="V289" i="1" s="1"/>
  <c r="T15" i="1"/>
  <c r="T14" i="1"/>
  <c r="U14" i="1"/>
  <c r="V14" i="1" s="1"/>
  <c r="S432" i="1"/>
  <c r="S431" i="1"/>
  <c r="S483" i="1"/>
  <c r="S484" i="1" s="1"/>
  <c r="S169" i="1"/>
  <c r="S170" i="1" s="1"/>
  <c r="S171" i="1" s="1"/>
  <c r="U170" i="1"/>
  <c r="V170" i="1" s="1"/>
  <c r="S672" i="1"/>
  <c r="S673" i="1" s="1"/>
  <c r="S674" i="1" s="1"/>
  <c r="S880" i="1"/>
  <c r="S881" i="1" s="1"/>
  <c r="S882" i="1" s="1"/>
  <c r="S411" i="1"/>
  <c r="S412" i="1" s="1"/>
  <c r="U412" i="1" s="1"/>
  <c r="V412" i="1" s="1"/>
  <c r="S588" i="1"/>
  <c r="S589" i="1" s="1"/>
  <c r="S163" i="1"/>
  <c r="S164" i="1" s="1"/>
  <c r="S165" i="1" s="1"/>
  <c r="S479" i="1"/>
  <c r="S480" i="1" s="1"/>
  <c r="S238" i="1"/>
  <c r="S239" i="1" s="1"/>
  <c r="S240" i="1" s="1"/>
  <c r="U239" i="1"/>
  <c r="V239" i="1" s="1"/>
  <c r="S1199" i="1"/>
  <c r="S1200" i="1" s="1"/>
  <c r="S1201" i="1" s="1"/>
  <c r="U1200" i="1"/>
  <c r="S1172" i="1"/>
  <c r="S1173" i="1" s="1"/>
  <c r="S1683" i="1"/>
  <c r="S1684" i="1" s="1"/>
  <c r="U149" i="1"/>
  <c r="S938" i="1"/>
  <c r="S939" i="1" s="1"/>
  <c r="U939" i="1" s="1"/>
  <c r="V939" i="1" s="1"/>
  <c r="S1079" i="1"/>
  <c r="S1080" i="1" s="1"/>
  <c r="S88" i="1"/>
  <c r="S89" i="1" s="1"/>
  <c r="S90" i="1" s="1"/>
  <c r="U89" i="1"/>
  <c r="S365" i="1"/>
  <c r="S366" i="1" s="1"/>
  <c r="U366" i="1" s="1"/>
  <c r="V366" i="1" s="1"/>
  <c r="S426" i="1"/>
  <c r="S427" i="1" s="1"/>
  <c r="S139" i="1"/>
  <c r="S140" i="1" s="1"/>
  <c r="S141" i="1" s="1"/>
  <c r="U141" i="1" s="1"/>
  <c r="V141" i="1" s="1"/>
  <c r="S453" i="1"/>
  <c r="S454" i="1" s="1"/>
  <c r="S1325" i="1"/>
  <c r="S1326" i="1" s="1"/>
  <c r="U164" i="1"/>
  <c r="S1518" i="1"/>
  <c r="S1519" i="1" s="1"/>
  <c r="U1519" i="1" s="1"/>
  <c r="V1519" i="1" s="1"/>
  <c r="S527" i="1"/>
  <c r="S528" i="1" s="1"/>
  <c r="S566" i="1"/>
  <c r="S567" i="1" s="1"/>
  <c r="S702" i="1"/>
  <c r="S703" i="1" s="1"/>
  <c r="S704" i="1" s="1"/>
  <c r="S501" i="1"/>
  <c r="S502" i="1" s="1"/>
  <c r="S175" i="1"/>
  <c r="S176" i="1" s="1"/>
  <c r="S177" i="1" s="1"/>
  <c r="S1327" i="1"/>
  <c r="S1328" i="1" s="1"/>
  <c r="S1339" i="1"/>
  <c r="S1340" i="1" s="1"/>
  <c r="U140" i="1"/>
  <c r="V140" i="1" s="1"/>
  <c r="S505" i="1"/>
  <c r="S506" i="1" s="1"/>
  <c r="S103" i="1"/>
  <c r="S104" i="1" s="1"/>
  <c r="S105" i="1" s="1"/>
  <c r="S1633" i="1"/>
  <c r="S1634" i="1" s="1"/>
  <c r="S1225" i="1"/>
  <c r="S1226" i="1" s="1"/>
  <c r="S1227" i="1" s="1"/>
  <c r="U1226" i="1"/>
  <c r="U152" i="1"/>
  <c r="V152" i="1" s="1"/>
  <c r="U107" i="1"/>
  <c r="V107" i="1" s="1"/>
  <c r="S1447" i="1"/>
  <c r="S1448" i="1" s="1"/>
  <c r="U1448" i="1" s="1"/>
  <c r="V1448" i="1" s="1"/>
  <c r="S932" i="1"/>
  <c r="S933" i="1" s="1"/>
  <c r="S934" i="1" s="1"/>
  <c r="U933" i="1"/>
  <c r="S67" i="1"/>
  <c r="S68" i="1" s="1"/>
  <c r="S69" i="1" s="1"/>
  <c r="U68" i="1"/>
  <c r="V68" i="1" s="1"/>
  <c r="S202" i="1"/>
  <c r="S203" i="1" s="1"/>
  <c r="S204" i="1" s="1"/>
  <c r="U203" i="1"/>
  <c r="S650" i="1"/>
  <c r="S651" i="1" s="1"/>
  <c r="S1747" i="1"/>
  <c r="S1748" i="1" s="1"/>
  <c r="S463" i="1"/>
  <c r="S464" i="1" s="1"/>
  <c r="S1739" i="1"/>
  <c r="S1740" i="1" s="1"/>
  <c r="S241" i="1"/>
  <c r="S242" i="1" s="1"/>
  <c r="S243" i="1" s="1"/>
  <c r="U242" i="1"/>
  <c r="S326" i="1"/>
  <c r="S327" i="1" s="1"/>
  <c r="S328" i="1" s="1"/>
  <c r="U327" i="1"/>
  <c r="V327" i="1" s="1"/>
  <c r="S1156" i="1"/>
  <c r="S1157" i="1" s="1"/>
  <c r="S288" i="1"/>
  <c r="S289" i="1" s="1"/>
  <c r="S290" i="1" s="1"/>
  <c r="S172" i="1"/>
  <c r="S173" i="1" s="1"/>
  <c r="S174" i="1" s="1"/>
  <c r="U173" i="1"/>
  <c r="S1341" i="1"/>
  <c r="S1342" i="1" s="1"/>
  <c r="S1110" i="1"/>
  <c r="S1111" i="1" s="1"/>
  <c r="S1752" i="1"/>
  <c r="S1751" i="1"/>
  <c r="S223" i="1"/>
  <c r="S224" i="1" s="1"/>
  <c r="S225" i="1" s="1"/>
  <c r="U224" i="1"/>
  <c r="T244" i="1"/>
  <c r="T245" i="1" s="1"/>
  <c r="T246" i="1" s="1"/>
  <c r="T1683" i="1"/>
  <c r="T1684" i="1" s="1"/>
  <c r="U1683" i="1"/>
  <c r="T1739" i="1"/>
  <c r="T1740" i="1" s="1"/>
  <c r="U1739" i="1"/>
  <c r="V1739" i="1" s="1"/>
  <c r="T1604" i="1"/>
  <c r="T1605" i="1" s="1"/>
  <c r="U970" i="1"/>
  <c r="T298" i="1"/>
  <c r="T299" i="1" s="1"/>
  <c r="T300" i="1" s="1"/>
  <c r="T178" i="1"/>
  <c r="T179" i="1" s="1"/>
  <c r="T180" i="1" s="1"/>
  <c r="U582" i="1"/>
  <c r="T1639" i="1"/>
  <c r="T1640" i="1" s="1"/>
  <c r="T367" i="1"/>
  <c r="T368" i="1" s="1"/>
  <c r="T259" i="1"/>
  <c r="T260" i="1" s="1"/>
  <c r="T261" i="1" s="1"/>
  <c r="U1604" i="1"/>
  <c r="V1604" i="1" s="1"/>
  <c r="T241" i="1"/>
  <c r="T242" i="1" s="1"/>
  <c r="T243" i="1" s="1"/>
  <c r="T103" i="1"/>
  <c r="T104" i="1" s="1"/>
  <c r="T105" i="1" s="1"/>
  <c r="U103" i="1"/>
  <c r="V103" i="1" s="1"/>
  <c r="U259" i="1"/>
  <c r="V259" i="1" s="1"/>
  <c r="U998" i="1"/>
  <c r="V998" i="1" s="1"/>
  <c r="T323" i="1"/>
  <c r="T322" i="1"/>
  <c r="U322" i="1"/>
  <c r="V322" i="1" s="1"/>
  <c r="U1639" i="1"/>
  <c r="T402" i="1"/>
  <c r="T403" i="1" s="1"/>
  <c r="T1613" i="1"/>
  <c r="T1614" i="1" s="1"/>
  <c r="U367" i="1"/>
  <c r="T1518" i="1"/>
  <c r="T1519" i="1" s="1"/>
  <c r="U1518" i="1"/>
  <c r="T552" i="1"/>
  <c r="T553" i="1" s="1"/>
  <c r="T483" i="1"/>
  <c r="T484" i="1" s="1"/>
  <c r="T1751" i="1"/>
  <c r="T1752" i="1" s="1"/>
  <c r="T1691" i="1"/>
  <c r="T1690" i="1"/>
  <c r="T97" i="1"/>
  <c r="T98" i="1" s="1"/>
  <c r="T99" i="1" s="1"/>
  <c r="T1225" i="1"/>
  <c r="T1226" i="1" s="1"/>
  <c r="T1227" i="1" s="1"/>
  <c r="U402" i="1"/>
  <c r="U1613" i="1"/>
  <c r="T154" i="1"/>
  <c r="T155" i="1" s="1"/>
  <c r="T156" i="1" s="1"/>
  <c r="T151" i="1"/>
  <c r="T152" i="1" s="1"/>
  <c r="T153" i="1" s="1"/>
  <c r="U151" i="1"/>
  <c r="U112" i="1"/>
  <c r="U1751" i="1"/>
  <c r="V1751" i="1" s="1"/>
  <c r="U1690" i="1"/>
  <c r="V1690" i="1" s="1"/>
  <c r="U97" i="1"/>
  <c r="V97" i="1" s="1"/>
  <c r="U390" i="1"/>
  <c r="T148" i="1"/>
  <c r="T149" i="1" s="1"/>
  <c r="T150" i="1" s="1"/>
  <c r="T275" i="1"/>
  <c r="T276" i="1" s="1"/>
  <c r="T277" i="1" s="1"/>
  <c r="U275" i="1"/>
  <c r="V275" i="1" s="1"/>
  <c r="T229" i="1"/>
  <c r="T230" i="1" s="1"/>
  <c r="T231" i="1" s="1"/>
  <c r="T505" i="1"/>
  <c r="T506" i="1" s="1"/>
  <c r="U505" i="1"/>
  <c r="V505" i="1" s="1"/>
  <c r="T927" i="1"/>
  <c r="T928" i="1" s="1"/>
  <c r="T1670" i="1"/>
  <c r="T1671" i="1" s="1"/>
  <c r="U148" i="1"/>
  <c r="T288" i="1"/>
  <c r="T289" i="1" s="1"/>
  <c r="T290" i="1" s="1"/>
  <c r="T343" i="1"/>
  <c r="T344" i="1" s="1"/>
  <c r="U343" i="1"/>
  <c r="V343" i="1" s="1"/>
  <c r="T115" i="1"/>
  <c r="T116" i="1" s="1"/>
  <c r="T117" i="1" s="1"/>
  <c r="U115" i="1"/>
  <c r="T1755" i="1"/>
  <c r="T1756" i="1" s="1"/>
  <c r="U1670" i="1"/>
  <c r="T600" i="1"/>
  <c r="T601" i="1" s="1"/>
  <c r="T624" i="1"/>
  <c r="T625" i="1" s="1"/>
  <c r="U624" i="1"/>
  <c r="U963" i="1"/>
  <c r="U1755" i="1"/>
  <c r="U1379" i="1"/>
  <c r="U600" i="1"/>
  <c r="T347" i="1"/>
  <c r="T348" i="1" s="1"/>
  <c r="T181" i="1"/>
  <c r="T182" i="1" s="1"/>
  <c r="T183" i="1" s="1"/>
  <c r="U445" i="1"/>
  <c r="T1544" i="1"/>
  <c r="T1545" i="1" s="1"/>
  <c r="T1546" i="1" s="1"/>
  <c r="T1547" i="1" s="1"/>
  <c r="T1548" i="1" s="1"/>
  <c r="T1549" i="1" s="1"/>
  <c r="U1544" i="1"/>
  <c r="T1096" i="1"/>
  <c r="T1097" i="1" s="1"/>
  <c r="T1098" i="1" s="1"/>
  <c r="U283" i="1"/>
  <c r="V283" i="1" s="1"/>
  <c r="U313" i="1"/>
  <c r="V313" i="1" s="1"/>
  <c r="T265" i="1"/>
  <c r="T266" i="1" s="1"/>
  <c r="T264" i="1"/>
  <c r="U264" i="1"/>
  <c r="U1635" i="1"/>
  <c r="T1327" i="1"/>
  <c r="T1328" i="1" s="1"/>
  <c r="T1209" i="1"/>
  <c r="T1210" i="1" s="1"/>
  <c r="T1211" i="1" s="1"/>
  <c r="U1209" i="1"/>
  <c r="U133" i="1"/>
  <c r="U588" i="1"/>
  <c r="V588" i="1" s="1"/>
  <c r="T190" i="1"/>
  <c r="T191" i="1" s="1"/>
  <c r="T192" i="1" s="1"/>
  <c r="T67" i="1"/>
  <c r="T68" i="1" s="1"/>
  <c r="T69" i="1" s="1"/>
  <c r="T1736" i="1"/>
  <c r="T1737" i="1" s="1"/>
  <c r="U1736" i="1"/>
  <c r="V1736" i="1" s="1"/>
  <c r="U1633" i="1"/>
  <c r="V1633" i="1" s="1"/>
  <c r="T475" i="1"/>
  <c r="T476" i="1" s="1"/>
  <c r="U475" i="1"/>
  <c r="T19" i="1"/>
  <c r="T20" i="1" s="1"/>
  <c r="T21" i="1" s="1"/>
  <c r="U67" i="1"/>
  <c r="T109" i="1"/>
  <c r="T110" i="1" s="1"/>
  <c r="T111" i="1" s="1"/>
  <c r="T332" i="1"/>
  <c r="T331" i="1"/>
  <c r="T1654" i="1"/>
  <c r="T1655" i="1" s="1"/>
  <c r="T139" i="1"/>
  <c r="T140" i="1" s="1"/>
  <c r="T141" i="1" s="1"/>
  <c r="U139" i="1"/>
  <c r="V139" i="1" s="1"/>
  <c r="U19" i="1"/>
  <c r="V19" i="1" s="1"/>
  <c r="U109" i="1"/>
  <c r="V109" i="1" s="1"/>
  <c r="T457" i="1"/>
  <c r="T458" i="1" s="1"/>
  <c r="T441" i="1"/>
  <c r="T442" i="1" s="1"/>
  <c r="U1550" i="1"/>
  <c r="V1550" i="1" s="1"/>
  <c r="U331" i="1"/>
  <c r="T1643" i="1"/>
  <c r="T1644" i="1" s="1"/>
  <c r="T1645" i="1" s="1"/>
  <c r="T1646" i="1" s="1"/>
  <c r="U957" i="1"/>
  <c r="T172" i="1"/>
  <c r="T173" i="1" s="1"/>
  <c r="T174" i="1" s="1"/>
  <c r="U172" i="1"/>
  <c r="T426" i="1"/>
  <c r="T427" i="1" s="1"/>
  <c r="U426" i="1"/>
  <c r="U457" i="1"/>
  <c r="U441" i="1"/>
  <c r="V441" i="1" s="1"/>
  <c r="T355" i="1"/>
  <c r="T356" i="1" s="1"/>
  <c r="U1142" i="1"/>
  <c r="V1142" i="1" s="1"/>
  <c r="T1297" i="1"/>
  <c r="T1298" i="1" s="1"/>
  <c r="U558" i="1"/>
  <c r="V558" i="1" s="1"/>
  <c r="T205" i="1"/>
  <c r="T206" i="1" s="1"/>
  <c r="T207" i="1" s="1"/>
  <c r="U431" i="1"/>
  <c r="U303" i="1"/>
  <c r="U1297" i="1"/>
  <c r="U1585" i="1"/>
  <c r="U94" i="1"/>
  <c r="U145" i="1"/>
  <c r="U1096" i="1"/>
  <c r="U527" i="1"/>
  <c r="U672" i="1"/>
  <c r="T208" i="1"/>
  <c r="T209" i="1" s="1"/>
  <c r="T210" i="1" s="1"/>
  <c r="T212" i="1"/>
  <c r="T213" i="1" s="1"/>
  <c r="T211" i="1"/>
  <c r="T166" i="1"/>
  <c r="T167" i="1" s="1"/>
  <c r="T168" i="1" s="1"/>
  <c r="U927" i="1"/>
  <c r="U288" i="1"/>
  <c r="U1327" i="1"/>
  <c r="U483" i="1"/>
  <c r="U594" i="1"/>
  <c r="U1757" i="1"/>
  <c r="U1555" i="1"/>
  <c r="T1650" i="1"/>
  <c r="T1651" i="1" s="1"/>
  <c r="T1652" i="1" s="1"/>
  <c r="T1653" i="1" s="1"/>
  <c r="U154" i="1"/>
  <c r="T199" i="1"/>
  <c r="T200" i="1" s="1"/>
  <c r="T201" i="1" s="1"/>
  <c r="U199" i="1"/>
  <c r="V199" i="1" s="1"/>
  <c r="T383" i="1"/>
  <c r="T384" i="1" s="1"/>
  <c r="U347" i="1"/>
  <c r="U118" i="1"/>
  <c r="U190" i="1"/>
  <c r="V190" i="1" s="1"/>
  <c r="U226" i="1"/>
  <c r="V226" i="1" s="1"/>
  <c r="U378" i="1"/>
  <c r="T176" i="1"/>
  <c r="T177" i="1" s="1"/>
  <c r="T175" i="1"/>
  <c r="T49" i="1"/>
  <c r="T50" i="1" s="1"/>
  <c r="T51" i="1" s="1"/>
  <c r="U49" i="1"/>
  <c r="U211" i="1"/>
  <c r="T429" i="1"/>
  <c r="T430" i="1" s="1"/>
  <c r="U443" i="1"/>
  <c r="U590" i="1"/>
  <c r="V590" i="1" s="1"/>
  <c r="U373" i="1"/>
  <c r="V373" i="1" s="1"/>
  <c r="U1759" i="1"/>
  <c r="V1759" i="1" s="1"/>
  <c r="U499" i="1"/>
  <c r="U1447" i="1"/>
  <c r="U208" i="1"/>
  <c r="V208" i="1" s="1"/>
  <c r="U320" i="1"/>
  <c r="V320" i="1" s="1"/>
  <c r="U365" i="1"/>
  <c r="U400" i="1"/>
  <c r="V400" i="1" s="1"/>
  <c r="U355" i="1"/>
  <c r="T256" i="1"/>
  <c r="T257" i="1" s="1"/>
  <c r="T258" i="1" s="1"/>
  <c r="U383" i="1"/>
  <c r="T1583" i="1"/>
  <c r="T1584" i="1" s="1"/>
  <c r="T1172" i="1"/>
  <c r="T1173" i="1" s="1"/>
  <c r="U849" i="1"/>
  <c r="U570" i="1"/>
  <c r="U205" i="1"/>
  <c r="V205" i="1" s="1"/>
  <c r="U429" i="1"/>
  <c r="V429" i="1" s="1"/>
  <c r="T1325" i="1"/>
  <c r="T1326" i="1" s="1"/>
  <c r="T399" i="1"/>
  <c r="T398" i="1"/>
  <c r="U411" i="1"/>
  <c r="V411" i="1" s="1"/>
  <c r="U337" i="1"/>
  <c r="V337" i="1" s="1"/>
  <c r="U1170" i="1"/>
  <c r="U1583" i="1"/>
  <c r="U241" i="1"/>
  <c r="T1156" i="1"/>
  <c r="T1157" i="1" s="1"/>
  <c r="U163" i="1"/>
  <c r="U1172" i="1"/>
  <c r="U904" i="1"/>
  <c r="V904" i="1" s="1"/>
  <c r="T515" i="1"/>
  <c r="T516" i="1" s="1"/>
  <c r="U181" i="1"/>
  <c r="V181" i="1" s="1"/>
  <c r="T202" i="1"/>
  <c r="T203" i="1" s="1"/>
  <c r="T204" i="1" s="1"/>
  <c r="U202" i="1"/>
  <c r="T1561" i="1"/>
  <c r="T1562" i="1" s="1"/>
  <c r="T4" i="1"/>
  <c r="T5" i="1" s="1"/>
  <c r="U1391" i="1"/>
  <c r="U1325" i="1"/>
  <c r="U398" i="1"/>
  <c r="U178" i="1"/>
  <c r="U1156" i="1"/>
  <c r="V1156" i="1" s="1"/>
  <c r="U976" i="1"/>
  <c r="U175" i="1"/>
  <c r="U515" i="1"/>
  <c r="V515" i="1" s="1"/>
  <c r="U169" i="1"/>
  <c r="U1561" i="1"/>
  <c r="V1561" i="1" s="1"/>
  <c r="U4" i="1"/>
  <c r="V4" i="1" s="1"/>
  <c r="U1339" i="1"/>
  <c r="V1339" i="1" s="1"/>
  <c r="T395" i="1"/>
  <c r="T396" i="1" s="1"/>
  <c r="U1052" i="1"/>
  <c r="U1101" i="1"/>
  <c r="V1101" i="1" s="1"/>
  <c r="U529" i="1"/>
  <c r="V529" i="1" s="1"/>
  <c r="U1459" i="1"/>
  <c r="U1710" i="1"/>
  <c r="U17" i="1"/>
  <c r="U1654" i="1"/>
  <c r="V1654" i="1" s="1"/>
  <c r="U1110" i="1"/>
  <c r="U1397" i="1"/>
  <c r="U229" i="1"/>
  <c r="V229" i="1" s="1"/>
  <c r="T933" i="1"/>
  <c r="T934" i="1" s="1"/>
  <c r="T932" i="1"/>
  <c r="T1479" i="1"/>
  <c r="T1480" i="1" s="1"/>
  <c r="U395" i="1"/>
  <c r="V395" i="1" s="1"/>
  <c r="T16" i="1"/>
  <c r="T17" i="1" s="1"/>
  <c r="T18" i="1" s="1"/>
  <c r="U16" i="1"/>
  <c r="T130" i="1"/>
  <c r="T131" i="1" s="1"/>
  <c r="T132" i="1" s="1"/>
  <c r="U130" i="1"/>
  <c r="V130" i="1" s="1"/>
  <c r="T1112" i="1"/>
  <c r="T1113" i="1" s="1"/>
  <c r="T1114" i="1" s="1"/>
  <c r="T121" i="1"/>
  <c r="T122" i="1" s="1"/>
  <c r="T123" i="1" s="1"/>
  <c r="U650" i="1"/>
  <c r="T608" i="1"/>
  <c r="T609" i="1" s="1"/>
  <c r="U238" i="1"/>
  <c r="T236" i="1"/>
  <c r="T237" i="1" s="1"/>
  <c r="T235" i="1"/>
  <c r="U235" i="1"/>
  <c r="T106" i="1"/>
  <c r="T107" i="1" s="1"/>
  <c r="T108" i="1" s="1"/>
  <c r="U106" i="1"/>
  <c r="V106" i="1" s="1"/>
  <c r="U932" i="1"/>
  <c r="V932" i="1" s="1"/>
  <c r="U1479" i="1"/>
  <c r="U326" i="1"/>
  <c r="V326" i="1" s="1"/>
  <c r="U1261" i="1"/>
  <c r="V1261" i="1" s="1"/>
  <c r="U1506" i="1"/>
  <c r="V1506" i="1" s="1"/>
  <c r="T463" i="1"/>
  <c r="T464" i="1" s="1"/>
  <c r="U608" i="1"/>
  <c r="T1199" i="1"/>
  <c r="T1200" i="1" s="1"/>
  <c r="T1201" i="1" s="1"/>
  <c r="T223" i="1"/>
  <c r="T224" i="1" s="1"/>
  <c r="T225" i="1" s="1"/>
  <c r="T286" i="1"/>
  <c r="T287" i="1" s="1"/>
  <c r="T479" i="1"/>
  <c r="T480" i="1" s="1"/>
  <c r="T421" i="1"/>
  <c r="T420" i="1"/>
  <c r="U756" i="1"/>
  <c r="V756" i="1" s="1"/>
  <c r="T1747" i="1"/>
  <c r="T1748" i="1" s="1"/>
  <c r="U852" i="1"/>
  <c r="U447" i="1"/>
  <c r="U1643" i="1"/>
  <c r="V1643" i="1" s="1"/>
  <c r="U1453" i="1"/>
  <c r="V1453" i="1" s="1"/>
  <c r="U552" i="1"/>
  <c r="U317" i="1"/>
  <c r="U463" i="1"/>
  <c r="U1199" i="1"/>
  <c r="V1199" i="1" s="1"/>
  <c r="T612" i="1"/>
  <c r="T613" i="1" s="1"/>
  <c r="U612" i="1"/>
  <c r="V612" i="1" s="1"/>
  <c r="T285" i="1"/>
  <c r="U223" i="1"/>
  <c r="U244" i="1"/>
  <c r="U1706" i="1"/>
  <c r="V1706" i="1" s="1"/>
  <c r="U256" i="1"/>
  <c r="V256" i="1" s="1"/>
  <c r="T1342" i="1"/>
  <c r="T1341" i="1"/>
  <c r="U479" i="1"/>
  <c r="U420" i="1"/>
  <c r="V420" i="1" s="1"/>
  <c r="U298" i="1"/>
  <c r="V298" i="1" s="1"/>
  <c r="U1747" i="1"/>
  <c r="U1079" i="1"/>
  <c r="U1650" i="1"/>
  <c r="V1650" i="1" s="1"/>
  <c r="U1411" i="1"/>
  <c r="U1225" i="1"/>
  <c r="U285" i="1"/>
  <c r="U675" i="1"/>
  <c r="U270" i="1"/>
  <c r="U1341" i="1"/>
  <c r="T467" i="1"/>
  <c r="T468" i="1" s="1"/>
  <c r="U1112" i="1"/>
  <c r="V1112" i="1" s="1"/>
  <c r="U100" i="1"/>
  <c r="U537" i="1"/>
  <c r="T531" i="1"/>
  <c r="T532" i="1" s="1"/>
  <c r="T363" i="1"/>
  <c r="T364" i="1" s="1"/>
  <c r="T336" i="1"/>
  <c r="T335" i="1"/>
  <c r="T451" i="1"/>
  <c r="T452" i="1" s="1"/>
  <c r="U862" i="1"/>
  <c r="T88" i="1"/>
  <c r="T89" i="1" s="1"/>
  <c r="T90" i="1" s="1"/>
  <c r="U453" i="1"/>
  <c r="U467" i="1"/>
  <c r="U662" i="1"/>
  <c r="U1064" i="1"/>
  <c r="V1064" i="1" s="1"/>
  <c r="S987" i="1"/>
  <c r="S988" i="1" s="1"/>
  <c r="S989" i="1" s="1"/>
  <c r="S990" i="1" s="1"/>
  <c r="S1001" i="1"/>
  <c r="S1002" i="1" s="1"/>
  <c r="S1003" i="1" s="1"/>
  <c r="S1004" i="1" s="1"/>
  <c r="S1005" i="1" s="1"/>
  <c r="S1006" i="1" s="1"/>
  <c r="S1007" i="1" s="1"/>
  <c r="U1007" i="1" s="1"/>
  <c r="V1007" i="1" s="1"/>
  <c r="U531" i="1"/>
  <c r="V531" i="1" s="1"/>
  <c r="U363" i="1"/>
  <c r="V363" i="1" s="1"/>
  <c r="U335" i="1"/>
  <c r="V335" i="1" s="1"/>
  <c r="U702" i="1"/>
  <c r="U451" i="1"/>
  <c r="U22" i="1"/>
  <c r="T247" i="1"/>
  <c r="T248" i="1" s="1"/>
  <c r="T249" i="1" s="1"/>
  <c r="U996" i="1"/>
  <c r="T433" i="1"/>
  <c r="T434" i="1" s="1"/>
  <c r="U88" i="1"/>
  <c r="U291" i="1"/>
  <c r="T502" i="1"/>
  <c r="T501" i="1"/>
  <c r="U413" i="1"/>
  <c r="V413" i="1" s="1"/>
  <c r="U380" i="1"/>
  <c r="V380" i="1" s="1"/>
  <c r="T510" i="1"/>
  <c r="T509" i="1"/>
  <c r="U293" i="1"/>
  <c r="V293" i="1" s="1"/>
  <c r="T1001" i="1"/>
  <c r="T1002" i="1" s="1"/>
  <c r="T1003" i="1" s="1"/>
  <c r="T1004" i="1" s="1"/>
  <c r="T1005" i="1" s="1"/>
  <c r="T1006" i="1" s="1"/>
  <c r="T1007" i="1" s="1"/>
  <c r="U1001" i="1"/>
  <c r="T987" i="1"/>
  <c r="T988" i="1" s="1"/>
  <c r="T989" i="1" s="1"/>
  <c r="T990" i="1" s="1"/>
  <c r="T1017" i="1"/>
  <c r="T1018" i="1" s="1"/>
  <c r="T1019" i="1" s="1"/>
  <c r="T1020" i="1" s="1"/>
  <c r="U795" i="1"/>
  <c r="U880" i="1"/>
  <c r="U572" i="1"/>
  <c r="U166" i="1"/>
  <c r="V166" i="1" s="1"/>
  <c r="U1526" i="1"/>
  <c r="U247" i="1"/>
  <c r="U433" i="1"/>
  <c r="V433" i="1" s="1"/>
  <c r="U485" i="1"/>
  <c r="V485" i="1" s="1"/>
  <c r="U501" i="1"/>
  <c r="V501" i="1" s="1"/>
  <c r="U509" i="1"/>
  <c r="V509" i="1" s="1"/>
  <c r="U938" i="1"/>
  <c r="V938" i="1" s="1"/>
  <c r="U566" i="1"/>
  <c r="V566" i="1" s="1"/>
  <c r="U121" i="1"/>
  <c r="V121" i="1" s="1"/>
  <c r="U1017" i="1"/>
  <c r="V1079" i="1"/>
  <c r="V1666" i="1"/>
  <c r="V276" i="1"/>
  <c r="V230" i="1"/>
  <c r="V383" i="1"/>
  <c r="V1069" i="1"/>
  <c r="V175" i="1"/>
  <c r="V431" i="1"/>
  <c r="V318" i="1"/>
  <c r="V1712" i="1"/>
  <c r="V257" i="1"/>
  <c r="V244" i="1"/>
  <c r="V124" i="1"/>
  <c r="V796" i="1"/>
  <c r="U987" i="1"/>
  <c r="V1757" i="1"/>
  <c r="V624" i="1"/>
  <c r="V317" i="1"/>
  <c r="V278" i="1"/>
  <c r="V402" i="1"/>
  <c r="V619" i="1"/>
  <c r="V331" i="1"/>
  <c r="V1063" i="1"/>
  <c r="V271" i="1"/>
  <c r="V1046" i="1"/>
  <c r="V2" i="1"/>
  <c r="V390" i="1"/>
  <c r="V365" i="1"/>
  <c r="V594" i="1"/>
  <c r="V1710" i="1"/>
  <c r="V582" i="1"/>
  <c r="V1686" i="1"/>
  <c r="V270" i="1"/>
  <c r="V1618" i="1"/>
  <c r="V115" i="1"/>
  <c r="V1697" i="1"/>
  <c r="V355" i="1"/>
  <c r="V295" i="1"/>
  <c r="V1651" i="1"/>
  <c r="V371" i="1"/>
  <c r="V347" i="1"/>
  <c r="V303" i="1"/>
  <c r="V1673" i="1"/>
  <c r="V552" i="1"/>
  <c r="V203" i="1"/>
  <c r="V369" i="1"/>
  <c r="V345" i="1"/>
  <c r="V600" i="1"/>
  <c r="V1683" i="1"/>
  <c r="V286" i="1"/>
  <c r="V264" i="1"/>
  <c r="V398" i="1"/>
  <c r="V378" i="1"/>
  <c r="V351" i="1"/>
  <c r="V341" i="1"/>
  <c r="V311" i="1"/>
  <c r="V299" i="1"/>
  <c r="V285" i="1"/>
  <c r="V1110" i="1"/>
  <c r="V367" i="1"/>
  <c r="V291" i="1"/>
  <c r="V1679" i="1"/>
  <c r="V572" i="1"/>
  <c r="V1052" i="1"/>
  <c r="V495" i="1"/>
  <c r="V1747" i="1"/>
  <c r="V608" i="1"/>
  <c r="V308" i="1"/>
  <c r="V1075" i="1"/>
  <c r="V1670" i="1"/>
  <c r="V1755" i="1"/>
  <c r="V288" i="1"/>
  <c r="V570" i="1"/>
  <c r="V1662" i="1"/>
  <c r="V260" i="1"/>
  <c r="V1039" i="1"/>
  <c r="V245" i="1"/>
  <c r="V1622" i="1"/>
  <c r="V554" i="1"/>
  <c r="V970" i="1"/>
  <c r="V176" i="1"/>
  <c r="V116" i="1"/>
  <c r="V91" i="1"/>
  <c r="V459" i="1"/>
  <c r="V1170" i="1"/>
  <c r="V662" i="1"/>
  <c r="V543" i="1"/>
  <c r="V1001" i="1"/>
  <c r="V996" i="1"/>
  <c r="V202" i="1"/>
  <c r="V187" i="1"/>
  <c r="V164" i="1"/>
  <c r="V154" i="1"/>
  <c r="V146" i="1"/>
  <c r="V1383" i="1"/>
  <c r="V89" i="1"/>
  <c r="V795" i="1"/>
  <c r="V457" i="1"/>
  <c r="V1226" i="1"/>
  <c r="V1094" i="1"/>
  <c r="V242" i="1"/>
  <c r="V173" i="1"/>
  <c r="V163" i="1"/>
  <c r="V145" i="1"/>
  <c r="V852" i="1"/>
  <c r="V88" i="1"/>
  <c r="V447" i="1"/>
  <c r="V1225" i="1"/>
  <c r="V49" i="1"/>
  <c r="V1108" i="1"/>
  <c r="V241" i="1"/>
  <c r="V1613" i="1"/>
  <c r="V227" i="1"/>
  <c r="V1594" i="1"/>
  <c r="V994" i="1"/>
  <c r="V200" i="1"/>
  <c r="V1544" i="1"/>
  <c r="V1518" i="1"/>
  <c r="V172" i="1"/>
  <c r="V933" i="1"/>
  <c r="V1397" i="1"/>
  <c r="V112" i="1"/>
  <c r="V467" i="1"/>
  <c r="V455" i="1"/>
  <c r="V28" i="1"/>
  <c r="V25" i="1"/>
  <c r="V1639" i="1"/>
  <c r="V151" i="1"/>
  <c r="V898" i="1"/>
  <c r="V483" i="1"/>
  <c r="V1355" i="1"/>
  <c r="V1297" i="1"/>
  <c r="V73" i="1"/>
  <c r="V1240" i="1"/>
  <c r="V1144" i="1"/>
  <c r="V675" i="1"/>
  <c r="V217" i="1"/>
  <c r="V965" i="1"/>
  <c r="V487" i="1"/>
  <c r="V1379" i="1"/>
  <c r="V849" i="1"/>
  <c r="V1312" i="1"/>
  <c r="V23" i="1"/>
  <c r="V1635" i="1"/>
  <c r="V238" i="1"/>
  <c r="V224" i="1"/>
  <c r="V149" i="1"/>
  <c r="V1439" i="1"/>
  <c r="V880" i="1"/>
  <c r="V864" i="1"/>
  <c r="V481" i="1"/>
  <c r="V104" i="1"/>
  <c r="V1273" i="1"/>
  <c r="V765" i="1"/>
  <c r="V445" i="1"/>
  <c r="V426" i="1"/>
  <c r="V22" i="1"/>
  <c r="V253" i="1"/>
  <c r="V223" i="1"/>
  <c r="V196" i="1"/>
  <c r="V1514" i="1"/>
  <c r="V963" i="1"/>
  <c r="V148" i="1"/>
  <c r="V133" i="1"/>
  <c r="V463" i="1"/>
  <c r="V70" i="1"/>
  <c r="V1200" i="1"/>
  <c r="V702" i="1"/>
  <c r="V672" i="1"/>
  <c r="V1627" i="1"/>
  <c r="V236" i="1"/>
  <c r="V214" i="1"/>
  <c r="V1555" i="1"/>
  <c r="V519" i="1"/>
  <c r="V1479" i="1"/>
  <c r="V1463" i="1"/>
  <c r="V1391" i="1"/>
  <c r="V479" i="1"/>
  <c r="V1367" i="1"/>
  <c r="V98" i="1"/>
  <c r="V82" i="1"/>
  <c r="V443" i="1"/>
  <c r="V20" i="1"/>
  <c r="V650" i="1"/>
  <c r="V235" i="1"/>
  <c r="V1012" i="1"/>
  <c r="V527" i="1"/>
  <c r="V182" i="1"/>
  <c r="V131" i="1"/>
  <c r="V862" i="1"/>
  <c r="V122" i="1"/>
  <c r="V101" i="1"/>
  <c r="V6" i="1"/>
  <c r="V1043" i="1"/>
  <c r="V250" i="1"/>
  <c r="V212" i="1"/>
  <c r="V537" i="1"/>
  <c r="V987" i="1"/>
  <c r="V959" i="1"/>
  <c r="V1502" i="1"/>
  <c r="V927" i="1"/>
  <c r="V100" i="1"/>
  <c r="V829" i="1"/>
  <c r="V67" i="1"/>
  <c r="V37" i="1"/>
  <c r="V648" i="1"/>
  <c r="V211" i="1"/>
  <c r="V193" i="1"/>
  <c r="V1526" i="1"/>
  <c r="V1433" i="1"/>
  <c r="V475" i="1"/>
  <c r="V1327" i="1"/>
  <c r="V95" i="1"/>
  <c r="V79" i="1"/>
  <c r="V40" i="1"/>
  <c r="V714" i="1"/>
  <c r="V17" i="1"/>
  <c r="V232" i="1"/>
  <c r="V1585" i="1"/>
  <c r="V535" i="1"/>
  <c r="V169" i="1"/>
  <c r="V1459" i="1"/>
  <c r="V503" i="1"/>
  <c r="V499" i="1"/>
  <c r="V1411" i="1"/>
  <c r="V94" i="1"/>
  <c r="V453" i="1"/>
  <c r="V439" i="1"/>
  <c r="V435" i="1"/>
  <c r="V16" i="1"/>
  <c r="V1113" i="1"/>
  <c r="V247" i="1"/>
  <c r="V1017" i="1"/>
  <c r="V1538" i="1"/>
  <c r="V191" i="1"/>
  <c r="V957" i="1"/>
  <c r="V178" i="1"/>
  <c r="V118" i="1"/>
  <c r="V1341" i="1"/>
  <c r="V1325" i="1"/>
  <c r="V1210" i="1"/>
  <c r="V1172" i="1"/>
  <c r="V1097" i="1"/>
  <c r="V1583" i="1"/>
  <c r="V976" i="1"/>
  <c r="V157" i="1"/>
  <c r="V1447" i="1"/>
  <c r="V1408" i="1"/>
  <c r="V451" i="1"/>
  <c r="V61" i="1"/>
  <c r="V1209" i="1"/>
  <c r="V1096" i="1"/>
  <c r="U480" i="1" l="1"/>
  <c r="V480" i="1" s="1"/>
  <c r="U421" i="1"/>
  <c r="V421" i="1" s="1"/>
  <c r="U1157" i="1"/>
  <c r="V1157" i="1" s="1"/>
  <c r="U1655" i="1"/>
  <c r="V1655" i="1" s="1"/>
  <c r="U1227" i="1"/>
  <c r="V1227" i="1" s="1"/>
  <c r="U1480" i="1"/>
  <c r="V1480" i="1" s="1"/>
  <c r="U434" i="1"/>
  <c r="V434" i="1" s="1"/>
  <c r="U476" i="1"/>
  <c r="V476" i="1" s="1"/>
  <c r="U1740" i="1"/>
  <c r="V1740" i="1" s="1"/>
  <c r="U427" i="1"/>
  <c r="V427" i="1" s="1"/>
  <c r="U150" i="1"/>
  <c r="V150" i="1" s="1"/>
  <c r="U442" i="1"/>
  <c r="V442" i="1" s="1"/>
  <c r="U156" i="1"/>
  <c r="V156" i="1" s="1"/>
  <c r="U506" i="1"/>
  <c r="V506" i="1" s="1"/>
  <c r="U336" i="1"/>
  <c r="V336" i="1" s="1"/>
  <c r="U403" i="1"/>
  <c r="V403" i="1" s="1"/>
  <c r="U1748" i="1"/>
  <c r="V1748" i="1" s="1"/>
  <c r="U1605" i="1"/>
  <c r="V1605" i="1" s="1"/>
  <c r="U237" i="1"/>
  <c r="V237" i="1" s="1"/>
  <c r="U231" i="1"/>
  <c r="V231" i="1" s="1"/>
  <c r="U290" i="1"/>
  <c r="V290" i="1" s="1"/>
  <c r="U625" i="1"/>
  <c r="V625" i="1" s="1"/>
  <c r="U90" i="1"/>
  <c r="V90" i="1" s="1"/>
  <c r="U266" i="1"/>
  <c r="V266" i="1" s="1"/>
  <c r="U468" i="1"/>
  <c r="V468" i="1" s="1"/>
  <c r="U1328" i="1"/>
  <c r="V1328" i="1" s="1"/>
  <c r="U111" i="1"/>
  <c r="V111" i="1" s="1"/>
  <c r="U1640" i="1"/>
  <c r="V1640" i="1" s="1"/>
  <c r="U21" i="1"/>
  <c r="V21" i="1" s="1"/>
  <c r="U287" i="1"/>
  <c r="V287" i="1" s="1"/>
  <c r="U1752" i="1"/>
  <c r="V1752" i="1" s="1"/>
  <c r="U204" i="1"/>
  <c r="V204" i="1" s="1"/>
  <c r="U177" i="1"/>
  <c r="V177" i="1" s="1"/>
  <c r="U484" i="1"/>
  <c r="V484" i="1" s="1"/>
  <c r="U609" i="1"/>
  <c r="V609" i="1" s="1"/>
  <c r="U502" i="1"/>
  <c r="V502" i="1" s="1"/>
  <c r="U510" i="1"/>
  <c r="V510" i="1" s="1"/>
  <c r="U168" i="1"/>
  <c r="V168" i="1" s="1"/>
  <c r="U1342" i="1"/>
  <c r="V1342" i="1" s="1"/>
  <c r="U1691" i="1"/>
  <c r="V1691" i="1" s="1"/>
  <c r="U332" i="1"/>
  <c r="V332" i="1" s="1"/>
  <c r="U399" i="1"/>
  <c r="V399" i="1" s="1"/>
  <c r="U1614" i="1"/>
  <c r="V1614" i="1" s="1"/>
  <c r="U174" i="1"/>
  <c r="V174" i="1" s="1"/>
  <c r="U356" i="1"/>
  <c r="V356" i="1" s="1"/>
  <c r="U1756" i="1"/>
  <c r="V1756" i="1" s="1"/>
  <c r="U261" i="1"/>
  <c r="V261" i="1" s="1"/>
  <c r="U323" i="1"/>
  <c r="V323" i="1" s="1"/>
  <c r="U344" i="1"/>
  <c r="V344" i="1" s="1"/>
  <c r="U532" i="1"/>
  <c r="V532" i="1" s="1"/>
  <c r="U1653" i="1"/>
  <c r="V1653" i="1" s="1"/>
  <c r="U69" i="1"/>
  <c r="V69" i="1" s="1"/>
  <c r="U384" i="1"/>
  <c r="V384" i="1" s="1"/>
  <c r="U213" i="1"/>
  <c r="V213" i="1" s="1"/>
  <c r="U258" i="1"/>
  <c r="V258" i="1" s="1"/>
  <c r="U364" i="1"/>
  <c r="V364" i="1" s="1"/>
  <c r="U1549" i="1"/>
  <c r="V1549" i="1" s="1"/>
  <c r="U990" i="1"/>
  <c r="V990" i="1" s="1"/>
  <c r="U934" i="1"/>
  <c r="V934" i="1" s="1"/>
  <c r="U246" i="1"/>
  <c r="V246" i="1" s="1"/>
  <c r="U553" i="1"/>
  <c r="V553" i="1" s="1"/>
  <c r="U277" i="1"/>
  <c r="V277" i="1" s="1"/>
  <c r="U613" i="1"/>
  <c r="V613" i="1" s="1"/>
  <c r="U180" i="1"/>
  <c r="V180" i="1" s="1"/>
  <c r="U192" i="1"/>
  <c r="V192" i="1" s="1"/>
  <c r="U1020" i="1"/>
  <c r="V1020" i="1" s="1"/>
  <c r="U1298" i="1"/>
  <c r="V1298" i="1" s="1"/>
  <c r="U123" i="1"/>
  <c r="V123" i="1" s="1"/>
  <c r="U51" i="1"/>
  <c r="V51" i="1" s="1"/>
  <c r="U183" i="1"/>
  <c r="V183" i="1" s="1"/>
  <c r="U207" i="1"/>
  <c r="V207" i="1" s="1"/>
  <c r="U601" i="1"/>
  <c r="V601" i="1" s="1"/>
  <c r="U396" i="1"/>
  <c r="V396" i="1" s="1"/>
  <c r="U928" i="1"/>
  <c r="V928" i="1" s="1"/>
  <c r="U1114" i="1"/>
  <c r="V1114" i="1" s="1"/>
  <c r="U243" i="1"/>
  <c r="V243" i="1" s="1"/>
  <c r="U201" i="1"/>
  <c r="V201" i="1" s="1"/>
  <c r="U1562" i="1"/>
  <c r="V1562" i="1" s="1"/>
  <c r="U300" i="1"/>
  <c r="V300" i="1" s="1"/>
  <c r="U99" i="1"/>
  <c r="V99" i="1" s="1"/>
  <c r="U249" i="1"/>
  <c r="V249" i="1" s="1"/>
  <c r="U1646" i="1"/>
  <c r="V1646" i="1" s="1"/>
  <c r="U1684" i="1"/>
  <c r="V1684" i="1" s="1"/>
  <c r="U458" i="1"/>
  <c r="V458" i="1" s="1"/>
  <c r="U1671" i="1"/>
  <c r="V1671" i="1" s="1"/>
  <c r="U348" i="1"/>
  <c r="V348" i="1" s="1"/>
  <c r="U452" i="1"/>
  <c r="V452" i="1" s="1"/>
  <c r="U210" i="1"/>
  <c r="V210" i="1" s="1"/>
  <c r="U18" i="1"/>
  <c r="V18" i="1" s="1"/>
  <c r="U464" i="1"/>
  <c r="V464" i="1" s="1"/>
  <c r="U132" i="1"/>
  <c r="V132" i="1" s="1"/>
  <c r="U117" i="1"/>
  <c r="V117" i="1" s="1"/>
  <c r="U105" i="1"/>
  <c r="V105" i="1" s="1"/>
  <c r="U1173" i="1"/>
  <c r="V1173" i="1" s="1"/>
  <c r="U1584" i="1"/>
  <c r="V1584" i="1" s="1"/>
  <c r="U1737" i="1"/>
  <c r="V1737" i="1" s="1"/>
  <c r="U225" i="1"/>
  <c r="V225" i="1" s="1"/>
  <c r="U1326" i="1"/>
  <c r="V1326" i="1" s="1"/>
  <c r="U516" i="1"/>
  <c r="V516" i="1" s="1"/>
  <c r="U1201" i="1"/>
  <c r="V1201" i="1" s="1"/>
  <c r="U430" i="1"/>
  <c r="V430" i="1" s="1"/>
  <c r="U368" i="1"/>
  <c r="V368" i="1" s="1"/>
  <c r="U5" i="1"/>
  <c r="V5" i="1" s="1"/>
  <c r="U1098" i="1"/>
  <c r="V1098" i="1" s="1"/>
  <c r="U108" i="1"/>
  <c r="V108" i="1" s="1"/>
  <c r="T145" i="1"/>
  <c r="T146" i="1"/>
  <c r="T147" i="1"/>
  <c r="U147" i="1"/>
  <c r="V147" i="1"/>
  <c r="T1170" i="1"/>
  <c r="T1171" i="1" s="1"/>
  <c r="U1171" i="1" s="1"/>
  <c r="V1171" i="1" s="1"/>
  <c r="T527" i="1"/>
  <c r="T528" i="1"/>
  <c r="U528" i="1"/>
  <c r="T880" i="1"/>
  <c r="T881" i="1"/>
  <c r="T882" i="1"/>
  <c r="U882" i="1" s="1"/>
  <c r="V882" i="1" s="1"/>
  <c r="T112" i="1"/>
  <c r="T113" i="1" s="1"/>
  <c r="T114" i="1" s="1"/>
  <c r="U114" i="1" s="1"/>
  <c r="V114" i="1" s="1"/>
  <c r="T588" i="1"/>
  <c r="T589" i="1"/>
  <c r="U589" i="1" s="1"/>
  <c r="V589" i="1" s="1"/>
  <c r="T566" i="1"/>
  <c r="T567" i="1"/>
  <c r="U567" i="1"/>
  <c r="T1142" i="1"/>
  <c r="T1143" i="1"/>
  <c r="U1143" i="1"/>
  <c r="T163" i="1"/>
  <c r="T164" i="1" s="1"/>
  <c r="T165" i="1" s="1"/>
  <c r="U165" i="1" s="1"/>
  <c r="V165" i="1" s="1"/>
  <c r="T998" i="1"/>
  <c r="T999" i="1"/>
  <c r="T1000" i="1"/>
  <c r="U1000" i="1"/>
  <c r="V1000" i="1"/>
  <c r="T852" i="1"/>
  <c r="T853" i="1" s="1"/>
  <c r="T854" i="1" s="1"/>
  <c r="U854" i="1" s="1"/>
  <c r="V854" i="1" s="1"/>
  <c r="T1064" i="1"/>
  <c r="T1065" i="1"/>
  <c r="U1065" i="1"/>
  <c r="V1065" i="1" s="1"/>
  <c r="T326" i="1"/>
  <c r="T327" i="1"/>
  <c r="T328" i="1" s="1"/>
  <c r="U328" i="1" s="1"/>
  <c r="V328" i="1" s="1"/>
  <c r="T118" i="1"/>
  <c r="T119" i="1"/>
  <c r="T120" i="1"/>
  <c r="U120" i="1" s="1"/>
  <c r="V120" i="1" s="1"/>
  <c r="T756" i="1"/>
  <c r="T757" i="1"/>
  <c r="T758" i="1" s="1"/>
  <c r="U758" i="1" s="1"/>
  <c r="V758" i="1" s="1"/>
  <c r="T702" i="1"/>
  <c r="T703" i="1" s="1"/>
  <c r="T704" i="1" s="1"/>
  <c r="U704" i="1" s="1"/>
  <c r="V704" i="1" s="1"/>
  <c r="T453" i="1"/>
  <c r="T454" i="1"/>
  <c r="U454" i="1"/>
  <c r="V454" i="1" s="1"/>
  <c r="T1391" i="1"/>
  <c r="T1392" i="1"/>
  <c r="T1393" i="1" s="1"/>
  <c r="U1393" i="1" s="1"/>
  <c r="V1393" i="1" s="1"/>
  <c r="T413" i="1"/>
  <c r="T414" i="1" s="1"/>
  <c r="U414" i="1" s="1"/>
  <c r="V414" i="1" s="1"/>
  <c r="T1397" i="1"/>
  <c r="T1398" i="1"/>
  <c r="U1398" i="1" s="1"/>
  <c r="V1398" i="1" s="1"/>
  <c r="T662" i="1"/>
  <c r="T663" i="1" s="1"/>
  <c r="T664" i="1" s="1"/>
  <c r="U664" i="1" s="1"/>
  <c r="V664" i="1" s="1"/>
  <c r="T1459" i="1"/>
  <c r="T1460" i="1"/>
  <c r="U1460" i="1" s="1"/>
  <c r="V1460" i="1" s="1"/>
  <c r="T485" i="1"/>
  <c r="T486" i="1"/>
  <c r="U486" i="1"/>
  <c r="T238" i="1"/>
  <c r="T239" i="1"/>
  <c r="T240" i="1"/>
  <c r="U240" i="1"/>
  <c r="V240" i="1" s="1"/>
  <c r="T1706" i="1"/>
  <c r="T1707" i="1" s="1"/>
  <c r="T1708" i="1" s="1"/>
  <c r="T1709" i="1" s="1"/>
  <c r="U1709" i="1" s="1"/>
  <c r="V1709" i="1" s="1"/>
  <c r="T570" i="1"/>
  <c r="T571" i="1"/>
  <c r="U571" i="1" s="1"/>
  <c r="V571" i="1" s="1"/>
  <c r="T1550" i="1"/>
  <c r="T1551" i="1"/>
  <c r="U1551" i="1"/>
  <c r="T1555" i="1"/>
  <c r="T1556" i="1"/>
  <c r="T1557" i="1"/>
  <c r="T1558" i="1"/>
  <c r="T1559" i="1" s="1"/>
  <c r="T1560" i="1" s="1"/>
  <c r="U1560" i="1" s="1"/>
  <c r="V1560" i="1" s="1"/>
  <c r="T1506" i="1"/>
  <c r="T1507" i="1"/>
  <c r="U1507" i="1"/>
  <c r="V1507" i="1" s="1"/>
  <c r="T447" i="1"/>
  <c r="T448" i="1"/>
  <c r="U448" i="1" s="1"/>
  <c r="V448" i="1" s="1"/>
  <c r="T1339" i="1"/>
  <c r="T1340" i="1"/>
  <c r="U1340" i="1"/>
  <c r="T976" i="1"/>
  <c r="T977" i="1"/>
  <c r="U977" i="1"/>
  <c r="V977" i="1" s="1"/>
  <c r="T594" i="1"/>
  <c r="T595" i="1" s="1"/>
  <c r="U595" i="1" s="1"/>
  <c r="V595" i="1" s="1"/>
  <c r="T169" i="1"/>
  <c r="T170" i="1"/>
  <c r="T171" i="1"/>
  <c r="U171" i="1"/>
  <c r="V171" i="1"/>
  <c r="T1079" i="1"/>
  <c r="T1080" i="1" s="1"/>
  <c r="U1080" i="1" s="1"/>
  <c r="V1080" i="1" s="1"/>
  <c r="T291" i="1"/>
  <c r="T292" i="1"/>
  <c r="U292" i="1" s="1"/>
  <c r="V292" i="1" s="1"/>
  <c r="T1110" i="1"/>
  <c r="T1111" i="1"/>
  <c r="U1111" i="1"/>
  <c r="V1111" i="1" s="1"/>
  <c r="T849" i="1"/>
  <c r="T850" i="1"/>
  <c r="T851" i="1" s="1"/>
  <c r="U851" i="1" s="1"/>
  <c r="V851" i="1" s="1"/>
  <c r="T537" i="1"/>
  <c r="T538" i="1"/>
  <c r="U538" i="1"/>
  <c r="V538" i="1" s="1"/>
  <c r="T963" i="1"/>
  <c r="T964" i="1" s="1"/>
  <c r="U964" i="1" s="1"/>
  <c r="V964" i="1" s="1"/>
  <c r="T1633" i="1"/>
  <c r="T1634" i="1"/>
  <c r="U1634" i="1" s="1"/>
  <c r="V1634" i="1" s="1"/>
  <c r="T313" i="1"/>
  <c r="T314" i="1"/>
  <c r="U314" i="1" s="1"/>
  <c r="V314" i="1" s="1"/>
  <c r="T317" i="1"/>
  <c r="T318" i="1" s="1"/>
  <c r="T319" i="1" s="1"/>
  <c r="U319" i="1" s="1"/>
  <c r="V319" i="1" s="1"/>
  <c r="T22" i="1"/>
  <c r="T23" i="1"/>
  <c r="T24" i="1" s="1"/>
  <c r="U24" i="1" s="1"/>
  <c r="V24" i="1" s="1"/>
  <c r="T558" i="1"/>
  <c r="T559" i="1"/>
  <c r="U559" i="1" s="1"/>
  <c r="V559" i="1" s="1"/>
  <c r="T1710" i="1"/>
  <c r="T1711" i="1"/>
  <c r="U1711" i="1"/>
  <c r="V1711" i="1" s="1"/>
  <c r="T970" i="1"/>
  <c r="T971" i="1"/>
  <c r="T972" i="1" s="1"/>
  <c r="U972" i="1" s="1"/>
  <c r="V972" i="1" s="1"/>
  <c r="T1101" i="1"/>
  <c r="T1102" i="1"/>
  <c r="T1103" i="1"/>
  <c r="U1103" i="1" s="1"/>
  <c r="V1103" i="1" s="1"/>
  <c r="T94" i="1"/>
  <c r="T95" i="1"/>
  <c r="T96" i="1" s="1"/>
  <c r="U96" i="1" s="1"/>
  <c r="V96" i="1" s="1"/>
  <c r="T1585" i="1"/>
  <c r="T1586" i="1"/>
  <c r="U1586" i="1" s="1"/>
  <c r="V1586" i="1" s="1"/>
  <c r="T1757" i="1"/>
  <c r="T1758" i="1" s="1"/>
  <c r="U1758" i="1" s="1"/>
  <c r="V1758" i="1" s="1"/>
  <c r="T675" i="1"/>
  <c r="T676" i="1"/>
  <c r="T677" i="1"/>
  <c r="U677" i="1"/>
  <c r="V677" i="1" s="1"/>
  <c r="T1261" i="1"/>
  <c r="T1262" i="1" s="1"/>
  <c r="U1262" i="1" s="1"/>
  <c r="V1262" i="1" s="1"/>
  <c r="T572" i="1"/>
  <c r="T573" i="1"/>
  <c r="U573" i="1"/>
  <c r="T1526" i="1"/>
  <c r="T1527" i="1" s="1"/>
  <c r="U1527" i="1" s="1"/>
  <c r="V1527" i="1" s="1"/>
  <c r="T303" i="1"/>
  <c r="T304" i="1" s="1"/>
  <c r="U304" i="1" s="1"/>
  <c r="V304" i="1" s="1"/>
  <c r="T1635" i="1"/>
  <c r="T1636" i="1"/>
  <c r="T1637" i="1"/>
  <c r="T1638" i="1" s="1"/>
  <c r="U1638" i="1" s="1"/>
  <c r="V1638" i="1" s="1"/>
  <c r="T373" i="1"/>
  <c r="T374" i="1"/>
  <c r="U374" i="1" s="1"/>
  <c r="V374" i="1" s="1"/>
  <c r="T650" i="1"/>
  <c r="T651" i="1"/>
  <c r="U651" i="1"/>
  <c r="V651" i="1" s="1"/>
  <c r="T921" i="1"/>
  <c r="T922" i="1" s="1"/>
  <c r="T923" i="1" s="1"/>
  <c r="U923" i="1" s="1"/>
  <c r="V923" i="1" s="1"/>
  <c r="T100" i="1"/>
  <c r="T101" i="1"/>
  <c r="T102" i="1" s="1"/>
  <c r="U102" i="1" s="1"/>
  <c r="V102" i="1" s="1"/>
  <c r="T862" i="1"/>
  <c r="T863" i="1"/>
  <c r="U863" i="1" s="1"/>
  <c r="V863" i="1" s="1"/>
  <c r="T672" i="1"/>
  <c r="T673" i="1"/>
  <c r="T674" i="1"/>
  <c r="U674" i="1" s="1"/>
  <c r="V674" i="1" s="1"/>
  <c r="T293" i="1"/>
  <c r="T294" i="1" s="1"/>
  <c r="U294" i="1" s="1"/>
  <c r="V294" i="1" s="1"/>
  <c r="T270" i="1"/>
  <c r="T271" i="1"/>
  <c r="T272" i="1"/>
  <c r="U272" i="1"/>
  <c r="V272" i="1" s="1"/>
  <c r="T1453" i="1"/>
  <c r="T1454" i="1" s="1"/>
  <c r="T1455" i="1" s="1"/>
  <c r="T1456" i="1" s="1"/>
  <c r="T1457" i="1" s="1"/>
  <c r="T1458" i="1" s="1"/>
  <c r="U1458" i="1" s="1"/>
  <c r="V1458" i="1" s="1"/>
  <c r="T1411" i="1"/>
  <c r="T1412" i="1"/>
  <c r="U1412" i="1" s="1"/>
  <c r="V1412" i="1" s="1"/>
  <c r="T904" i="1"/>
  <c r="T905" i="1"/>
  <c r="U905" i="1"/>
  <c r="V905" i="1" s="1"/>
  <c r="T795" i="1"/>
  <c r="T796" i="1"/>
  <c r="T797" i="1" s="1"/>
  <c r="U797" i="1" s="1"/>
  <c r="V797" i="1" s="1"/>
  <c r="V567" i="1"/>
  <c r="V528" i="1"/>
  <c r="V1551" i="1"/>
  <c r="T774" i="1"/>
  <c r="T775" i="1"/>
  <c r="T776" i="1"/>
  <c r="U776" i="1"/>
  <c r="V776" i="1"/>
  <c r="T973" i="1"/>
  <c r="T974" i="1"/>
  <c r="T975" i="1" s="1"/>
  <c r="U975" i="1" s="1"/>
  <c r="V975" i="1" s="1"/>
  <c r="T380" i="1"/>
  <c r="T381" i="1"/>
  <c r="U381" i="1" s="1"/>
  <c r="V381" i="1" s="1"/>
  <c r="T823" i="1"/>
  <c r="T824" i="1" s="1"/>
  <c r="T825" i="1" s="1"/>
  <c r="U825" i="1" s="1"/>
  <c r="V825" i="1" s="1"/>
  <c r="V486" i="1"/>
  <c r="T431" i="1"/>
  <c r="T432" i="1" s="1"/>
  <c r="U432" i="1" s="1"/>
  <c r="V432" i="1" s="1"/>
  <c r="T1185" i="1"/>
  <c r="T1186" i="1" s="1"/>
  <c r="T1187" i="1" s="1"/>
  <c r="U1187" i="1" s="1"/>
  <c r="V1187" i="1" s="1"/>
  <c r="V1143" i="1"/>
  <c r="T892" i="1"/>
  <c r="T893" i="1"/>
  <c r="T894" i="1"/>
  <c r="U894" i="1"/>
  <c r="V894" i="1" s="1"/>
  <c r="V1340" i="1"/>
  <c r="T951" i="1"/>
  <c r="T952" i="1" s="1"/>
  <c r="T953" i="1" s="1"/>
  <c r="U953" i="1" s="1"/>
  <c r="V953" i="1" s="1"/>
  <c r="V573" i="1"/>
  <c r="T1641" i="1"/>
  <c r="T1642" i="1"/>
  <c r="U1642" i="1" s="1"/>
  <c r="V1642" i="1" s="1"/>
  <c r="S1697" i="1"/>
  <c r="S1698" i="1" s="1"/>
  <c r="U1698" i="1" s="1"/>
  <c r="V1698" i="1" s="1"/>
  <c r="T855" i="1"/>
  <c r="T856" i="1"/>
  <c r="T857" i="1"/>
  <c r="T1540" i="1"/>
  <c r="T1541" i="1" s="1"/>
  <c r="T1542" i="1" s="1"/>
  <c r="T1030" i="1"/>
  <c r="T1031" i="1"/>
  <c r="T1032" i="1" s="1"/>
  <c r="S832" i="1"/>
  <c r="S833" i="1" s="1"/>
  <c r="S834" i="1" s="1"/>
  <c r="U834" i="1" s="1"/>
  <c r="V834" i="1" s="1"/>
  <c r="S991" i="1"/>
  <c r="S992" i="1"/>
  <c r="S993" i="1" s="1"/>
  <c r="U991" i="1"/>
  <c r="V991" i="1" s="1"/>
  <c r="S1566" i="1"/>
  <c r="S1567" i="1" s="1"/>
  <c r="S1568" i="1" s="1"/>
  <c r="S1569" i="1" s="1"/>
  <c r="S1570" i="1" s="1"/>
  <c r="S1571" i="1" s="1"/>
  <c r="S946" i="1"/>
  <c r="S947" i="1" s="1"/>
  <c r="U947" i="1" s="1"/>
  <c r="V947" i="1" s="1"/>
  <c r="T711" i="1"/>
  <c r="T712" i="1"/>
  <c r="T713" i="1" s="1"/>
  <c r="T658" i="1"/>
  <c r="T659" i="1"/>
  <c r="T660" i="1"/>
  <c r="S708" i="1"/>
  <c r="S709" i="1" s="1"/>
  <c r="S710" i="1" s="1"/>
  <c r="T1008" i="1"/>
  <c r="T1009" i="1"/>
  <c r="T1010" i="1" s="1"/>
  <c r="S911" i="1"/>
  <c r="S912" i="1" s="1"/>
  <c r="S913" i="1" s="1"/>
  <c r="T1717" i="1"/>
  <c r="T1718" i="1" s="1"/>
  <c r="T1719" i="1" s="1"/>
  <c r="T1720" i="1" s="1"/>
  <c r="S1127" i="1"/>
  <c r="S1128" i="1"/>
  <c r="T1127" i="1"/>
  <c r="T1128" i="1"/>
  <c r="T846" i="1"/>
  <c r="T847" i="1" s="1"/>
  <c r="T848" i="1" s="1"/>
  <c r="T684" i="1"/>
  <c r="T685" i="1"/>
  <c r="T686" i="1"/>
  <c r="S1294" i="1"/>
  <c r="S1295" i="1" s="1"/>
  <c r="S1296" i="1" s="1"/>
  <c r="U1296" i="1" s="1"/>
  <c r="V1296" i="1" s="1"/>
  <c r="S684" i="1"/>
  <c r="S685" i="1" s="1"/>
  <c r="S686" i="1" s="1"/>
  <c r="U686" i="1" s="1"/>
  <c r="V686" i="1" s="1"/>
  <c r="S759" i="1"/>
  <c r="S760" i="1" s="1"/>
  <c r="S761" i="1" s="1"/>
  <c r="S690" i="1"/>
  <c r="S691" i="1" s="1"/>
  <c r="S692" i="1" s="1"/>
  <c r="S1532" i="1"/>
  <c r="S1533" i="1" s="1"/>
  <c r="S1534" i="1" s="1"/>
  <c r="S1535" i="1" s="1"/>
  <c r="S1536" i="1" s="1"/>
  <c r="S1537" i="1" s="1"/>
  <c r="S1516" i="1"/>
  <c r="S1517" i="1" s="1"/>
  <c r="S648" i="1"/>
  <c r="S649" i="1"/>
  <c r="U649" i="1" s="1"/>
  <c r="V649" i="1" s="1"/>
  <c r="S1263" i="1"/>
  <c r="S1264" i="1" s="1"/>
  <c r="S1265" i="1" s="1"/>
  <c r="S1266" i="1" s="1"/>
  <c r="S1267" i="1" s="1"/>
  <c r="S1268" i="1" s="1"/>
  <c r="S1269" i="1" s="1"/>
  <c r="S1270" i="1" s="1"/>
  <c r="S1271" i="1" s="1"/>
  <c r="S1272" i="1" s="1"/>
  <c r="S1129" i="1"/>
  <c r="S1130" i="1" s="1"/>
  <c r="S1131" i="1" s="1"/>
  <c r="S1083" i="1"/>
  <c r="S1084" i="1" s="1"/>
  <c r="U1084" i="1" s="1"/>
  <c r="V1084" i="1" s="1"/>
  <c r="T708" i="1"/>
  <c r="T709" i="1" s="1"/>
  <c r="T710" i="1" s="1"/>
  <c r="S1371" i="1"/>
  <c r="S1372" i="1" s="1"/>
  <c r="S1373" i="1" s="1"/>
  <c r="S1374" i="1" s="1"/>
  <c r="S1375" i="1" s="1"/>
  <c r="S1376" i="1" s="1"/>
  <c r="S1377" i="1" s="1"/>
  <c r="S1378" i="1" s="1"/>
  <c r="S1606" i="1"/>
  <c r="S1607" i="1" s="1"/>
  <c r="U1606" i="1"/>
  <c r="V1606" i="1" s="1"/>
  <c r="S1073" i="1"/>
  <c r="S1074" i="1" s="1"/>
  <c r="U1074" i="1" s="1"/>
  <c r="V1074" i="1" s="1"/>
  <c r="T1577" i="1"/>
  <c r="T1578" i="1" s="1"/>
  <c r="T1579" i="1" s="1"/>
  <c r="T1580" i="1" s="1"/>
  <c r="T1581" i="1" s="1"/>
  <c r="T1582" i="1" s="1"/>
  <c r="T1175" i="1"/>
  <c r="T1176" i="1"/>
  <c r="T1177" i="1"/>
  <c r="T1178" i="1" s="1"/>
  <c r="T1179" i="1" s="1"/>
  <c r="T1180" i="1" s="1"/>
  <c r="T1520" i="1"/>
  <c r="T1521" i="1"/>
  <c r="T1522" i="1" s="1"/>
  <c r="T1523" i="1" s="1"/>
  <c r="T1524" i="1" s="1"/>
  <c r="T1525" i="1" s="1"/>
  <c r="S1666" i="1"/>
  <c r="S1667" i="1" s="1"/>
  <c r="S1668" i="1" s="1"/>
  <c r="S1669" i="1" s="1"/>
  <c r="U1669" i="1" s="1"/>
  <c r="V1669" i="1" s="1"/>
  <c r="S1043" i="1"/>
  <c r="S1044" i="1" s="1"/>
  <c r="S1045" i="1" s="1"/>
  <c r="U1045" i="1" s="1"/>
  <c r="V1045" i="1" s="1"/>
  <c r="T889" i="1"/>
  <c r="T890" i="1"/>
  <c r="T891" i="1" s="1"/>
  <c r="T771" i="1"/>
  <c r="T772" i="1" s="1"/>
  <c r="T773" i="1" s="1"/>
  <c r="T1263" i="1"/>
  <c r="T1264" i="1"/>
  <c r="T1265" i="1" s="1"/>
  <c r="T1266" i="1" s="1"/>
  <c r="T1267" i="1" s="1"/>
  <c r="T1268" i="1" s="1"/>
  <c r="T1269" i="1" s="1"/>
  <c r="T1270" i="1" s="1"/>
  <c r="T1271" i="1" s="1"/>
  <c r="T1272" i="1" s="1"/>
  <c r="T944" i="1"/>
  <c r="T945" i="1"/>
  <c r="U945" i="1"/>
  <c r="V945" i="1" s="1"/>
  <c r="S1717" i="1"/>
  <c r="S1718" i="1" s="1"/>
  <c r="S1719" i="1" s="1"/>
  <c r="S1720" i="1" s="1"/>
  <c r="U1720" i="1" s="1"/>
  <c r="V1720" i="1" s="1"/>
  <c r="U1717" i="1"/>
  <c r="V1717" i="1" s="1"/>
  <c r="S1228" i="1"/>
  <c r="S1229" i="1" s="1"/>
  <c r="U1229" i="1" s="1"/>
  <c r="V1229" i="1" s="1"/>
  <c r="U1228" i="1"/>
  <c r="V1228" i="1"/>
  <c r="S717" i="1"/>
  <c r="S718" i="1" s="1"/>
  <c r="S719" i="1" s="1"/>
  <c r="U719" i="1" s="1"/>
  <c r="V719" i="1" s="1"/>
  <c r="U717" i="1"/>
  <c r="V717" i="1" s="1"/>
  <c r="S1405" i="1"/>
  <c r="S1406" i="1" s="1"/>
  <c r="S1407" i="1" s="1"/>
  <c r="U1407" i="1" s="1"/>
  <c r="V1407" i="1" s="1"/>
  <c r="U1405" i="1"/>
  <c r="V1405" i="1" s="1"/>
  <c r="S835" i="1"/>
  <c r="S836" i="1" s="1"/>
  <c r="S837" i="1" s="1"/>
  <c r="U837" i="1" s="1"/>
  <c r="V837" i="1" s="1"/>
  <c r="U835" i="1"/>
  <c r="V835" i="1" s="1"/>
  <c r="S1181" i="1"/>
  <c r="S1182" i="1" s="1"/>
  <c r="S1183" i="1" s="1"/>
  <c r="S1184" i="1" s="1"/>
  <c r="S1497" i="1"/>
  <c r="S1498" i="1"/>
  <c r="S1499" i="1"/>
  <c r="S1500" i="1" s="1"/>
  <c r="S1501" i="1" s="1"/>
  <c r="U1073" i="1"/>
  <c r="V1073" i="1" s="1"/>
  <c r="T1566" i="1"/>
  <c r="T1567" i="1"/>
  <c r="T1568" i="1" s="1"/>
  <c r="T1569" i="1" s="1"/>
  <c r="T1570" i="1" s="1"/>
  <c r="T1571" i="1" s="1"/>
  <c r="S965" i="1"/>
  <c r="S966" i="1" s="1"/>
  <c r="U966" i="1" s="1"/>
  <c r="V966" i="1" s="1"/>
  <c r="S780" i="1"/>
  <c r="S781" i="1" s="1"/>
  <c r="S782" i="1" s="1"/>
  <c r="U782" i="1" s="1"/>
  <c r="V782" i="1" s="1"/>
  <c r="U780" i="1"/>
  <c r="V780" i="1" s="1"/>
  <c r="T786" i="1"/>
  <c r="T787" i="1" s="1"/>
  <c r="T788" i="1" s="1"/>
  <c r="T984" i="1"/>
  <c r="T985" i="1"/>
  <c r="S1693" i="1"/>
  <c r="S1694" i="1" s="1"/>
  <c r="S1695" i="1" s="1"/>
  <c r="S1696" i="1" s="1"/>
  <c r="U1693" i="1"/>
  <c r="V1693" i="1" s="1"/>
  <c r="T1481" i="1"/>
  <c r="T1482" i="1" s="1"/>
  <c r="T1483" i="1" s="1"/>
  <c r="T1484" i="1" s="1"/>
  <c r="T1485" i="1" s="1"/>
  <c r="T1486" i="1" s="1"/>
  <c r="T1487" i="1" s="1"/>
  <c r="T1488" i="1" s="1"/>
  <c r="T1132" i="1"/>
  <c r="T1133" i="1"/>
  <c r="T1134" i="1"/>
  <c r="T1135" i="1" s="1"/>
  <c r="T1136" i="1" s="1"/>
  <c r="T1137" i="1" s="1"/>
  <c r="T1138" i="1" s="1"/>
  <c r="T1139" i="1" s="1"/>
  <c r="T1140" i="1" s="1"/>
  <c r="T1141" i="1" s="1"/>
  <c r="T792" i="1"/>
  <c r="T793" i="1"/>
  <c r="T794" i="1"/>
  <c r="T1129" i="1"/>
  <c r="T1130" i="1"/>
  <c r="T1131" i="1" s="1"/>
  <c r="U944" i="1"/>
  <c r="V944" i="1" s="1"/>
  <c r="S1189" i="1"/>
  <c r="S1190" i="1" s="1"/>
  <c r="S1191" i="1" s="1"/>
  <c r="S1192" i="1" s="1"/>
  <c r="S1193" i="1" s="1"/>
  <c r="S1194" i="1" s="1"/>
  <c r="S1658" i="1"/>
  <c r="S1659" i="1" s="1"/>
  <c r="S1660" i="1" s="1"/>
  <c r="S1661" i="1" s="1"/>
  <c r="U1661" i="1" s="1"/>
  <c r="V1661" i="1" s="1"/>
  <c r="S1212" i="1"/>
  <c r="S1213" i="1" s="1"/>
  <c r="S1214" i="1" s="1"/>
  <c r="S1609" i="1"/>
  <c r="S1610" i="1" s="1"/>
  <c r="S1611" i="1" s="1"/>
  <c r="S1612" i="1" s="1"/>
  <c r="S1473" i="1"/>
  <c r="S1474" i="1" s="1"/>
  <c r="S1475" i="1" s="1"/>
  <c r="U1475" i="1" s="1"/>
  <c r="V1475" i="1" s="1"/>
  <c r="U1473" i="1"/>
  <c r="V1473" i="1" s="1"/>
  <c r="S967" i="1"/>
  <c r="S968" i="1" s="1"/>
  <c r="S969" i="1" s="1"/>
  <c r="S1160" i="1"/>
  <c r="S1161" i="1" s="1"/>
  <c r="S1162" i="1" s="1"/>
  <c r="S1163" i="1" s="1"/>
  <c r="S1164" i="1" s="1"/>
  <c r="S1165" i="1" s="1"/>
  <c r="S1166" i="1" s="1"/>
  <c r="S1167" i="1" s="1"/>
  <c r="S1168" i="1" s="1"/>
  <c r="S1169" i="1" s="1"/>
  <c r="S699" i="1"/>
  <c r="S700" i="1" s="1"/>
  <c r="S701" i="1" s="1"/>
  <c r="S812" i="1"/>
  <c r="S813" i="1" s="1"/>
  <c r="S814" i="1" s="1"/>
  <c r="S948" i="1"/>
  <c r="S949" i="1" s="1"/>
  <c r="S950" i="1" s="1"/>
  <c r="U950" i="1" s="1"/>
  <c r="V950" i="1" s="1"/>
  <c r="S792" i="1"/>
  <c r="S793" i="1" s="1"/>
  <c r="S794" i="1" s="1"/>
  <c r="U792" i="1"/>
  <c r="V792" i="1"/>
  <c r="T693" i="1"/>
  <c r="T694" i="1" s="1"/>
  <c r="T695" i="1" s="1"/>
  <c r="S1094" i="1"/>
  <c r="S1095" i="1"/>
  <c r="U1095" i="1"/>
  <c r="V1095" i="1" s="1"/>
  <c r="T877" i="1"/>
  <c r="T878" i="1" s="1"/>
  <c r="T879" i="1" s="1"/>
  <c r="S940" i="1"/>
  <c r="S941" i="1" s="1"/>
  <c r="S942" i="1" s="1"/>
  <c r="U942" i="1" s="1"/>
  <c r="V942" i="1" s="1"/>
  <c r="U940" i="1"/>
  <c r="V940" i="1"/>
  <c r="S994" i="1"/>
  <c r="S995" i="1" s="1"/>
  <c r="U995" i="1" s="1"/>
  <c r="V995" i="1" s="1"/>
  <c r="T978" i="1"/>
  <c r="T979" i="1"/>
  <c r="T980" i="1" s="1"/>
  <c r="T1399" i="1"/>
  <c r="T1400" i="1"/>
  <c r="T1401" i="1"/>
  <c r="T1402" i="1"/>
  <c r="T1403" i="1"/>
  <c r="T1404" i="1" s="1"/>
  <c r="T1189" i="1"/>
  <c r="T1190" i="1"/>
  <c r="T1191" i="1"/>
  <c r="T1192" i="1" s="1"/>
  <c r="T1193" i="1" s="1"/>
  <c r="T1194" i="1" s="1"/>
  <c r="T986" i="1"/>
  <c r="T1329" i="1"/>
  <c r="T1330" i="1"/>
  <c r="T1331" i="1" s="1"/>
  <c r="T1332" i="1" s="1"/>
  <c r="T1333" i="1" s="1"/>
  <c r="T1334" i="1" s="1"/>
  <c r="T1335" i="1" s="1"/>
  <c r="T1336" i="1" s="1"/>
  <c r="T1212" i="1"/>
  <c r="T1213" i="1" s="1"/>
  <c r="T1214" i="1" s="1"/>
  <c r="T1230" i="1"/>
  <c r="T1231" i="1" s="1"/>
  <c r="T1232" i="1" s="1"/>
  <c r="T1233" i="1" s="1"/>
  <c r="T1234" i="1" s="1"/>
  <c r="T1235" i="1" s="1"/>
  <c r="T1236" i="1" s="1"/>
  <c r="T1237" i="1" s="1"/>
  <c r="T1238" i="1" s="1"/>
  <c r="T1239" i="1" s="1"/>
  <c r="T777" i="1"/>
  <c r="T778" i="1"/>
  <c r="T779" i="1"/>
  <c r="S750" i="1"/>
  <c r="S751" i="1" s="1"/>
  <c r="S752" i="1" s="1"/>
  <c r="U752" i="1" s="1"/>
  <c r="V752" i="1" s="1"/>
  <c r="U750" i="1"/>
  <c r="V750" i="1" s="1"/>
  <c r="T655" i="1"/>
  <c r="T656" i="1"/>
  <c r="T657" i="1" s="1"/>
  <c r="S693" i="1"/>
  <c r="S694" i="1" s="1"/>
  <c r="S695" i="1" s="1"/>
  <c r="T735" i="1"/>
  <c r="T736" i="1" s="1"/>
  <c r="T737" i="1" s="1"/>
  <c r="U735" i="1"/>
  <c r="V735" i="1" s="1"/>
  <c r="S1563" i="1"/>
  <c r="S1564" i="1" s="1"/>
  <c r="U1564" i="1" s="1"/>
  <c r="V1564" i="1" s="1"/>
  <c r="U1563" i="1"/>
  <c r="V1563" i="1" s="1"/>
  <c r="S906" i="1"/>
  <c r="S907" i="1" s="1"/>
  <c r="S908" i="1" s="1"/>
  <c r="S984" i="1"/>
  <c r="S985" i="1" s="1"/>
  <c r="S986" i="1" s="1"/>
  <c r="U986" i="1" s="1"/>
  <c r="V986" i="1" s="1"/>
  <c r="S1504" i="1"/>
  <c r="S1505" i="1"/>
  <c r="U1505" i="1" s="1"/>
  <c r="V1505" i="1" s="1"/>
  <c r="S1132" i="1"/>
  <c r="S1133" i="1" s="1"/>
  <c r="S1134" i="1" s="1"/>
  <c r="S1135" i="1" s="1"/>
  <c r="S1136" i="1" s="1"/>
  <c r="S1137" i="1" s="1"/>
  <c r="S1138" i="1" s="1"/>
  <c r="S1139" i="1" s="1"/>
  <c r="S1140" i="1" s="1"/>
  <c r="S1141" i="1" s="1"/>
  <c r="S1310" i="1"/>
  <c r="S1311" i="1" s="1"/>
  <c r="U1311" i="1" s="1"/>
  <c r="V1311" i="1" s="1"/>
  <c r="S1441" i="1"/>
  <c r="S1442" i="1" s="1"/>
  <c r="S1443" i="1" s="1"/>
  <c r="S1444" i="1" s="1"/>
  <c r="S1445" i="1" s="1"/>
  <c r="S1446" i="1" s="1"/>
  <c r="T812" i="1"/>
  <c r="T813" i="1" s="1"/>
  <c r="T814" i="1" s="1"/>
  <c r="S655" i="1"/>
  <c r="S656" i="1" s="1"/>
  <c r="S657" i="1" s="1"/>
  <c r="U655" i="1"/>
  <c r="V655" i="1" s="1"/>
  <c r="S1230" i="1"/>
  <c r="S1231" i="1" s="1"/>
  <c r="S1232" i="1" s="1"/>
  <c r="S1233" i="1" s="1"/>
  <c r="S1234" i="1" s="1"/>
  <c r="S1235" i="1" s="1"/>
  <c r="S1236" i="1" s="1"/>
  <c r="S1237" i="1" s="1"/>
  <c r="S1238" i="1" s="1"/>
  <c r="S1239" i="1" s="1"/>
  <c r="U1230" i="1"/>
  <c r="V1230" i="1" s="1"/>
  <c r="S1540" i="1"/>
  <c r="S1541" i="1" s="1"/>
  <c r="S1542" i="1" s="1"/>
  <c r="T1160" i="1"/>
  <c r="T1161" i="1" s="1"/>
  <c r="T1162" i="1" s="1"/>
  <c r="T1163" i="1" s="1"/>
  <c r="T1164" i="1" s="1"/>
  <c r="T1165" i="1" s="1"/>
  <c r="T1166" i="1" s="1"/>
  <c r="T1167" i="1" s="1"/>
  <c r="T1168" i="1" s="1"/>
  <c r="T1169" i="1" s="1"/>
  <c r="T940" i="1"/>
  <c r="T941" i="1"/>
  <c r="T942" i="1"/>
  <c r="T738" i="1"/>
  <c r="T739" i="1" s="1"/>
  <c r="T740" i="1" s="1"/>
  <c r="T1606" i="1"/>
  <c r="T1607" i="1" s="1"/>
  <c r="T669" i="1"/>
  <c r="T670" i="1"/>
  <c r="T671" i="1"/>
  <c r="S1399" i="1"/>
  <c r="S1400" i="1" s="1"/>
  <c r="S1401" i="1" s="1"/>
  <c r="S1402" i="1" s="1"/>
  <c r="S1403" i="1" s="1"/>
  <c r="S1404" i="1" s="1"/>
  <c r="U1404" i="1" s="1"/>
  <c r="V1404" i="1" s="1"/>
  <c r="T826" i="1"/>
  <c r="T827" i="1"/>
  <c r="T828" i="1"/>
  <c r="T929" i="1"/>
  <c r="T930" i="1"/>
  <c r="T931" i="1"/>
  <c r="T935" i="1"/>
  <c r="T936" i="1" s="1"/>
  <c r="T937" i="1" s="1"/>
  <c r="S818" i="1"/>
  <c r="S819" i="1" s="1"/>
  <c r="S820" i="1" s="1"/>
  <c r="S786" i="1"/>
  <c r="S787" i="1" s="1"/>
  <c r="S788" i="1" s="1"/>
  <c r="S801" i="1"/>
  <c r="S802" i="1" s="1"/>
  <c r="S803" i="1" s="1"/>
  <c r="U803" i="1" s="1"/>
  <c r="V803" i="1" s="1"/>
  <c r="S1273" i="1"/>
  <c r="S1274" i="1" s="1"/>
  <c r="S1275" i="1" s="1"/>
  <c r="U1275" i="1" s="1"/>
  <c r="V1275" i="1" s="1"/>
  <c r="S666" i="1"/>
  <c r="S667" i="1" s="1"/>
  <c r="U667" i="1" s="1"/>
  <c r="V667" i="1" s="1"/>
  <c r="U666" i="1"/>
  <c r="V666" i="1" s="1"/>
  <c r="S1465" i="1"/>
  <c r="S1466" i="1" s="1"/>
  <c r="S1467" i="1" s="1"/>
  <c r="S1468" i="1" s="1"/>
  <c r="S1469" i="1" s="1"/>
  <c r="S1470" i="1" s="1"/>
  <c r="S1471" i="1" s="1"/>
  <c r="S1472" i="1" s="1"/>
  <c r="S809" i="1"/>
  <c r="S810" i="1" s="1"/>
  <c r="S811" i="1" s="1"/>
  <c r="U811" i="1" s="1"/>
  <c r="V811" i="1" s="1"/>
  <c r="U809" i="1"/>
  <c r="V809" i="1" s="1"/>
  <c r="S1489" i="1"/>
  <c r="S1490" i="1" s="1"/>
  <c r="S1491" i="1" s="1"/>
  <c r="S889" i="1"/>
  <c r="S890" i="1" s="1"/>
  <c r="S891" i="1" s="1"/>
  <c r="S909" i="1"/>
  <c r="S910" i="1" s="1"/>
  <c r="S681" i="1"/>
  <c r="S682" i="1" s="1"/>
  <c r="S683" i="1" s="1"/>
  <c r="S954" i="1"/>
  <c r="S955" i="1" s="1"/>
  <c r="S956" i="1" s="1"/>
  <c r="U954" i="1"/>
  <c r="V954" i="1" s="1"/>
  <c r="S1276" i="1"/>
  <c r="S1277" i="1" s="1"/>
  <c r="S1278" i="1" s="1"/>
  <c r="U1276" i="1"/>
  <c r="V1276" i="1" s="1"/>
  <c r="S935" i="1"/>
  <c r="S936" i="1" s="1"/>
  <c r="S937" i="1" s="1"/>
  <c r="U935" i="1"/>
  <c r="V935" i="1" s="1"/>
  <c r="T1222" i="1"/>
  <c r="T1223" i="1"/>
  <c r="T1224" i="1"/>
  <c r="S1765" i="1"/>
  <c r="S1766" i="1" s="1"/>
  <c r="U1766" i="1" s="1"/>
  <c r="V1766" i="1" s="1"/>
  <c r="T982" i="1"/>
  <c r="T983" i="1" s="1"/>
  <c r="T1357" i="1"/>
  <c r="T1358" i="1" s="1"/>
  <c r="T1359" i="1" s="1"/>
  <c r="T1360" i="1" s="1"/>
  <c r="T1361" i="1" s="1"/>
  <c r="T1362" i="1" s="1"/>
  <c r="T1363" i="1" s="1"/>
  <c r="T1364" i="1" s="1"/>
  <c r="T1056" i="1"/>
  <c r="T1057" i="1"/>
  <c r="S1433" i="1"/>
  <c r="S1434" i="1"/>
  <c r="S1435" i="1" s="1"/>
  <c r="U1435" i="1" s="1"/>
  <c r="V1435" i="1" s="1"/>
  <c r="T1181" i="1"/>
  <c r="T1182" i="1" s="1"/>
  <c r="T1183" i="1" s="1"/>
  <c r="T1184" i="1" s="1"/>
  <c r="T1216" i="1"/>
  <c r="T1217" i="1" s="1"/>
  <c r="T1218" i="1" s="1"/>
  <c r="T1219" i="1" s="1"/>
  <c r="T1220" i="1" s="1"/>
  <c r="T1221" i="1" s="1"/>
  <c r="T906" i="1"/>
  <c r="T907" i="1" s="1"/>
  <c r="T908" i="1" s="1"/>
  <c r="T1516" i="1"/>
  <c r="T1517" i="1"/>
  <c r="T1035" i="1"/>
  <c r="T1036" i="1"/>
  <c r="T1037" i="1" s="1"/>
  <c r="T1195" i="1"/>
  <c r="T1196" i="1" s="1"/>
  <c r="T1197" i="1" s="1"/>
  <c r="T1198" i="1" s="1"/>
  <c r="S829" i="1"/>
  <c r="S830" i="1" s="1"/>
  <c r="S831" i="1" s="1"/>
  <c r="U831" i="1" s="1"/>
  <c r="V831" i="1" s="1"/>
  <c r="S868" i="1"/>
  <c r="S869" i="1" s="1"/>
  <c r="S870" i="1" s="1"/>
  <c r="S768" i="1"/>
  <c r="S769" i="1" s="1"/>
  <c r="S770" i="1" s="1"/>
  <c r="U768" i="1"/>
  <c r="V768" i="1" s="1"/>
  <c r="S1598" i="1"/>
  <c r="S1599" i="1" s="1"/>
  <c r="S1600" i="1" s="1"/>
  <c r="S1601" i="1" s="1"/>
  <c r="S1602" i="1" s="1"/>
  <c r="S1603" i="1" s="1"/>
  <c r="S978" i="1"/>
  <c r="S979" i="1" s="1"/>
  <c r="S980" i="1" s="1"/>
  <c r="S1419" i="1"/>
  <c r="S1420" i="1" s="1"/>
  <c r="S1421" i="1" s="1"/>
  <c r="U1421" i="1" s="1"/>
  <c r="V1421" i="1" s="1"/>
  <c r="U1419" i="1"/>
  <c r="V1419" i="1" s="1"/>
  <c r="S762" i="1"/>
  <c r="S763" i="1" s="1"/>
  <c r="S764" i="1" s="1"/>
  <c r="U764" i="1" s="1"/>
  <c r="V764" i="1" s="1"/>
  <c r="U762" i="1"/>
  <c r="V762" i="1" s="1"/>
  <c r="S1427" i="1"/>
  <c r="S1428" i="1" s="1"/>
  <c r="S1429" i="1" s="1"/>
  <c r="S1430" i="1" s="1"/>
  <c r="S1431" i="1" s="1"/>
  <c r="S1432" i="1" s="1"/>
  <c r="S1246" i="1"/>
  <c r="S1247" i="1" s="1"/>
  <c r="S1248" i="1" s="1"/>
  <c r="S1249" i="1" s="1"/>
  <c r="S1250" i="1" s="1"/>
  <c r="S1251" i="1" s="1"/>
  <c r="S1252" i="1" s="1"/>
  <c r="S1253" i="1" s="1"/>
  <c r="S1254" i="1" s="1"/>
  <c r="S1255" i="1" s="1"/>
  <c r="T838" i="1"/>
  <c r="T839" i="1"/>
  <c r="T840" i="1" s="1"/>
  <c r="S898" i="1"/>
  <c r="S899" i="1" s="1"/>
  <c r="S900" i="1" s="1"/>
  <c r="U900" i="1" s="1"/>
  <c r="V900" i="1" s="1"/>
  <c r="S1701" i="1"/>
  <c r="S1702" i="1" s="1"/>
  <c r="S1703" i="1" s="1"/>
  <c r="S1704" i="1" s="1"/>
  <c r="U1701" i="1"/>
  <c r="V1701" i="1" s="1"/>
  <c r="S843" i="1"/>
  <c r="S844" i="1" s="1"/>
  <c r="S845" i="1" s="1"/>
  <c r="U843" i="1"/>
  <c r="V843" i="1" s="1"/>
  <c r="T1574" i="1"/>
  <c r="T1575" i="1" s="1"/>
  <c r="U1575" i="1" s="1"/>
  <c r="V1575" i="1" s="1"/>
  <c r="U1574" i="1"/>
  <c r="V1574" i="1" s="1"/>
  <c r="T1504" i="1"/>
  <c r="T1505" i="1"/>
  <c r="T1701" i="1"/>
  <c r="T1702" i="1" s="1"/>
  <c r="T1703" i="1" s="1"/>
  <c r="T1704" i="1" s="1"/>
  <c r="T789" i="1"/>
  <c r="T790" i="1" s="1"/>
  <c r="T791" i="1" s="1"/>
  <c r="T1436" i="1"/>
  <c r="T1437" i="1"/>
  <c r="T1438" i="1" s="1"/>
  <c r="T967" i="1"/>
  <c r="T968" i="1" s="1"/>
  <c r="T969" i="1" s="1"/>
  <c r="S1299" i="1"/>
  <c r="S1300" i="1" s="1"/>
  <c r="S1301" i="1" s="1"/>
  <c r="S1302" i="1" s="1"/>
  <c r="S1303" i="1" s="1"/>
  <c r="S1304" i="1" s="1"/>
  <c r="S1305" i="1" s="1"/>
  <c r="S1306" i="1" s="1"/>
  <c r="U1299" i="1"/>
  <c r="V1299" i="1" s="1"/>
  <c r="T1413" i="1"/>
  <c r="T1414" i="1"/>
  <c r="T1415" i="1" s="1"/>
  <c r="T1416" i="1" s="1"/>
  <c r="T1417" i="1" s="1"/>
  <c r="T1418" i="1" s="1"/>
  <c r="T801" i="1"/>
  <c r="T802" i="1"/>
  <c r="S777" i="1"/>
  <c r="S778" i="1" s="1"/>
  <c r="S779" i="1" s="1"/>
  <c r="U777" i="1"/>
  <c r="V777" i="1" s="1"/>
  <c r="S895" i="1"/>
  <c r="S896" i="1" s="1"/>
  <c r="S897" i="1" s="1"/>
  <c r="S732" i="1"/>
  <c r="S733" i="1" s="1"/>
  <c r="S734" i="1" s="1"/>
  <c r="S1008" i="1"/>
  <c r="S1009" i="1" s="1"/>
  <c r="S1010" i="1" s="1"/>
  <c r="S1047" i="1"/>
  <c r="S1048" i="1" s="1"/>
  <c r="S1049" i="1" s="1"/>
  <c r="S846" i="1"/>
  <c r="S847" i="1" s="1"/>
  <c r="S848" i="1" s="1"/>
  <c r="S783" i="1"/>
  <c r="S784" i="1" s="1"/>
  <c r="S785" i="1" s="1"/>
  <c r="T914" i="1"/>
  <c r="T915" i="1"/>
  <c r="T916" i="1" s="1"/>
  <c r="T804" i="1"/>
  <c r="T805" i="1"/>
  <c r="T806" i="1"/>
  <c r="U804" i="1"/>
  <c r="V804" i="1" s="1"/>
  <c r="S1552" i="1"/>
  <c r="S1553" i="1"/>
  <c r="U1552" i="1"/>
  <c r="V1552" i="1" s="1"/>
  <c r="S1422" i="1"/>
  <c r="S1423" i="1" s="1"/>
  <c r="S1424" i="1" s="1"/>
  <c r="U1424" i="1" s="1"/>
  <c r="V1424" i="1" s="1"/>
  <c r="U1422" i="1"/>
  <c r="V1422" i="1" s="1"/>
  <c r="T759" i="1"/>
  <c r="T760" i="1" s="1"/>
  <c r="T761" i="1" s="1"/>
  <c r="S728" i="1"/>
  <c r="S729" i="1" s="1"/>
  <c r="U729" i="1" s="1"/>
  <c r="V729" i="1" s="1"/>
  <c r="T1497" i="1"/>
  <c r="T1498" i="1"/>
  <c r="T1499" i="1" s="1"/>
  <c r="T1500" i="1" s="1"/>
  <c r="T1501" i="1" s="1"/>
  <c r="T1343" i="1"/>
  <c r="T1344" i="1" s="1"/>
  <c r="T1345" i="1" s="1"/>
  <c r="T1346" i="1" s="1"/>
  <c r="T1347" i="1" s="1"/>
  <c r="T1348" i="1" s="1"/>
  <c r="T1349" i="1" s="1"/>
  <c r="T1350" i="1" s="1"/>
  <c r="T690" i="1"/>
  <c r="T691" i="1"/>
  <c r="T692" i="1"/>
  <c r="T917" i="1"/>
  <c r="T918" i="1"/>
  <c r="T843" i="1"/>
  <c r="T844" i="1" s="1"/>
  <c r="T845" i="1" s="1"/>
  <c r="T699" i="1"/>
  <c r="T700" i="1"/>
  <c r="T803" i="1"/>
  <c r="S1394" i="1"/>
  <c r="S1395" i="1" s="1"/>
  <c r="S1396" i="1" s="1"/>
  <c r="U1396" i="1" s="1"/>
  <c r="V1396" i="1" s="1"/>
  <c r="U1394" i="1"/>
  <c r="V1394" i="1" s="1"/>
  <c r="T1441" i="1"/>
  <c r="T1442" i="1" s="1"/>
  <c r="T1443" i="1" s="1"/>
  <c r="T1444" i="1" s="1"/>
  <c r="T1445" i="1" s="1"/>
  <c r="T1446" i="1" s="1"/>
  <c r="S678" i="1"/>
  <c r="S679" i="1" s="1"/>
  <c r="S680" i="1" s="1"/>
  <c r="S798" i="1"/>
  <c r="S799" i="1"/>
  <c r="S800" i="1" s="1"/>
  <c r="U800" i="1" s="1"/>
  <c r="V800" i="1" s="1"/>
  <c r="U798" i="1"/>
  <c r="V798" i="1" s="1"/>
  <c r="S919" i="1"/>
  <c r="S920" i="1" s="1"/>
  <c r="U919" i="1"/>
  <c r="V919" i="1"/>
  <c r="S1175" i="1"/>
  <c r="S1176" i="1" s="1"/>
  <c r="S1177" i="1" s="1"/>
  <c r="S1178" i="1" s="1"/>
  <c r="S1179" i="1" s="1"/>
  <c r="S1180" i="1" s="1"/>
  <c r="S747" i="1"/>
  <c r="S748" i="1"/>
  <c r="S749" i="1" s="1"/>
  <c r="S714" i="1"/>
  <c r="S715" i="1" s="1"/>
  <c r="S716" i="1" s="1"/>
  <c r="U716" i="1" s="1"/>
  <c r="V716" i="1" s="1"/>
  <c r="T1090" i="1"/>
  <c r="T1091" i="1"/>
  <c r="T1092" i="1" s="1"/>
  <c r="U1090" i="1"/>
  <c r="V1090" i="1"/>
  <c r="T1385" i="1"/>
  <c r="T1386" i="1"/>
  <c r="T1387" i="1"/>
  <c r="T1388" i="1" s="1"/>
  <c r="T1389" i="1" s="1"/>
  <c r="T1390" i="1" s="1"/>
  <c r="T1598" i="1"/>
  <c r="T1599" i="1" s="1"/>
  <c r="T1600" i="1" s="1"/>
  <c r="T1601" i="1" s="1"/>
  <c r="T1602" i="1" s="1"/>
  <c r="T1603" i="1" s="1"/>
  <c r="S1242" i="1"/>
  <c r="S1243" i="1" s="1"/>
  <c r="S1244" i="1" s="1"/>
  <c r="U1242" i="1"/>
  <c r="V1242" i="1" s="1"/>
  <c r="U1765" i="1"/>
  <c r="V1765" i="1" s="1"/>
  <c r="S1307" i="1"/>
  <c r="S1308" i="1"/>
  <c r="S1309" i="1" s="1"/>
  <c r="U1307" i="1"/>
  <c r="V1307" i="1" s="1"/>
  <c r="T1021" i="1"/>
  <c r="T1022" i="1" s="1"/>
  <c r="T1023" i="1" s="1"/>
  <c r="T954" i="1"/>
  <c r="T955" i="1" s="1"/>
  <c r="T956" i="1" s="1"/>
  <c r="S982" i="1"/>
  <c r="S983" i="1"/>
  <c r="T1014" i="1"/>
  <c r="T1015" i="1"/>
  <c r="T1016" i="1" s="1"/>
  <c r="S1056" i="1"/>
  <c r="S1057" i="1"/>
  <c r="T1246" i="1"/>
  <c r="T1247" i="1"/>
  <c r="T1248" i="1" s="1"/>
  <c r="T1249" i="1" s="1"/>
  <c r="T1250" i="1" s="1"/>
  <c r="T1251" i="1" s="1"/>
  <c r="T1252" i="1" s="1"/>
  <c r="T1253" i="1" s="1"/>
  <c r="T1254" i="1" s="1"/>
  <c r="T1255" i="1" s="1"/>
  <c r="S723" i="1"/>
  <c r="S724" i="1" s="1"/>
  <c r="S725" i="1" s="1"/>
  <c r="U725" i="1" s="1"/>
  <c r="V725" i="1" s="1"/>
  <c r="U723" i="1"/>
  <c r="V723" i="1" s="1"/>
  <c r="S1728" i="1"/>
  <c r="S1729" i="1" s="1"/>
  <c r="S1730" i="1" s="1"/>
  <c r="S1731" i="1" s="1"/>
  <c r="T653" i="1"/>
  <c r="T654" i="1" s="1"/>
  <c r="T901" i="1"/>
  <c r="T902" i="1"/>
  <c r="T903" i="1"/>
  <c r="T701" i="1"/>
  <c r="T818" i="1"/>
  <c r="T819" i="1" s="1"/>
  <c r="T820" i="1" s="1"/>
  <c r="T783" i="1"/>
  <c r="T784" i="1"/>
  <c r="T785" i="1"/>
  <c r="S807" i="1"/>
  <c r="S808" i="1" s="1"/>
  <c r="U808" i="1" s="1"/>
  <c r="V808" i="1" s="1"/>
  <c r="U807" i="1"/>
  <c r="V807" i="1" s="1"/>
  <c r="S1520" i="1"/>
  <c r="S1521" i="1" s="1"/>
  <c r="S1522" i="1" s="1"/>
  <c r="S1523" i="1" s="1"/>
  <c r="S1524" i="1" s="1"/>
  <c r="S1525" i="1" s="1"/>
  <c r="S765" i="1"/>
  <c r="S766" i="1" s="1"/>
  <c r="S767" i="1" s="1"/>
  <c r="U767" i="1" s="1"/>
  <c r="V767" i="1" s="1"/>
  <c r="S653" i="1"/>
  <c r="S654" i="1" s="1"/>
  <c r="S789" i="1"/>
  <c r="S790" i="1" s="1"/>
  <c r="S791" i="1" s="1"/>
  <c r="U728" i="1"/>
  <c r="V728" i="1" s="1"/>
  <c r="S1673" i="1"/>
  <c r="S1674" i="1" s="1"/>
  <c r="S1675" i="1" s="1"/>
  <c r="S1676" i="1" s="1"/>
  <c r="U1676" i="1" s="1"/>
  <c r="V1676" i="1" s="1"/>
  <c r="U1083" i="1"/>
  <c r="V1083" i="1" s="1"/>
  <c r="T1371" i="1"/>
  <c r="T1372" i="1"/>
  <c r="T1373" i="1" s="1"/>
  <c r="T1374" i="1" s="1"/>
  <c r="T1375" i="1" s="1"/>
  <c r="T1376" i="1" s="1"/>
  <c r="T1377" i="1" s="1"/>
  <c r="T1378" i="1" s="1"/>
  <c r="S1281" i="1"/>
  <c r="S1282" i="1" s="1"/>
  <c r="S1283" i="1" s="1"/>
  <c r="S1284" i="1" s="1"/>
  <c r="S1285" i="1" s="1"/>
  <c r="S1286" i="1" s="1"/>
  <c r="S1287" i="1" s="1"/>
  <c r="S1288" i="1" s="1"/>
  <c r="S1289" i="1" s="1"/>
  <c r="S1290" i="1" s="1"/>
  <c r="U1281" i="1"/>
  <c r="V1281" i="1" s="1"/>
  <c r="T1307" i="1"/>
  <c r="T1308" i="1"/>
  <c r="T1309" i="1" s="1"/>
  <c r="T1693" i="1"/>
  <c r="T1694" i="1"/>
  <c r="T1695" i="1" s="1"/>
  <c r="T1696" i="1" s="1"/>
  <c r="S669" i="1"/>
  <c r="S670" i="1" s="1"/>
  <c r="S671" i="1" s="1"/>
  <c r="S917" i="1"/>
  <c r="S918" i="1" s="1"/>
  <c r="T858" i="1"/>
  <c r="T859" i="1"/>
  <c r="T860" i="1" s="1"/>
  <c r="T1588" i="1"/>
  <c r="T1589" i="1"/>
  <c r="T1590" i="1"/>
  <c r="T1591" i="1" s="1"/>
  <c r="T1592" i="1" s="1"/>
  <c r="T1593" i="1" s="1"/>
  <c r="T1532" i="1"/>
  <c r="T1533" i="1" s="1"/>
  <c r="T1534" i="1" s="1"/>
  <c r="T1535" i="1" s="1"/>
  <c r="T1536" i="1" s="1"/>
  <c r="T1537" i="1" s="1"/>
  <c r="T1276" i="1"/>
  <c r="T1277" i="1" s="1"/>
  <c r="T1278" i="1" s="1"/>
  <c r="S1030" i="1"/>
  <c r="S1031" i="1" s="1"/>
  <c r="S1032" i="1" s="1"/>
  <c r="S901" i="1"/>
  <c r="S902" i="1"/>
  <c r="S903" i="1" s="1"/>
  <c r="U903" i="1" s="1"/>
  <c r="V903" i="1" s="1"/>
  <c r="U901" i="1"/>
  <c r="V901" i="1" s="1"/>
  <c r="T1258" i="1"/>
  <c r="T1259" i="1"/>
  <c r="T1260" i="1" s="1"/>
  <c r="S877" i="1"/>
  <c r="S878" i="1" s="1"/>
  <c r="S879" i="1" s="1"/>
  <c r="S1203" i="1"/>
  <c r="S1204" i="1" s="1"/>
  <c r="S1205" i="1" s="1"/>
  <c r="S1206" i="1" s="1"/>
  <c r="S1207" i="1" s="1"/>
  <c r="S1208" i="1" s="1"/>
  <c r="S855" i="1"/>
  <c r="S856" i="1"/>
  <c r="S857" i="1" s="1"/>
  <c r="S874" i="1"/>
  <c r="S875" i="1" s="1"/>
  <c r="S876" i="1" s="1"/>
  <c r="S705" i="1"/>
  <c r="S706" i="1" s="1"/>
  <c r="S707" i="1" s="1"/>
  <c r="U707" i="1" s="1"/>
  <c r="V707" i="1" s="1"/>
  <c r="S1343" i="1"/>
  <c r="S1344" i="1" s="1"/>
  <c r="S1345" i="1" s="1"/>
  <c r="S1346" i="1" s="1"/>
  <c r="S1347" i="1" s="1"/>
  <c r="S1348" i="1" s="1"/>
  <c r="S1349" i="1" s="1"/>
  <c r="S1350" i="1" s="1"/>
  <c r="U1350" i="1" s="1"/>
  <c r="V1350" i="1" s="1"/>
  <c r="S658" i="1"/>
  <c r="S659" i="1" s="1"/>
  <c r="S660" i="1" s="1"/>
  <c r="S1577" i="1"/>
  <c r="S1578" i="1" s="1"/>
  <c r="S1579" i="1" s="1"/>
  <c r="S1580" i="1" s="1"/>
  <c r="S1581" i="1" s="1"/>
  <c r="S1582" i="1" s="1"/>
  <c r="S1528" i="1"/>
  <c r="S1529" i="1" s="1"/>
  <c r="S1530" i="1" s="1"/>
  <c r="U1530" i="1" s="1"/>
  <c r="V1530" i="1" s="1"/>
  <c r="U1528" i="1"/>
  <c r="V1528" i="1" s="1"/>
  <c r="S1481" i="1"/>
  <c r="S1482" i="1" s="1"/>
  <c r="S1483" i="1" s="1"/>
  <c r="S1484" i="1" s="1"/>
  <c r="S1485" i="1" s="1"/>
  <c r="S1486" i="1" s="1"/>
  <c r="S1487" i="1" s="1"/>
  <c r="S1488" i="1" s="1"/>
  <c r="T1047" i="1"/>
  <c r="T1048" i="1" s="1"/>
  <c r="T1049" i="1" s="1"/>
  <c r="T1508" i="1"/>
  <c r="T1509" i="1" s="1"/>
  <c r="T1510" i="1" s="1"/>
  <c r="T1511" i="1" s="1"/>
  <c r="T1512" i="1" s="1"/>
  <c r="T1513" i="1" s="1"/>
  <c r="T919" i="1"/>
  <c r="T920" i="1" s="1"/>
  <c r="T991" i="1"/>
  <c r="T992" i="1"/>
  <c r="T993" i="1" s="1"/>
  <c r="T1609" i="1"/>
  <c r="T1610" i="1"/>
  <c r="T1611" i="1" s="1"/>
  <c r="T1612" i="1" s="1"/>
  <c r="S821" i="1"/>
  <c r="S822" i="1" s="1"/>
  <c r="T821" i="1"/>
  <c r="T822" i="1"/>
  <c r="T909" i="1"/>
  <c r="T910" i="1" s="1"/>
  <c r="S1216" i="1"/>
  <c r="S1217" i="1"/>
  <c r="S1218" i="1" s="1"/>
  <c r="S1219" i="1" s="1"/>
  <c r="S1220" i="1" s="1"/>
  <c r="S1221" i="1" s="1"/>
  <c r="U1216" i="1"/>
  <c r="V1216" i="1" s="1"/>
  <c r="T1476" i="1"/>
  <c r="T1477" i="1"/>
  <c r="T1478" i="1"/>
  <c r="S883" i="1"/>
  <c r="S884" i="1" s="1"/>
  <c r="U884" i="1" s="1"/>
  <c r="V884" i="1" s="1"/>
  <c r="T883" i="1"/>
  <c r="T884" i="1" s="1"/>
  <c r="T1115" i="1"/>
  <c r="T1116" i="1"/>
  <c r="T1117" i="1" s="1"/>
  <c r="T1118" i="1" s="1"/>
  <c r="T1119" i="1" s="1"/>
  <c r="T1120" i="1" s="1"/>
  <c r="T1121" i="1" s="1"/>
  <c r="T1122" i="1" s="1"/>
  <c r="T1123" i="1" s="1"/>
  <c r="T1124" i="1" s="1"/>
  <c r="S1104" i="1"/>
  <c r="S1105" i="1"/>
  <c r="S1106" i="1" s="1"/>
  <c r="S1107" i="1" s="1"/>
  <c r="U1104" i="1"/>
  <c r="V1104" i="1" s="1"/>
  <c r="S1258" i="1"/>
  <c r="S1259" i="1" s="1"/>
  <c r="S1260" i="1" s="1"/>
  <c r="U1258" i="1"/>
  <c r="V1258" i="1" s="1"/>
  <c r="S959" i="1"/>
  <c r="S960" i="1" s="1"/>
  <c r="S961" i="1" s="1"/>
  <c r="U961" i="1" s="1"/>
  <c r="V961" i="1" s="1"/>
  <c r="S1712" i="1"/>
  <c r="S1713" i="1" s="1"/>
  <c r="S1714" i="1" s="1"/>
  <c r="S1715" i="1" s="1"/>
  <c r="U1715" i="1" s="1"/>
  <c r="V1715" i="1" s="1"/>
  <c r="S838" i="1"/>
  <c r="S839" i="1" s="1"/>
  <c r="S840" i="1" s="1"/>
  <c r="S744" i="1"/>
  <c r="S745" i="1" s="1"/>
  <c r="S746" i="1" s="1"/>
  <c r="S815" i="1"/>
  <c r="S816" i="1" s="1"/>
  <c r="S817" i="1" s="1"/>
  <c r="S1075" i="1"/>
  <c r="S1076" i="1" s="1"/>
  <c r="U1076" i="1" s="1"/>
  <c r="V1076" i="1" s="1"/>
  <c r="S1357" i="1"/>
  <c r="S1358" i="1" s="1"/>
  <c r="S1359" i="1" s="1"/>
  <c r="S1360" i="1" s="1"/>
  <c r="S1361" i="1" s="1"/>
  <c r="S1362" i="1" s="1"/>
  <c r="S1363" i="1" s="1"/>
  <c r="S1364" i="1" s="1"/>
  <c r="S1436" i="1"/>
  <c r="S1437" i="1" s="1"/>
  <c r="S1438" i="1" s="1"/>
  <c r="S1060" i="1"/>
  <c r="S1061" i="1" s="1"/>
  <c r="S1062" i="1" s="1"/>
  <c r="U1062" i="1" s="1"/>
  <c r="V1062" i="1" s="1"/>
  <c r="S696" i="1"/>
  <c r="S697" i="1"/>
  <c r="S698" i="1" s="1"/>
  <c r="U698" i="1" s="1"/>
  <c r="V698" i="1" s="1"/>
  <c r="U696" i="1"/>
  <c r="V696" i="1" s="1"/>
  <c r="T1322" i="1"/>
  <c r="T1323" i="1" s="1"/>
  <c r="T1324" i="1" s="1"/>
  <c r="U1322" i="1"/>
  <c r="V1322" i="1" s="1"/>
  <c r="S726" i="1"/>
  <c r="S727" i="1" s="1"/>
  <c r="U727" i="1" s="1"/>
  <c r="V727" i="1" s="1"/>
  <c r="U726" i="1"/>
  <c r="V726" i="1" s="1"/>
  <c r="T1026" i="1"/>
  <c r="T1027" i="1"/>
  <c r="T1028" i="1" s="1"/>
  <c r="U1026" i="1"/>
  <c r="V1026" i="1"/>
  <c r="T1489" i="1"/>
  <c r="T1490" i="1"/>
  <c r="T1491" i="1"/>
  <c r="T1203" i="1"/>
  <c r="T1204" i="1"/>
  <c r="T1205" i="1"/>
  <c r="T1206" i="1" s="1"/>
  <c r="T1207" i="1" s="1"/>
  <c r="T1208" i="1" s="1"/>
  <c r="S753" i="1"/>
  <c r="S754" i="1" s="1"/>
  <c r="S755" i="1" s="1"/>
  <c r="U753" i="1"/>
  <c r="V753" i="1" s="1"/>
  <c r="S711" i="1"/>
  <c r="S712" i="1"/>
  <c r="S713" i="1" s="1"/>
  <c r="U711" i="1"/>
  <c r="V711" i="1" s="1"/>
  <c r="T687" i="1"/>
  <c r="T688" i="1"/>
  <c r="T689" i="1" s="1"/>
  <c r="S738" i="1"/>
  <c r="S739" i="1" s="1"/>
  <c r="S740" i="1" s="1"/>
  <c r="U738" i="1"/>
  <c r="V738" i="1" s="1"/>
  <c r="S730" i="1"/>
  <c r="S731" i="1"/>
  <c r="T730" i="1"/>
  <c r="T731" i="1" s="1"/>
  <c r="T1427" i="1"/>
  <c r="T1428" i="1" s="1"/>
  <c r="T1429" i="1" s="1"/>
  <c r="T1430" i="1" s="1"/>
  <c r="T1431" i="1" s="1"/>
  <c r="T1432" i="1" s="1"/>
  <c r="T681" i="1"/>
  <c r="T682" i="1"/>
  <c r="T683" i="1"/>
  <c r="T732" i="1"/>
  <c r="T733" i="1"/>
  <c r="T734" i="1"/>
  <c r="S1195" i="1"/>
  <c r="S1196" i="1"/>
  <c r="S1197" i="1" s="1"/>
  <c r="S1198" i="1" s="1"/>
  <c r="U1198" i="1" s="1"/>
  <c r="V1198" i="1" s="1"/>
  <c r="U1195" i="1"/>
  <c r="V1195" i="1" s="1"/>
  <c r="S1115" i="1"/>
  <c r="S1116" i="1" s="1"/>
  <c r="S1117" i="1" s="1"/>
  <c r="S1118" i="1" s="1"/>
  <c r="S1119" i="1" s="1"/>
  <c r="S1120" i="1" s="1"/>
  <c r="S1121" i="1" s="1"/>
  <c r="S1122" i="1" s="1"/>
  <c r="S1123" i="1" s="1"/>
  <c r="S1124" i="1" s="1"/>
  <c r="T747" i="1"/>
  <c r="T748" i="1" s="1"/>
  <c r="T749" i="1" s="1"/>
  <c r="S1329" i="1"/>
  <c r="S1330" i="1"/>
  <c r="S1331" i="1" s="1"/>
  <c r="S1332" i="1" s="1"/>
  <c r="S1333" i="1" s="1"/>
  <c r="S1334" i="1" s="1"/>
  <c r="S1335" i="1" s="1"/>
  <c r="S1336" i="1" s="1"/>
  <c r="U946" i="1"/>
  <c r="V946" i="1" s="1"/>
  <c r="S771" i="1"/>
  <c r="S772" i="1" s="1"/>
  <c r="S773" i="1" s="1"/>
  <c r="S885" i="1"/>
  <c r="S886" i="1" s="1"/>
  <c r="S887" i="1" s="1"/>
  <c r="U887" i="1" s="1"/>
  <c r="V887" i="1" s="1"/>
  <c r="S1588" i="1"/>
  <c r="S1589" i="1"/>
  <c r="S1590" i="1" s="1"/>
  <c r="S1591" i="1" s="1"/>
  <c r="S1592" i="1" s="1"/>
  <c r="S1593" i="1" s="1"/>
  <c r="S1035" i="1"/>
  <c r="S1036" i="1" s="1"/>
  <c r="S1037" i="1" s="1"/>
  <c r="S720" i="1"/>
  <c r="S721" i="1" s="1"/>
  <c r="S722" i="1" s="1"/>
  <c r="U722" i="1" s="1"/>
  <c r="V722" i="1" s="1"/>
  <c r="U720" i="1"/>
  <c r="V720" i="1" s="1"/>
  <c r="S1508" i="1"/>
  <c r="S1509" i="1" s="1"/>
  <c r="S1510" i="1" s="1"/>
  <c r="S1511" i="1" s="1"/>
  <c r="S1512" i="1" s="1"/>
  <c r="S1513" i="1" s="1"/>
  <c r="T895" i="1"/>
  <c r="T896" i="1" s="1"/>
  <c r="T897" i="1" s="1"/>
  <c r="T744" i="1"/>
  <c r="T745" i="1" s="1"/>
  <c r="T746" i="1" s="1"/>
  <c r="T678" i="1"/>
  <c r="T679" i="1" s="1"/>
  <c r="T680" i="1" s="1"/>
  <c r="T911" i="1"/>
  <c r="T912" i="1"/>
  <c r="T913" i="1" s="1"/>
  <c r="T1728" i="1"/>
  <c r="T1729" i="1"/>
  <c r="T1730" i="1" s="1"/>
  <c r="T1731" i="1" s="1"/>
  <c r="T753" i="1"/>
  <c r="T754" i="1" s="1"/>
  <c r="T755" i="1" s="1"/>
  <c r="S1627" i="1"/>
  <c r="S1628" i="1" s="1"/>
  <c r="S1629" i="1" s="1"/>
  <c r="S1630" i="1" s="1"/>
  <c r="U1630" i="1" s="1"/>
  <c r="V1630" i="1" s="1"/>
  <c r="T1281" i="1"/>
  <c r="T1282" i="1" s="1"/>
  <c r="T1283" i="1" s="1"/>
  <c r="T1284" i="1" s="1"/>
  <c r="T1285" i="1" s="1"/>
  <c r="T1286" i="1" s="1"/>
  <c r="T1287" i="1" s="1"/>
  <c r="T1288" i="1" s="1"/>
  <c r="T1289" i="1" s="1"/>
  <c r="T1290" i="1" s="1"/>
  <c r="T1552" i="1"/>
  <c r="T1553" i="1" s="1"/>
  <c r="U1553" i="1" s="1"/>
  <c r="V1553" i="1" s="1"/>
  <c r="T1299" i="1"/>
  <c r="T1300" i="1"/>
  <c r="T1301" i="1"/>
  <c r="T1302" i="1"/>
  <c r="T1303" i="1" s="1"/>
  <c r="T1304" i="1" s="1"/>
  <c r="T1305" i="1" s="1"/>
  <c r="T1306" i="1" s="1"/>
  <c r="T1314" i="1"/>
  <c r="T1315" i="1" s="1"/>
  <c r="T1316" i="1" s="1"/>
  <c r="T1317" i="1" s="1"/>
  <c r="T1318" i="1" s="1"/>
  <c r="T1319" i="1" s="1"/>
  <c r="T1320" i="1" s="1"/>
  <c r="T1321" i="1" s="1"/>
  <c r="T1242" i="1"/>
  <c r="T1243" i="1"/>
  <c r="T1244" i="1" s="1"/>
  <c r="T874" i="1"/>
  <c r="T875" i="1" s="1"/>
  <c r="T876" i="1" s="1"/>
  <c r="S1222" i="1"/>
  <c r="S1223" i="1"/>
  <c r="S1224" i="1" s="1"/>
  <c r="U1127" i="1"/>
  <c r="V1127" i="1" s="1"/>
  <c r="S826" i="1"/>
  <c r="S827" i="1" s="1"/>
  <c r="S828" i="1" s="1"/>
  <c r="U828" i="1" s="1"/>
  <c r="V828" i="1" s="1"/>
  <c r="S741" i="1"/>
  <c r="S742" i="1" s="1"/>
  <c r="S743" i="1" s="1"/>
  <c r="U743" i="1" s="1"/>
  <c r="V743" i="1" s="1"/>
  <c r="U741" i="1"/>
  <c r="V741" i="1" s="1"/>
  <c r="S1314" i="1"/>
  <c r="S1315" i="1" s="1"/>
  <c r="S1316" i="1" s="1"/>
  <c r="S1317" i="1" s="1"/>
  <c r="S1318" i="1" s="1"/>
  <c r="S1319" i="1" s="1"/>
  <c r="S1320" i="1" s="1"/>
  <c r="S1321" i="1" s="1"/>
  <c r="S871" i="1"/>
  <c r="S872" i="1" s="1"/>
  <c r="S873" i="1" s="1"/>
  <c r="U873" i="1" s="1"/>
  <c r="V873" i="1" s="1"/>
  <c r="S1014" i="1"/>
  <c r="S1015" i="1" s="1"/>
  <c r="S1016" i="1" s="1"/>
  <c r="U730" i="1"/>
  <c r="V730" i="1" s="1"/>
  <c r="T871" i="1"/>
  <c r="T872" i="1"/>
  <c r="T873" i="1"/>
  <c r="T1146" i="1"/>
  <c r="T1147" i="1"/>
  <c r="T1148" i="1" s="1"/>
  <c r="T1149" i="1" s="1"/>
  <c r="T1150" i="1" s="1"/>
  <c r="T1151" i="1" s="1"/>
  <c r="T1152" i="1" s="1"/>
  <c r="T1153" i="1" s="1"/>
  <c r="T1154" i="1" s="1"/>
  <c r="T1155" i="1" s="1"/>
  <c r="T1465" i="1"/>
  <c r="T1466" i="1"/>
  <c r="T1467" i="1"/>
  <c r="T1468" i="1"/>
  <c r="T1469" i="1"/>
  <c r="T1470" i="1"/>
  <c r="T1471" i="1" s="1"/>
  <c r="T1472" i="1" s="1"/>
  <c r="S1021" i="1"/>
  <c r="S1022" i="1" s="1"/>
  <c r="S1023" i="1" s="1"/>
  <c r="U1021" i="1"/>
  <c r="V1021" i="1" s="1"/>
  <c r="T868" i="1"/>
  <c r="T869" i="1" s="1"/>
  <c r="T870" i="1" s="1"/>
  <c r="U812" i="1"/>
  <c r="V812" i="1" s="1"/>
  <c r="T815" i="1"/>
  <c r="T816" i="1"/>
  <c r="T817" i="1"/>
  <c r="S1413" i="1"/>
  <c r="S1414" i="1" s="1"/>
  <c r="S1415" i="1" s="1"/>
  <c r="S1416" i="1" s="1"/>
  <c r="S1417" i="1" s="1"/>
  <c r="S1418" i="1" s="1"/>
  <c r="T1104" i="1"/>
  <c r="T1105" i="1"/>
  <c r="T1106" i="1" s="1"/>
  <c r="T1107" i="1" s="1"/>
  <c r="S914" i="1"/>
  <c r="S915" i="1" s="1"/>
  <c r="S916" i="1" s="1"/>
  <c r="S687" i="1"/>
  <c r="S688" i="1" s="1"/>
  <c r="S689" i="1" s="1"/>
  <c r="U689" i="1" s="1"/>
  <c r="V689" i="1" s="1"/>
  <c r="S1146" i="1"/>
  <c r="S1147" i="1" s="1"/>
  <c r="S1148" i="1" s="1"/>
  <c r="S1149" i="1" s="1"/>
  <c r="S1150" i="1" s="1"/>
  <c r="S1151" i="1" s="1"/>
  <c r="S1152" i="1" s="1"/>
  <c r="S1153" i="1" s="1"/>
  <c r="S1154" i="1" s="1"/>
  <c r="S1155" i="1" s="1"/>
  <c r="S1679" i="1"/>
  <c r="S1680" i="1" s="1"/>
  <c r="S1681" i="1" s="1"/>
  <c r="S1682" i="1" s="1"/>
  <c r="U1682" i="1" s="1"/>
  <c r="V1682" i="1" s="1"/>
  <c r="S1476" i="1"/>
  <c r="S1477" i="1" s="1"/>
  <c r="S1478" i="1" s="1"/>
  <c r="S858" i="1"/>
  <c r="S859" i="1" s="1"/>
  <c r="S860" i="1" s="1"/>
  <c r="S1385" i="1"/>
  <c r="S1386" i="1" s="1"/>
  <c r="S1387" i="1" s="1"/>
  <c r="S1388" i="1" s="1"/>
  <c r="S1389" i="1" s="1"/>
  <c r="S1390" i="1" s="1"/>
  <c r="S929" i="1"/>
  <c r="S930" i="1" s="1"/>
  <c r="S931" i="1" s="1"/>
  <c r="U931" i="1" s="1"/>
  <c r="V931" i="1" s="1"/>
  <c r="T497" i="1"/>
  <c r="T498" i="1"/>
  <c r="U498" i="1"/>
  <c r="V498" i="1" s="1"/>
  <c r="T449" i="1"/>
  <c r="T450" i="1" s="1"/>
  <c r="U450" i="1" s="1"/>
  <c r="V450" i="1" s="1"/>
  <c r="T465" i="1"/>
  <c r="T466" i="1"/>
  <c r="U466" i="1" s="1"/>
  <c r="V466" i="1" s="1"/>
  <c r="T349" i="1"/>
  <c r="T350" i="1"/>
  <c r="U350" i="1" s="1"/>
  <c r="V350" i="1" s="1"/>
  <c r="T560" i="1"/>
  <c r="T561" i="1"/>
  <c r="U561" i="1" s="1"/>
  <c r="V561" i="1" s="1"/>
  <c r="T1572" i="1"/>
  <c r="T1573" i="1"/>
  <c r="U1573" i="1"/>
  <c r="V1573" i="1" s="1"/>
  <c r="T525" i="1"/>
  <c r="T526" i="1"/>
  <c r="U526" i="1" s="1"/>
  <c r="V526" i="1" s="1"/>
  <c r="T329" i="1"/>
  <c r="T330" i="1" s="1"/>
  <c r="U330" i="1" s="1"/>
  <c r="V330" i="1" s="1"/>
  <c r="T469" i="1"/>
  <c r="T470" i="1" s="1"/>
  <c r="U470" i="1" s="1"/>
  <c r="V470" i="1" s="1"/>
  <c r="T136" i="1"/>
  <c r="T137" i="1" s="1"/>
  <c r="T138" i="1" s="1"/>
  <c r="U138" i="1" s="1"/>
  <c r="V138" i="1" s="1"/>
  <c r="T1753" i="1"/>
  <c r="T1754" i="1"/>
  <c r="U1754" i="1"/>
  <c r="V1754" i="1" s="1"/>
  <c r="T1763" i="1"/>
  <c r="T1764" i="1"/>
  <c r="U1764" i="1" s="1"/>
  <c r="V1764" i="1" s="1"/>
  <c r="T357" i="1"/>
  <c r="T358" i="1" s="1"/>
  <c r="U358" i="1" s="1"/>
  <c r="V358" i="1" s="1"/>
  <c r="T491" i="1"/>
  <c r="T492" i="1" s="1"/>
  <c r="U492" i="1" s="1"/>
  <c r="V492" i="1" s="1"/>
  <c r="T301" i="1"/>
  <c r="T302" i="1" s="1"/>
  <c r="U302" i="1" s="1"/>
  <c r="V302" i="1" s="1"/>
  <c r="T1337" i="1"/>
  <c r="T1338" i="1" s="1"/>
  <c r="U1338" i="1" s="1"/>
  <c r="V1338" i="1" s="1"/>
  <c r="T385" i="1"/>
  <c r="T386" i="1"/>
  <c r="U386" i="1"/>
  <c r="V386" i="1" s="1"/>
  <c r="T1125" i="1"/>
  <c r="T1126" i="1"/>
  <c r="U1126" i="1" s="1"/>
  <c r="V1126" i="1" s="1"/>
  <c r="T262" i="1"/>
  <c r="T263" i="1" s="1"/>
  <c r="U263" i="1" s="1"/>
  <c r="V263" i="1" s="1"/>
  <c r="T541" i="1"/>
  <c r="T542" i="1" s="1"/>
  <c r="U542" i="1" s="1"/>
  <c r="V542" i="1" s="1"/>
  <c r="T1495" i="1"/>
  <c r="T1496" i="1" s="1"/>
  <c r="U1496" i="1" s="1"/>
  <c r="V1496" i="1" s="1"/>
  <c r="T361" i="1"/>
  <c r="T362" i="1"/>
  <c r="U362" i="1"/>
  <c r="V362" i="1" s="1"/>
  <c r="T437" i="1"/>
  <c r="T438" i="1" s="1"/>
  <c r="U438" i="1" s="1"/>
  <c r="V438" i="1" s="1"/>
  <c r="T1425" i="1"/>
  <c r="T1426" i="1" s="1"/>
  <c r="U1426" i="1" s="1"/>
  <c r="V1426" i="1" s="1"/>
  <c r="T1733" i="1"/>
  <c r="T1734" i="1" s="1"/>
  <c r="U1734" i="1" s="1"/>
  <c r="V1734" i="1" s="1"/>
  <c r="T1631" i="1"/>
  <c r="T1632" i="1" s="1"/>
  <c r="U1632" i="1" s="1"/>
  <c r="V1632" i="1" s="1"/>
  <c r="T1353" i="1"/>
  <c r="T1354" i="1"/>
  <c r="U1354" i="1"/>
  <c r="V1354" i="1"/>
  <c r="T578" i="1"/>
  <c r="T579" i="1"/>
  <c r="U579" i="1" s="1"/>
  <c r="V579" i="1" s="1"/>
  <c r="T1365" i="1"/>
  <c r="T1366" i="1" s="1"/>
  <c r="U1366" i="1" s="1"/>
  <c r="V1366" i="1" s="1"/>
  <c r="T404" i="1"/>
  <c r="T405" i="1" s="1"/>
  <c r="U405" i="1" s="1"/>
  <c r="V405" i="1" s="1"/>
  <c r="T12" i="1"/>
  <c r="T13" i="1" s="1"/>
  <c r="U13" i="1" s="1"/>
  <c r="V13" i="1" s="1"/>
  <c r="T324" i="1"/>
  <c r="T325" i="1"/>
  <c r="U325" i="1"/>
  <c r="V325" i="1" s="1"/>
  <c r="T359" i="1"/>
  <c r="T360" i="1" s="1"/>
  <c r="U360" i="1" s="1"/>
  <c r="V360" i="1" s="1"/>
  <c r="T1256" i="1"/>
  <c r="T1257" i="1"/>
  <c r="U1257" i="1" s="1"/>
  <c r="V1257" i="1" s="1"/>
  <c r="T418" i="1"/>
  <c r="T419" i="1"/>
  <c r="U419" i="1" s="1"/>
  <c r="V419" i="1" s="1"/>
  <c r="T596" i="1"/>
  <c r="T597" i="1" s="1"/>
  <c r="U597" i="1" s="1"/>
  <c r="V597" i="1" s="1"/>
  <c r="T376" i="1"/>
  <c r="T377" i="1"/>
  <c r="U377" i="1"/>
  <c r="V377" i="1" s="1"/>
  <c r="T606" i="1"/>
  <c r="T607" i="1" s="1"/>
  <c r="U607" i="1" s="1"/>
  <c r="V607" i="1" s="1"/>
  <c r="T584" i="1"/>
  <c r="T585" i="1"/>
  <c r="U585" i="1" s="1"/>
  <c r="V585" i="1" s="1"/>
  <c r="T925" i="1"/>
  <c r="T926" i="1"/>
  <c r="U926" i="1" s="1"/>
  <c r="V926" i="1" s="1"/>
  <c r="T547" i="1"/>
  <c r="T548" i="1"/>
  <c r="U548" i="1" s="1"/>
  <c r="V548" i="1" s="1"/>
  <c r="T1451" i="1"/>
  <c r="T1452" i="1"/>
  <c r="U1452" i="1"/>
  <c r="V1452" i="1" s="1"/>
  <c r="T511" i="1"/>
  <c r="T512" i="1"/>
  <c r="U512" i="1" s="1"/>
  <c r="V512" i="1" s="1"/>
  <c r="T339" i="1"/>
  <c r="T340" i="1" s="1"/>
  <c r="U340" i="1" s="1"/>
  <c r="V340" i="1" s="1"/>
  <c r="T1279" i="1"/>
  <c r="T1280" i="1" s="1"/>
  <c r="U1280" i="1" s="1"/>
  <c r="V1280" i="1" s="1"/>
  <c r="T1745" i="1"/>
  <c r="T1746" i="1" s="1"/>
  <c r="U1746" i="1" s="1"/>
  <c r="V1746" i="1" s="1"/>
  <c r="T461" i="1"/>
  <c r="T462" i="1" s="1"/>
  <c r="U462" i="1" s="1"/>
  <c r="V462" i="1" s="1"/>
  <c r="T1369" i="1"/>
  <c r="T1370" i="1"/>
  <c r="U1370" i="1"/>
  <c r="V1370" i="1" s="1"/>
  <c r="S37" i="1"/>
  <c r="S38" i="1" s="1"/>
  <c r="S39" i="1" s="1"/>
  <c r="U39" i="1" s="1"/>
  <c r="V39" i="1" s="1"/>
  <c r="U38" i="1"/>
  <c r="V38" i="1" s="1"/>
  <c r="S253" i="1"/>
  <c r="S254" i="1"/>
  <c r="S255" i="1" s="1"/>
  <c r="U255" i="1" s="1"/>
  <c r="V255" i="1" s="1"/>
  <c r="U254" i="1"/>
  <c r="V254" i="1" s="1"/>
  <c r="S79" i="1"/>
  <c r="S80" i="1"/>
  <c r="S81" i="1" s="1"/>
  <c r="U81" i="1" s="1"/>
  <c r="V81" i="1" s="1"/>
  <c r="U80" i="1"/>
  <c r="V80" i="1" s="1"/>
  <c r="T576" i="1"/>
  <c r="T577" i="1"/>
  <c r="U577" i="1" s="1"/>
  <c r="V577" i="1" s="1"/>
  <c r="S1492" i="1"/>
  <c r="S1493" i="1" s="1"/>
  <c r="S1494" i="1" s="1"/>
  <c r="U1494" i="1" s="1"/>
  <c r="V1494" i="1" s="1"/>
  <c r="U1493" i="1"/>
  <c r="V1493" i="1" s="1"/>
  <c r="T533" i="1"/>
  <c r="T534" i="1"/>
  <c r="U534" i="1"/>
  <c r="V534" i="1" s="1"/>
  <c r="S278" i="1"/>
  <c r="S279" i="1"/>
  <c r="S280" i="1" s="1"/>
  <c r="U280" i="1" s="1"/>
  <c r="V280" i="1" s="1"/>
  <c r="T517" i="1"/>
  <c r="T518" i="1" s="1"/>
  <c r="U518" i="1" s="1"/>
  <c r="V518" i="1" s="1"/>
  <c r="S193" i="1"/>
  <c r="S194" i="1" s="1"/>
  <c r="S195" i="1" s="1"/>
  <c r="U195" i="1" s="1"/>
  <c r="V195" i="1" s="1"/>
  <c r="U194" i="1"/>
  <c r="V194" i="1" s="1"/>
  <c r="S28" i="1"/>
  <c r="S29" i="1" s="1"/>
  <c r="S30" i="1" s="1"/>
  <c r="U30" i="1" s="1"/>
  <c r="V30" i="1" s="1"/>
  <c r="U29" i="1"/>
  <c r="V29" i="1" s="1"/>
  <c r="S31" i="1"/>
  <c r="S32" i="1" s="1"/>
  <c r="S33" i="1" s="1"/>
  <c r="U33" i="1" s="1"/>
  <c r="V33" i="1" s="1"/>
  <c r="U32" i="1"/>
  <c r="V32" i="1" s="1"/>
  <c r="T602" i="1"/>
  <c r="T603" i="1"/>
  <c r="U603" i="1"/>
  <c r="V603" i="1" s="1"/>
  <c r="S196" i="1"/>
  <c r="S197" i="1" s="1"/>
  <c r="S198" i="1" s="1"/>
  <c r="U198" i="1" s="1"/>
  <c r="V198" i="1" s="1"/>
  <c r="U197" i="1"/>
  <c r="V197" i="1" s="1"/>
  <c r="S217" i="1"/>
  <c r="S218" i="1" s="1"/>
  <c r="S219" i="1" s="1"/>
  <c r="U219" i="1" s="1"/>
  <c r="V219" i="1" s="1"/>
  <c r="U218" i="1"/>
  <c r="V218" i="1" s="1"/>
  <c r="S82" i="1"/>
  <c r="S83" i="1" s="1"/>
  <c r="S84" i="1" s="1"/>
  <c r="U84" i="1" s="1"/>
  <c r="V84" i="1" s="1"/>
  <c r="U83" i="1"/>
  <c r="V83" i="1" s="1"/>
  <c r="S58" i="1"/>
  <c r="S59" i="1" s="1"/>
  <c r="S60" i="1" s="1"/>
  <c r="U60" i="1" s="1"/>
  <c r="V60" i="1" s="1"/>
  <c r="U59" i="1"/>
  <c r="V59" i="1" s="1"/>
  <c r="S40" i="1"/>
  <c r="S41" i="1"/>
  <c r="S42" i="1" s="1"/>
  <c r="U42" i="1" s="1"/>
  <c r="V42" i="1" s="1"/>
  <c r="U41" i="1"/>
  <c r="V41" i="1"/>
  <c r="S232" i="1"/>
  <c r="S233" i="1" s="1"/>
  <c r="S234" i="1" s="1"/>
  <c r="U234" i="1" s="1"/>
  <c r="V234" i="1" s="1"/>
  <c r="U233" i="1"/>
  <c r="V233" i="1" s="1"/>
  <c r="S308" i="1"/>
  <c r="S309" i="1" s="1"/>
  <c r="S310" i="1" s="1"/>
  <c r="U310" i="1" s="1"/>
  <c r="V310" i="1" s="1"/>
  <c r="U309" i="1"/>
  <c r="V309" i="1" s="1"/>
  <c r="S214" i="1"/>
  <c r="S215" i="1"/>
  <c r="S216" i="1" s="1"/>
  <c r="U216" i="1" s="1"/>
  <c r="V216" i="1" s="1"/>
  <c r="U215" i="1"/>
  <c r="V215" i="1" s="1"/>
  <c r="T473" i="1"/>
  <c r="T474" i="1"/>
  <c r="U474" i="1" s="1"/>
  <c r="V474" i="1" s="1"/>
  <c r="S43" i="1"/>
  <c r="S44" i="1" s="1"/>
  <c r="S45" i="1" s="1"/>
  <c r="U45" i="1" s="1"/>
  <c r="V45" i="1" s="1"/>
  <c r="U44" i="1"/>
  <c r="V44" i="1" s="1"/>
  <c r="S267" i="1"/>
  <c r="S268" i="1" s="1"/>
  <c r="S269" i="1" s="1"/>
  <c r="U269" i="1" s="1"/>
  <c r="V269" i="1" s="1"/>
  <c r="U268" i="1"/>
  <c r="V268" i="1"/>
  <c r="S70" i="1"/>
  <c r="S71" i="1" s="1"/>
  <c r="S72" i="1" s="1"/>
  <c r="U72" i="1" s="1"/>
  <c r="V72" i="1" s="1"/>
  <c r="U71" i="1"/>
  <c r="V71" i="1" s="1"/>
  <c r="T353" i="1"/>
  <c r="T354" i="1"/>
  <c r="U354" i="1" s="1"/>
  <c r="V354" i="1" s="1"/>
  <c r="T1725" i="1"/>
  <c r="T1726" i="1" s="1"/>
  <c r="U1726" i="1" s="1"/>
  <c r="V1726" i="1" s="1"/>
  <c r="S220" i="1"/>
  <c r="S221" i="1" s="1"/>
  <c r="S222" i="1" s="1"/>
  <c r="U222" i="1" s="1"/>
  <c r="V222" i="1" s="1"/>
  <c r="S187" i="1"/>
  <c r="S188" i="1" s="1"/>
  <c r="S189" i="1" s="1"/>
  <c r="U189" i="1" s="1"/>
  <c r="V189" i="1" s="1"/>
  <c r="U188" i="1"/>
  <c r="V188" i="1" s="1"/>
  <c r="T424" i="1"/>
  <c r="T425" i="1"/>
  <c r="U425" i="1"/>
  <c r="V425" i="1" s="1"/>
  <c r="S64" i="1"/>
  <c r="S65" i="1"/>
  <c r="S66" i="1" s="1"/>
  <c r="U66" i="1" s="1"/>
  <c r="V66" i="1" s="1"/>
  <c r="U65" i="1"/>
  <c r="V65" i="1" s="1"/>
  <c r="T273" i="1"/>
  <c r="T274" i="1"/>
  <c r="U274" i="1" s="1"/>
  <c r="V274" i="1" s="1"/>
  <c r="S305" i="1"/>
  <c r="S306" i="1" s="1"/>
  <c r="S307" i="1" s="1"/>
  <c r="U306" i="1"/>
  <c r="V306" i="1" s="1"/>
  <c r="S25" i="1"/>
  <c r="S26" i="1" s="1"/>
  <c r="S27" i="1" s="1"/>
  <c r="U27" i="1" s="1"/>
  <c r="V27" i="1" s="1"/>
  <c r="U26" i="1"/>
  <c r="V26" i="1" s="1"/>
  <c r="T564" i="1"/>
  <c r="T565" i="1" s="1"/>
  <c r="U565" i="1" s="1"/>
  <c r="V565" i="1" s="1"/>
  <c r="S85" i="1"/>
  <c r="S86" i="1" s="1"/>
  <c r="S87" i="1" s="1"/>
  <c r="U86" i="1"/>
  <c r="V86" i="1" s="1"/>
  <c r="S6" i="1"/>
  <c r="S7" i="1" s="1"/>
  <c r="S8" i="1" s="1"/>
  <c r="U8" i="1" s="1"/>
  <c r="V8" i="1" s="1"/>
  <c r="S157" i="1"/>
  <c r="S158" i="1" s="1"/>
  <c r="S159" i="1" s="1"/>
  <c r="U159" i="1" s="1"/>
  <c r="V159" i="1" s="1"/>
  <c r="U158" i="1"/>
  <c r="V158" i="1" s="1"/>
  <c r="S52" i="1"/>
  <c r="S53" i="1" s="1"/>
  <c r="S54" i="1" s="1"/>
  <c r="U54" i="1" s="1"/>
  <c r="V54" i="1" s="1"/>
  <c r="S46" i="1"/>
  <c r="S47" i="1" s="1"/>
  <c r="S48" i="1" s="1"/>
  <c r="U48" i="1" s="1"/>
  <c r="V48" i="1" s="1"/>
  <c r="U47" i="1"/>
  <c r="V47" i="1" s="1"/>
  <c r="S477" i="1"/>
  <c r="S478" i="1" s="1"/>
  <c r="U477" i="1"/>
  <c r="V477" i="1" s="1"/>
  <c r="S1618" i="1"/>
  <c r="S1619" i="1" s="1"/>
  <c r="S1620" i="1" s="1"/>
  <c r="S1621" i="1" s="1"/>
  <c r="U1621" i="1" s="1"/>
  <c r="V1621" i="1" s="1"/>
  <c r="S76" i="1"/>
  <c r="S77" i="1" s="1"/>
  <c r="S78" i="1" s="1"/>
  <c r="S142" i="1"/>
  <c r="S143" i="1" s="1"/>
  <c r="S144" i="1" s="1"/>
  <c r="U142" i="1"/>
  <c r="V142" i="1" s="1"/>
  <c r="S14" i="1"/>
  <c r="S15" i="1" s="1"/>
  <c r="U15" i="1" s="1"/>
  <c r="V15" i="1" s="1"/>
  <c r="S127" i="1"/>
  <c r="S128" i="1" s="1"/>
  <c r="S129" i="1" s="1"/>
  <c r="U129" i="1" s="1"/>
  <c r="V129" i="1" s="1"/>
  <c r="U128" i="1"/>
  <c r="V128" i="1" s="1"/>
  <c r="U46" i="1"/>
  <c r="V46" i="1" s="1"/>
  <c r="S184" i="1"/>
  <c r="S185" i="1" s="1"/>
  <c r="S186" i="1" s="1"/>
  <c r="U186" i="1" s="1"/>
  <c r="V186" i="1" s="1"/>
  <c r="U185" i="1"/>
  <c r="V185" i="1" s="1"/>
  <c r="U53" i="1"/>
  <c r="V53" i="1" s="1"/>
  <c r="S73" i="1"/>
  <c r="S74" i="1" s="1"/>
  <c r="S75" i="1" s="1"/>
  <c r="U75" i="1" s="1"/>
  <c r="V75" i="1" s="1"/>
  <c r="S55" i="1"/>
  <c r="S56" i="1" s="1"/>
  <c r="S57" i="1" s="1"/>
  <c r="U56" i="1"/>
  <c r="V56" i="1" s="1"/>
  <c r="S614" i="1"/>
  <c r="S615" i="1" s="1"/>
  <c r="U615" i="1" s="1"/>
  <c r="V615" i="1" s="1"/>
  <c r="S804" i="1"/>
  <c r="S805" i="1" s="1"/>
  <c r="S806" i="1" s="1"/>
  <c r="U806" i="1" s="1"/>
  <c r="V806" i="1" s="1"/>
  <c r="S250" i="1"/>
  <c r="S251" i="1" s="1"/>
  <c r="S252" i="1" s="1"/>
  <c r="U252" i="1" s="1"/>
  <c r="V252" i="1" s="1"/>
  <c r="U251" i="1"/>
  <c r="V251" i="1" s="1"/>
  <c r="U85" i="1"/>
  <c r="V85" i="1" s="1"/>
  <c r="U305" i="1"/>
  <c r="V305" i="1" s="1"/>
  <c r="S1090" i="1"/>
  <c r="S1091" i="1" s="1"/>
  <c r="S1092" i="1" s="1"/>
  <c r="S124" i="1"/>
  <c r="S125" i="1" s="1"/>
  <c r="S126" i="1" s="1"/>
  <c r="U126" i="1" s="1"/>
  <c r="V126" i="1" s="1"/>
  <c r="U125" i="1"/>
  <c r="V125" i="1" s="1"/>
  <c r="S1322" i="1"/>
  <c r="S1323" i="1" s="1"/>
  <c r="S1324" i="1" s="1"/>
  <c r="S735" i="1"/>
  <c r="S736" i="1" s="1"/>
  <c r="S737" i="1" s="1"/>
  <c r="U737" i="1" s="1"/>
  <c r="V737" i="1" s="1"/>
  <c r="U143" i="1"/>
  <c r="V143" i="1" s="1"/>
  <c r="S1026" i="1"/>
  <c r="S1027" i="1" s="1"/>
  <c r="S1028" i="1" s="1"/>
  <c r="S34" i="1"/>
  <c r="S35" i="1"/>
  <c r="S36" i="1" s="1"/>
  <c r="U34" i="1"/>
  <c r="V34" i="1" s="1"/>
  <c r="U74" i="1"/>
  <c r="V74" i="1" s="1"/>
  <c r="S295" i="1"/>
  <c r="S296" i="1" s="1"/>
  <c r="S297" i="1" s="1"/>
  <c r="U297" i="1" s="1"/>
  <c r="V297" i="1" s="1"/>
  <c r="U35" i="1"/>
  <c r="V35" i="1"/>
  <c r="U58" i="1"/>
  <c r="V58" i="1" s="1"/>
  <c r="S9" i="1"/>
  <c r="S10" i="1" s="1"/>
  <c r="S11" i="1" s="1"/>
  <c r="U11" i="1" s="1"/>
  <c r="V11" i="1" s="1"/>
  <c r="U55" i="1"/>
  <c r="V55" i="1" s="1"/>
  <c r="U76" i="1"/>
  <c r="V76" i="1" s="1"/>
  <c r="U1619" i="1"/>
  <c r="V1619" i="1" s="1"/>
  <c r="T305" i="1"/>
  <c r="T306" i="1" s="1"/>
  <c r="T307" i="1" s="1"/>
  <c r="T142" i="1"/>
  <c r="T143" i="1" s="1"/>
  <c r="T144" i="1" s="1"/>
  <c r="T58" i="1"/>
  <c r="T59" i="1"/>
  <c r="T60" i="1"/>
  <c r="T76" i="1"/>
  <c r="T77" i="1"/>
  <c r="T78" i="1"/>
  <c r="T477" i="1"/>
  <c r="T478" i="1"/>
  <c r="T34" i="1"/>
  <c r="T35" i="1" s="1"/>
  <c r="T36" i="1" s="1"/>
  <c r="T85" i="1"/>
  <c r="T86" i="1"/>
  <c r="T87" i="1" s="1"/>
  <c r="T55" i="1"/>
  <c r="T56" i="1" s="1"/>
  <c r="T57" i="1" s="1"/>
  <c r="T768" i="1"/>
  <c r="T769" i="1" s="1"/>
  <c r="T770" i="1" s="1"/>
  <c r="U731" i="1" l="1"/>
  <c r="V731" i="1" s="1"/>
  <c r="U913" i="1"/>
  <c r="V913" i="1" s="1"/>
  <c r="U1255" i="1"/>
  <c r="V1255" i="1" s="1"/>
  <c r="U1194" i="1"/>
  <c r="V1194" i="1" s="1"/>
  <c r="U710" i="1"/>
  <c r="V710" i="1" s="1"/>
  <c r="U1324" i="1"/>
  <c r="V1324" i="1" s="1"/>
  <c r="U1260" i="1"/>
  <c r="V1260" i="1" s="1"/>
  <c r="U1290" i="1"/>
  <c r="V1290" i="1" s="1"/>
  <c r="U1472" i="1"/>
  <c r="V1472" i="1" s="1"/>
  <c r="U1141" i="1"/>
  <c r="V1141" i="1" s="1"/>
  <c r="U1593" i="1"/>
  <c r="V1593" i="1" s="1"/>
  <c r="U87" i="1"/>
  <c r="V87" i="1" s="1"/>
  <c r="U1272" i="1"/>
  <c r="V1272" i="1" s="1"/>
  <c r="U1306" i="1"/>
  <c r="V1306" i="1" s="1"/>
  <c r="U908" i="1"/>
  <c r="V908" i="1" s="1"/>
  <c r="U1128" i="1"/>
  <c r="V1128" i="1" s="1"/>
  <c r="U1092" i="1"/>
  <c r="V1092" i="1" s="1"/>
  <c r="U1016" i="1"/>
  <c r="V1016" i="1" s="1"/>
  <c r="U773" i="1"/>
  <c r="V773" i="1" s="1"/>
  <c r="U740" i="1"/>
  <c r="V740" i="1" s="1"/>
  <c r="U660" i="1"/>
  <c r="V660" i="1" s="1"/>
  <c r="U1049" i="1"/>
  <c r="V1049" i="1" s="1"/>
  <c r="U937" i="1"/>
  <c r="V937" i="1" s="1"/>
  <c r="U788" i="1"/>
  <c r="V788" i="1" s="1"/>
  <c r="U1214" i="1"/>
  <c r="V1214" i="1" s="1"/>
  <c r="U680" i="1"/>
  <c r="V680" i="1" s="1"/>
  <c r="U1582" i="1"/>
  <c r="V1582" i="1" s="1"/>
  <c r="U1057" i="1"/>
  <c r="V1057" i="1" s="1"/>
  <c r="U144" i="1"/>
  <c r="V144" i="1" s="1"/>
  <c r="U1390" i="1"/>
  <c r="V1390" i="1" s="1"/>
  <c r="U1438" i="1"/>
  <c r="V1438" i="1" s="1"/>
  <c r="U918" i="1"/>
  <c r="V918" i="1" s="1"/>
  <c r="U1010" i="1"/>
  <c r="V1010" i="1" s="1"/>
  <c r="U980" i="1"/>
  <c r="V980" i="1" s="1"/>
  <c r="U820" i="1"/>
  <c r="V820" i="1" s="1"/>
  <c r="U1517" i="1"/>
  <c r="V1517" i="1" s="1"/>
  <c r="U848" i="1"/>
  <c r="V848" i="1" s="1"/>
  <c r="U860" i="1"/>
  <c r="V860" i="1" s="1"/>
  <c r="U1336" i="1"/>
  <c r="V1336" i="1" s="1"/>
  <c r="U1364" i="1"/>
  <c r="V1364" i="1" s="1"/>
  <c r="U1221" i="1"/>
  <c r="V1221" i="1" s="1"/>
  <c r="U671" i="1"/>
  <c r="V671" i="1" s="1"/>
  <c r="U1244" i="1"/>
  <c r="V1244" i="1" s="1"/>
  <c r="U734" i="1"/>
  <c r="V734" i="1" s="1"/>
  <c r="U1603" i="1"/>
  <c r="V1603" i="1" s="1"/>
  <c r="U1278" i="1"/>
  <c r="V1278" i="1" s="1"/>
  <c r="U1542" i="1"/>
  <c r="V1542" i="1" s="1"/>
  <c r="U1537" i="1"/>
  <c r="V1537" i="1" s="1"/>
  <c r="U1571" i="1"/>
  <c r="V1571" i="1" s="1"/>
  <c r="U1488" i="1"/>
  <c r="V1488" i="1" s="1"/>
  <c r="U1418" i="1"/>
  <c r="V1418" i="1" s="1"/>
  <c r="U78" i="1"/>
  <c r="V78" i="1" s="1"/>
  <c r="U1478" i="1"/>
  <c r="V1478" i="1" s="1"/>
  <c r="U1321" i="1"/>
  <c r="V1321" i="1" s="1"/>
  <c r="U897" i="1"/>
  <c r="V897" i="1" s="1"/>
  <c r="U845" i="1"/>
  <c r="V845" i="1" s="1"/>
  <c r="U692" i="1"/>
  <c r="V692" i="1" s="1"/>
  <c r="U1037" i="1"/>
  <c r="V1037" i="1" s="1"/>
  <c r="U1432" i="1"/>
  <c r="V1432" i="1" s="1"/>
  <c r="U1131" i="1"/>
  <c r="V1131" i="1" s="1"/>
  <c r="U876" i="1"/>
  <c r="V876" i="1" s="1"/>
  <c r="U983" i="1"/>
  <c r="V983" i="1" s="1"/>
  <c r="U770" i="1"/>
  <c r="V770" i="1" s="1"/>
  <c r="U956" i="1"/>
  <c r="V956" i="1" s="1"/>
  <c r="U1239" i="1"/>
  <c r="V1239" i="1" s="1"/>
  <c r="U794" i="1"/>
  <c r="V794" i="1" s="1"/>
  <c r="U761" i="1"/>
  <c r="V761" i="1" s="1"/>
  <c r="U993" i="1"/>
  <c r="V993" i="1" s="1"/>
  <c r="U36" i="1"/>
  <c r="V36" i="1" s="1"/>
  <c r="U1155" i="1"/>
  <c r="V1155" i="1" s="1"/>
  <c r="U713" i="1"/>
  <c r="V713" i="1" s="1"/>
  <c r="U817" i="1"/>
  <c r="V817" i="1" s="1"/>
  <c r="U857" i="1"/>
  <c r="V857" i="1" s="1"/>
  <c r="U749" i="1"/>
  <c r="V749" i="1" s="1"/>
  <c r="U779" i="1"/>
  <c r="V779" i="1" s="1"/>
  <c r="U1704" i="1"/>
  <c r="V1704" i="1" s="1"/>
  <c r="U870" i="1"/>
  <c r="V870" i="1" s="1"/>
  <c r="U683" i="1"/>
  <c r="V683" i="1" s="1"/>
  <c r="U1696" i="1"/>
  <c r="V1696" i="1" s="1"/>
  <c r="U1501" i="1"/>
  <c r="V1501" i="1" s="1"/>
  <c r="U478" i="1"/>
  <c r="V478" i="1" s="1"/>
  <c r="U57" i="1"/>
  <c r="V57" i="1" s="1"/>
  <c r="U1124" i="1"/>
  <c r="V1124" i="1" s="1"/>
  <c r="U746" i="1"/>
  <c r="V746" i="1" s="1"/>
  <c r="U910" i="1"/>
  <c r="V910" i="1" s="1"/>
  <c r="U657" i="1"/>
  <c r="V657" i="1" s="1"/>
  <c r="U695" i="1"/>
  <c r="V695" i="1" s="1"/>
  <c r="U814" i="1"/>
  <c r="V814" i="1" s="1"/>
  <c r="U1612" i="1"/>
  <c r="V1612" i="1" s="1"/>
  <c r="U1028" i="1"/>
  <c r="V1028" i="1" s="1"/>
  <c r="U840" i="1"/>
  <c r="V840" i="1" s="1"/>
  <c r="U1208" i="1"/>
  <c r="V1208" i="1" s="1"/>
  <c r="U791" i="1"/>
  <c r="V791" i="1" s="1"/>
  <c r="U1180" i="1"/>
  <c r="V1180" i="1" s="1"/>
  <c r="U891" i="1"/>
  <c r="V891" i="1" s="1"/>
  <c r="U701" i="1"/>
  <c r="V701" i="1" s="1"/>
  <c r="U1607" i="1"/>
  <c r="V1607" i="1" s="1"/>
  <c r="U1309" i="1"/>
  <c r="V1309" i="1" s="1"/>
  <c r="U916" i="1"/>
  <c r="V916" i="1" s="1"/>
  <c r="U1224" i="1"/>
  <c r="V1224" i="1" s="1"/>
  <c r="U755" i="1"/>
  <c r="V755" i="1" s="1"/>
  <c r="U879" i="1"/>
  <c r="V879" i="1" s="1"/>
  <c r="U654" i="1"/>
  <c r="V654" i="1" s="1"/>
  <c r="U1491" i="1"/>
  <c r="V1491" i="1" s="1"/>
  <c r="U1169" i="1"/>
  <c r="V1169" i="1" s="1"/>
  <c r="U1184" i="1"/>
  <c r="V1184" i="1" s="1"/>
  <c r="U1378" i="1"/>
  <c r="V1378" i="1" s="1"/>
  <c r="U1107" i="1"/>
  <c r="V1107" i="1" s="1"/>
  <c r="U785" i="1"/>
  <c r="V785" i="1" s="1"/>
  <c r="U1032" i="1"/>
  <c r="V1032" i="1" s="1"/>
  <c r="U307" i="1"/>
  <c r="V307" i="1" s="1"/>
  <c r="U1023" i="1"/>
  <c r="V1023" i="1" s="1"/>
  <c r="U1513" i="1"/>
  <c r="V1513" i="1" s="1"/>
  <c r="U822" i="1"/>
  <c r="V822" i="1" s="1"/>
  <c r="U1731" i="1"/>
  <c r="V1731" i="1" s="1"/>
  <c r="U1446" i="1"/>
  <c r="V1446" i="1" s="1"/>
  <c r="U969" i="1"/>
  <c r="V969" i="1" s="1"/>
  <c r="U1525" i="1"/>
  <c r="V1525" i="1" s="1"/>
  <c r="U920" i="1"/>
  <c r="V920" i="1" s="1"/>
</calcChain>
</file>

<file path=xl/sharedStrings.xml><?xml version="1.0" encoding="utf-8"?>
<sst xmlns="http://schemas.openxmlformats.org/spreadsheetml/2006/main" count="11296" uniqueCount="1799">
  <si>
    <t>X</t>
  </si>
  <si>
    <t>f</t>
  </si>
  <si>
    <t>e</t>
  </si>
  <si>
    <t>04ShWaGo.03</t>
  </si>
  <si>
    <t>11RaTeWa.SrH-668</t>
  </si>
  <si>
    <t>04ShWaGo.01</t>
  </si>
  <si>
    <t>04ShWaGo.04</t>
  </si>
  <si>
    <t>11RaTeWa.SrH-665</t>
  </si>
  <si>
    <t>11RaTeWa.SrH-667</t>
  </si>
  <si>
    <t>11RaTeWa.SrH-669</t>
  </si>
  <si>
    <t>11RaTeWa.SrH-671</t>
  </si>
  <si>
    <t>04ShWaGo.02</t>
  </si>
  <si>
    <t>11RaTeWa.SrH-666</t>
  </si>
  <si>
    <t>11RaTeWa.SrH-670</t>
  </si>
  <si>
    <t>04ShWaGo.07</t>
  </si>
  <si>
    <t>04ShWaGo.08</t>
  </si>
  <si>
    <t>04ShWaGo.94</t>
  </si>
  <si>
    <t>04ShWaGo.132</t>
  </si>
  <si>
    <t>11RaTeWa.SrH-552</t>
  </si>
  <si>
    <t>11RaTeWa.SrH-615</t>
  </si>
  <si>
    <t>04ShWaGo.06</t>
  </si>
  <si>
    <t>04ShWaGo.46</t>
  </si>
  <si>
    <t>04ShWaGo.68</t>
  </si>
  <si>
    <t>04ShWaGo.88</t>
  </si>
  <si>
    <t>04ShWaGo.95</t>
  </si>
  <si>
    <t>04ShWaGo.133</t>
  </si>
  <si>
    <t>11RaTeWa.SrH-444</t>
  </si>
  <si>
    <t>11RaTeWa.SrH-446</t>
  </si>
  <si>
    <t>11RaTeWa.SrH-482</t>
  </si>
  <si>
    <t>11RaTeWa.SrH-551</t>
  </si>
  <si>
    <t>11RaTeWa.SrH-553</t>
  </si>
  <si>
    <t>11RaTeWa.SrH-614</t>
  </si>
  <si>
    <t>11RaTeWa.SrH-616</t>
  </si>
  <si>
    <t>11RaTeWa.SrH-659</t>
  </si>
  <si>
    <t>04ShWaGo.05</t>
  </si>
  <si>
    <t>04ShWaGo.45</t>
  </si>
  <si>
    <t>04ShWaGo.87</t>
  </si>
  <si>
    <t>04ShWaGo.93</t>
  </si>
  <si>
    <t>04ShWaGo.96</t>
  </si>
  <si>
    <t>04ShWaGo.97</t>
  </si>
  <si>
    <t>04ShWaGo.124</t>
  </si>
  <si>
    <t>04ShWaGo.134</t>
  </si>
  <si>
    <t>11RaTeWa.SrH-443</t>
  </si>
  <si>
    <t>11RaTeWa.SrH-445</t>
  </si>
  <si>
    <t>11RaTeWa.SrH-447</t>
  </si>
  <si>
    <t>11RaTeWa.SrH-483</t>
  </si>
  <si>
    <t>11RaTeWa.SrH-499</t>
  </si>
  <si>
    <t>11RaTeWa.SrH-550</t>
  </si>
  <si>
    <t>11RaTeWa.SrH-554</t>
  </si>
  <si>
    <t>11RaTeWa.SrH-613</t>
  </si>
  <si>
    <t>11RaTeWa.SrH-617</t>
  </si>
  <si>
    <t>11RaTeWa.SrH-648</t>
  </si>
  <si>
    <t>11RaTeWa.SrH-658</t>
  </si>
  <si>
    <t>11RaTeWa.SrH-660</t>
  </si>
  <si>
    <t>04ShWaGo.44</t>
  </si>
  <si>
    <t>04ShWaGo.51</t>
  </si>
  <si>
    <t>04ShWaGo.86</t>
  </si>
  <si>
    <t>04ShWaGo.99</t>
  </si>
  <si>
    <t>04ShWaGo.125</t>
  </si>
  <si>
    <t>04ShWaGo.135</t>
  </si>
  <si>
    <t>11RaTeWa.SrH-448</t>
  </si>
  <si>
    <t>11RaTeWa.SrH-465</t>
  </si>
  <si>
    <t>11RaTeWa.SrH-484</t>
  </si>
  <si>
    <t>11RaTeWa.SrH-500</t>
  </si>
  <si>
    <t>11RaTeWa.SrH-549</t>
  </si>
  <si>
    <t>11RaTeWa.SrH-555</t>
  </si>
  <si>
    <t>11RaTeWa.SrH-612</t>
  </si>
  <si>
    <t>11RaTeWa.SrH-618</t>
  </si>
  <si>
    <t>11RaTeWa.SrH-647</t>
  </si>
  <si>
    <t>11RaTeWa.SrH-649</t>
  </si>
  <si>
    <t>04ShWaGo.43</t>
  </si>
  <si>
    <t>04ShWaGo.85</t>
  </si>
  <si>
    <t>04ShWaGo.100</t>
  </si>
  <si>
    <t>04ShWaGo.136</t>
  </si>
  <si>
    <t>11RaTeWa.SrH-449</t>
  </si>
  <si>
    <t>11RaTeWa.SrH-466</t>
  </si>
  <si>
    <t>11RaTeWa.SrH-485</t>
  </si>
  <si>
    <t>11RaTeWa.SrH-501</t>
  </si>
  <si>
    <t>11RaTeWa.SrH-548</t>
  </si>
  <si>
    <t>11RaTeWa.SrH-556</t>
  </si>
  <si>
    <t>11RaTeWa.SrH-611</t>
  </si>
  <si>
    <t>11RaTeWa.SrH-619</t>
  </si>
  <si>
    <t>04ShWaGo.42</t>
  </si>
  <si>
    <t>04ShWaGo.84</t>
  </si>
  <si>
    <t>04ShWaGo.92</t>
  </si>
  <si>
    <t>04ShWaGo.98</t>
  </si>
  <si>
    <t>04ShWaGo.101</t>
  </si>
  <si>
    <t>04ShWaGo.137</t>
  </si>
  <si>
    <t>11RaTeWa.SrH-450</t>
  </si>
  <si>
    <t>11RaTeWa.SrH-467</t>
  </si>
  <si>
    <t>11RaTeWa.SrH-486</t>
  </si>
  <si>
    <t>11RaTeWa.SrH-502</t>
  </si>
  <si>
    <t>11RaTeWa.SrH-547</t>
  </si>
  <si>
    <t>11RaTeWa.SrH-557</t>
  </si>
  <si>
    <t>11RaTeWa.SrH-610</t>
  </si>
  <si>
    <t>11RaTeWa.SrH-620</t>
  </si>
  <si>
    <t>11RaTeWa.SrH-657</t>
  </si>
  <si>
    <t>11RaTeWa.SrH-661</t>
  </si>
  <si>
    <t>04ShWaGo.41</t>
  </si>
  <si>
    <t>04ShWaGo.50</t>
  </si>
  <si>
    <t>04ShWaGo.83</t>
  </si>
  <si>
    <t>04ShWaGo.91</t>
  </si>
  <si>
    <t>04ShWaGo.102</t>
  </si>
  <si>
    <t>04ShWaGo.126</t>
  </si>
  <si>
    <t>04ShWaGo.127</t>
  </si>
  <si>
    <t>04ShWaGo.138</t>
  </si>
  <si>
    <t>11RaTeWa.SrH-451</t>
  </si>
  <si>
    <t>11RaTeWa.SrH-468</t>
  </si>
  <si>
    <t>11RaTeWa.SrH-487</t>
  </si>
  <si>
    <t>11RaTeWa.SrH-503</t>
  </si>
  <si>
    <t>11RaTeWa.SrH-546</t>
  </si>
  <si>
    <t>11RaTeWa.SrH-558</t>
  </si>
  <si>
    <t>11RaTeWa.SrH-609</t>
  </si>
  <si>
    <t>11RaTeWa.SrH-621</t>
  </si>
  <si>
    <t>11RaTeWa.SrH-646</t>
  </si>
  <si>
    <t>11RaTeWa.SrH-650</t>
  </si>
  <si>
    <t>11RaTeWa.SrH-656</t>
  </si>
  <si>
    <t>11RaTeWa.SrH-662</t>
  </si>
  <si>
    <t>04ShWaGo.40</t>
  </si>
  <si>
    <t>04ShWaGo.49</t>
  </si>
  <si>
    <t>04ShWaGo.82</t>
  </si>
  <si>
    <t>04ShWaGo.103</t>
  </si>
  <si>
    <t>04ShWaGo.128</t>
  </si>
  <si>
    <t>04ShWaGo.129</t>
  </si>
  <si>
    <t>04ShWaGo.139</t>
  </si>
  <si>
    <t>11RaTeWa.SrH-452</t>
  </si>
  <si>
    <t>11RaTeWa.SrH-469</t>
  </si>
  <si>
    <t>11RaTeWa.SrH-488</t>
  </si>
  <si>
    <t>11RaTeWa.SrH-504</t>
  </si>
  <si>
    <t>11RaTeWa.SrH-545</t>
  </si>
  <si>
    <t>11RaTeWa.SrH-559</t>
  </si>
  <si>
    <t>11RaTeWa.SrH-608</t>
  </si>
  <si>
    <t>11RaTeWa.SrH-622</t>
  </si>
  <si>
    <t>11RaTeWa.SrH-645</t>
  </si>
  <si>
    <t>11RaTeWa.SrH-651</t>
  </si>
  <si>
    <t>11RaTeWa.SrH-663</t>
  </si>
  <si>
    <t>04ShWaGo.39</t>
  </si>
  <si>
    <t>04ShWaGo.81</t>
  </si>
  <si>
    <t>04ShWaGo.90</t>
  </si>
  <si>
    <t>04ShWaGo.104</t>
  </si>
  <si>
    <t>04ShWaGo.130</t>
  </si>
  <si>
    <t>04ShWaGo.140</t>
  </si>
  <si>
    <t>11RaTeWa.SrH-453</t>
  </si>
  <si>
    <t>11RaTeWa.SrH-470</t>
  </si>
  <si>
    <t>11RaTeWa.SrH-489</t>
  </si>
  <si>
    <t>11RaTeWa.SrH-505</t>
  </si>
  <si>
    <t>11RaTeWa.SrH-544</t>
  </si>
  <si>
    <t>11RaTeWa.SrH-560</t>
  </si>
  <si>
    <t>11RaTeWa.SrH-607</t>
  </si>
  <si>
    <t>11RaTeWa.SrH-623</t>
  </si>
  <si>
    <t>11RaTeWa.SrH-652</t>
  </si>
  <si>
    <t>11RaTeWa.SrH-655</t>
  </si>
  <si>
    <t>04ShWaGo.36</t>
  </si>
  <si>
    <t>04ShWaGo.48</t>
  </si>
  <si>
    <t>04ShWaGo.80</t>
  </si>
  <si>
    <t>04ShWaGo.105</t>
  </si>
  <si>
    <t>04ShWaGo.141</t>
  </si>
  <si>
    <t>04ShWaGo.157</t>
  </si>
  <si>
    <t>11RaTeWa.SrH-454</t>
  </si>
  <si>
    <t>11RaTeWa.SrH-471</t>
  </si>
  <si>
    <t>11RaTeWa.SrH-490</t>
  </si>
  <si>
    <t>11RaTeWa.SrH-506</t>
  </si>
  <si>
    <t>11RaTeWa.SrH-543</t>
  </si>
  <si>
    <t>11RaTeWa.SrH-561</t>
  </si>
  <si>
    <t>11RaTeWa.SrH-606</t>
  </si>
  <si>
    <t>11RaTeWa.SrH-624</t>
  </si>
  <si>
    <t>11RaTeWa.SrH-644</t>
  </si>
  <si>
    <t>11RaTeWa.SrH-664</t>
  </si>
  <si>
    <t>04ShWaGo.35</t>
  </si>
  <si>
    <t>04ShWaGo.79</t>
  </si>
  <si>
    <t>04ShWaGo.106</t>
  </si>
  <si>
    <t>04ShWaGo.131</t>
  </si>
  <si>
    <t>04ShWaGo.142</t>
  </si>
  <si>
    <t>11RaTeWa.SrH-455</t>
  </si>
  <si>
    <t>11RaTeWa.SrH-472</t>
  </si>
  <si>
    <t>11RaTeWa.SrH-491</t>
  </si>
  <si>
    <t>11RaTeWa.SrH-507</t>
  </si>
  <si>
    <t>11RaTeWa.SrH-542</t>
  </si>
  <si>
    <t>11RaTeWa.SrH-562</t>
  </si>
  <si>
    <t>11RaTeWa.SrH-605</t>
  </si>
  <si>
    <t>11RaTeWa.SrH-625</t>
  </si>
  <si>
    <t>11RaTeWa.SrH-653</t>
  </si>
  <si>
    <t>04ShWaGo.34</t>
  </si>
  <si>
    <t>04ShWaGo.78</t>
  </si>
  <si>
    <t>04ShWaGo.107</t>
  </si>
  <si>
    <t>04ShWaGo.143</t>
  </si>
  <si>
    <t>11RaTeWa.SrH-456</t>
  </si>
  <si>
    <t>11RaTeWa.SrH-473</t>
  </si>
  <si>
    <t>11RaTeWa.SrH-492</t>
  </si>
  <si>
    <t>11RaTeWa.SrH-508</t>
  </si>
  <si>
    <t>11RaTeWa.SrH-541</t>
  </si>
  <si>
    <t>11RaTeWa.SrH-563</t>
  </si>
  <si>
    <t>11RaTeWa.SrH-604</t>
  </si>
  <si>
    <t>11RaTeWa.SrH-626</t>
  </si>
  <si>
    <t>04ShWaGo.33</t>
  </si>
  <si>
    <t>04ShWaGo.77</t>
  </si>
  <si>
    <t>04ShWaGo.108</t>
  </si>
  <si>
    <t>04ShWaGo.144</t>
  </si>
  <si>
    <t>11RaTeWa.SrH-457</t>
  </si>
  <si>
    <t>11RaTeWa.SrH-474</t>
  </si>
  <si>
    <t>11RaTeWa.SrH-493</t>
  </si>
  <si>
    <t>11RaTeWa.SrH-509</t>
  </si>
  <si>
    <t>11RaTeWa.SrH-540</t>
  </si>
  <si>
    <t>11RaTeWa.SrH-564</t>
  </si>
  <si>
    <t>11RaTeWa.SrH-603</t>
  </si>
  <si>
    <t>11RaTeWa.SrH-627</t>
  </si>
  <si>
    <t>04ShWaGo.32</t>
  </si>
  <si>
    <t>04ShWaGo.76</t>
  </si>
  <si>
    <t>04ShWaGo.89</t>
  </si>
  <si>
    <t>04ShWaGo.109</t>
  </si>
  <si>
    <t>04ShWaGo.145</t>
  </si>
  <si>
    <t>11RaTeWa.SrH-458</t>
  </si>
  <si>
    <t>11RaTeWa.SrH-475</t>
  </si>
  <si>
    <t>11RaTeWa.SrH-494</t>
  </si>
  <si>
    <t>11RaTeWa.SrH-510</t>
  </si>
  <si>
    <t>11RaTeWa.SrH-539</t>
  </si>
  <si>
    <t>11RaTeWa.SrH-565</t>
  </si>
  <si>
    <t>11RaTeWa.SrH-602</t>
  </si>
  <si>
    <t>11RaTeWa.SrH-628</t>
  </si>
  <si>
    <t>11RaTeWa.SrH-654</t>
  </si>
  <si>
    <t>04ShWaGo.31</t>
  </si>
  <si>
    <t>04ShWaGo.47</t>
  </si>
  <si>
    <t>04ShWaGo.75</t>
  </si>
  <si>
    <t>04ShWaGo.110</t>
  </si>
  <si>
    <t>04ShWaGo.146</t>
  </si>
  <si>
    <t>11RaTeWa.SrH-459</t>
  </si>
  <si>
    <t>11RaTeWa.SrH-476</t>
  </si>
  <si>
    <t>11RaTeWa.SrH-511</t>
  </si>
  <si>
    <t>11RaTeWa.SrH-538</t>
  </si>
  <si>
    <t>11RaTeWa.SrH-566</t>
  </si>
  <si>
    <t>11RaTeWa.SrH-601</t>
  </si>
  <si>
    <t>11RaTeWa.SrH-629</t>
  </si>
  <si>
    <t>11RaTeWa.SrH-643</t>
  </si>
  <si>
    <t>04ShWaGo.30</t>
  </si>
  <si>
    <t>04ShWaGo.74</t>
  </si>
  <si>
    <t>04ShWaGo.111</t>
  </si>
  <si>
    <t>04ShWaGo.147</t>
  </si>
  <si>
    <t>11RaTeWa.SrH-460</t>
  </si>
  <si>
    <t>11RaTeWa.SrH-477</t>
  </si>
  <si>
    <t>11RaTeWa.SrH-495</t>
  </si>
  <si>
    <t>11RaTeWa.SrH-512</t>
  </si>
  <si>
    <t>11RaTeWa.SrH-537</t>
  </si>
  <si>
    <t>11RaTeWa.SrH-567</t>
  </si>
  <si>
    <t>11RaTeWa.SrH-600</t>
  </si>
  <si>
    <t>11RaTeWa.SrH-630</t>
  </si>
  <si>
    <t>04ShWaGo.29</t>
  </si>
  <si>
    <t>04ShWaGo.73</t>
  </si>
  <si>
    <t>04ShWaGo.112</t>
  </si>
  <si>
    <t>04ShWaGo.148</t>
  </si>
  <si>
    <t>11RaTeWa.SrH-461</t>
  </si>
  <si>
    <t>11RaTeWa.SrH-478</t>
  </si>
  <si>
    <t>11RaTeWa.SrH-496</t>
  </si>
  <si>
    <t>11RaTeWa.SrH-513</t>
  </si>
  <si>
    <t>11RaTeWa.SrH-536</t>
  </si>
  <si>
    <t>11RaTeWa.SrH-568</t>
  </si>
  <si>
    <t>11RaTeWa.SrH-599</t>
  </si>
  <si>
    <t>11RaTeWa.SrH-631</t>
  </si>
  <si>
    <t>04ShWaGo.28</t>
  </si>
  <si>
    <t>04ShWaGo.72</t>
  </si>
  <si>
    <t>04ShWaGo.113</t>
  </si>
  <si>
    <t>04ShWaGo.149</t>
  </si>
  <si>
    <t>11RaTeWa.SrH-462</t>
  </si>
  <si>
    <t>11RaTeWa.SrH-479</t>
  </si>
  <si>
    <t>11RaTeWa.SrH-497</t>
  </si>
  <si>
    <t>11RaTeWa.SrH-514</t>
  </si>
  <si>
    <t>11RaTeWa.SrH-535</t>
  </si>
  <si>
    <t>11RaTeWa.SrH-569</t>
  </si>
  <si>
    <t>11RaTeWa.SrH-598</t>
  </si>
  <si>
    <t>11RaTeWa.SrH-632</t>
  </si>
  <si>
    <t>04ShWaGo.27</t>
  </si>
  <si>
    <t>04ShWaGo.71</t>
  </si>
  <si>
    <t>04ShWaGo.114</t>
  </si>
  <si>
    <t>04ShWaGo.150</t>
  </si>
  <si>
    <t>11RaTeWa.SrH-463</t>
  </si>
  <si>
    <t>11RaTeWa.SrH-480</t>
  </si>
  <si>
    <t>11RaTeWa.SrH-498</t>
  </si>
  <si>
    <t>11RaTeWa.SrH-515</t>
  </si>
  <si>
    <t>11RaTeWa.SrH-534</t>
  </si>
  <si>
    <t>11RaTeWa.SrH-570</t>
  </si>
  <si>
    <t>11RaTeWa.SrH-597</t>
  </si>
  <si>
    <t>11RaTeWa.SrH-633</t>
  </si>
  <si>
    <t>04ShWaGo.26</t>
  </si>
  <si>
    <t>04ShWaGo.70</t>
  </si>
  <si>
    <t>04ShWaGo.115</t>
  </si>
  <si>
    <t>04ShWaGo.151</t>
  </si>
  <si>
    <t>11RaTeWa.SrH-464</t>
  </si>
  <si>
    <t>11RaTeWa.SrH-481</t>
  </si>
  <si>
    <t>11RaTeWa.SrH-533</t>
  </si>
  <si>
    <t>11RaTeWa.SrH-571</t>
  </si>
  <si>
    <t>11RaTeWa.SrH-596</t>
  </si>
  <si>
    <t>11RaTeWa.SrH-634</t>
  </si>
  <si>
    <t>04ShWaGo.25</t>
  </si>
  <si>
    <t>04ShWaGo.69</t>
  </si>
  <si>
    <t>04ShWaGo.116</t>
  </si>
  <si>
    <t>04ShWaGo.152</t>
  </si>
  <si>
    <t>11RaTeWa.SrH-532</t>
  </si>
  <si>
    <t>11RaTeWa.SrH-572</t>
  </si>
  <si>
    <t>11RaTeWa.SrH-595</t>
  </si>
  <si>
    <t>11RaTeWa.SrH-635</t>
  </si>
  <si>
    <t>04ShWaGo.24</t>
  </si>
  <si>
    <t>04ShWaGo.66</t>
  </si>
  <si>
    <t>04ShWaGo.117</t>
  </si>
  <si>
    <t>04ShWaGo.153</t>
  </si>
  <si>
    <t>11RaTeWa.SrH-531</t>
  </si>
  <si>
    <t>11RaTeWa.SrH-573</t>
  </si>
  <si>
    <t>11RaTeWa.SrH-594</t>
  </si>
  <si>
    <t>11RaTeWa.SrH-636</t>
  </si>
  <si>
    <t>04ShWaGo.23</t>
  </si>
  <si>
    <t>04ShWaGo.65</t>
  </si>
  <si>
    <t>04ShWaGo.118</t>
  </si>
  <si>
    <t>04ShWaGo.154</t>
  </si>
  <si>
    <t>11RaTeWa.SrH-530</t>
  </si>
  <si>
    <t>11RaTeWa.SrH-574</t>
  </si>
  <si>
    <t>11RaTeWa.SrH-593</t>
  </si>
  <si>
    <t>11RaTeWa.SrH-637</t>
  </si>
  <si>
    <t>04ShWaGo.22</t>
  </si>
  <si>
    <t>04ShWaGo.64</t>
  </si>
  <si>
    <t>04ShWaGo.119</t>
  </si>
  <si>
    <t>04ShWaGo.155</t>
  </si>
  <si>
    <t>11RaTeWa.SrH-529</t>
  </si>
  <si>
    <t>11RaTeWa.SrH-575</t>
  </si>
  <si>
    <t>11RaTeWa.SrH-592</t>
  </si>
  <si>
    <t>11RaTeWa.SrH-638</t>
  </si>
  <si>
    <t>04ShWaGo.21</t>
  </si>
  <si>
    <t>04ShWaGo.63</t>
  </si>
  <si>
    <t>04ShWaGo.120</t>
  </si>
  <si>
    <t>04ShWaGo.156</t>
  </si>
  <si>
    <t>11RaTeWa.SrH-528</t>
  </si>
  <si>
    <t>11RaTeWa.SrH-576</t>
  </si>
  <si>
    <t>11RaTeWa.SrH-591</t>
  </si>
  <si>
    <t>11RaTeWa.SrH-639</t>
  </si>
  <si>
    <t>04ShWaGo.20</t>
  </si>
  <si>
    <t>04ShWaGo.37</t>
  </si>
  <si>
    <t>04ShWaGo.62</t>
  </si>
  <si>
    <t>04ShWaGo.121</t>
  </si>
  <si>
    <t>11RaTeWa.SrH-527</t>
  </si>
  <si>
    <t>11RaTeWa.SrH-577</t>
  </si>
  <si>
    <t>11RaTeWa.SrH-590</t>
  </si>
  <si>
    <t>11RaTeWa.SrH-640</t>
  </si>
  <si>
    <t>04ShWaGo.19</t>
  </si>
  <si>
    <t>04ShWaGo.38</t>
  </si>
  <si>
    <t>04ShWaGo.61</t>
  </si>
  <si>
    <t>04ShWaGo.122</t>
  </si>
  <si>
    <t>11RaTeWa.SrH-526</t>
  </si>
  <si>
    <t>11RaTeWa.SrH-578</t>
  </si>
  <si>
    <t>11RaTeWa.SrH-589</t>
  </si>
  <si>
    <t>11RaTeWa.SrH-641</t>
  </si>
  <si>
    <t>04ShWaGo.18</t>
  </si>
  <si>
    <t>04ShWaGo.60</t>
  </si>
  <si>
    <t>04ShWaGo.123</t>
  </si>
  <si>
    <t>11RaTeWa.SrH-525</t>
  </si>
  <si>
    <t>11RaTeWa.SrH-579</t>
  </si>
  <si>
    <t>11RaTeWa.SrH-588</t>
  </si>
  <si>
    <t>04ShWaGo.17</t>
  </si>
  <si>
    <t>04ShWaGo.59</t>
  </si>
  <si>
    <t>04ShWaGo.67</t>
  </si>
  <si>
    <t>11RaTeWa.SrH-524</t>
  </si>
  <si>
    <t>11RaTeWa.SrH-587</t>
  </si>
  <si>
    <t>11RaTeWa.SrH-642</t>
  </si>
  <si>
    <t>04ShWaGo.16</t>
  </si>
  <si>
    <t>04ShWaGo.58</t>
  </si>
  <si>
    <t>11RaTeWa.SrH-523</t>
  </si>
  <si>
    <t>11RaTeWa.SrH-586</t>
  </si>
  <si>
    <t>04ShWaGo.15</t>
  </si>
  <si>
    <t>04ShWaGo.57</t>
  </si>
  <si>
    <t>11RaTeWa.SrH-522</t>
  </si>
  <si>
    <t>11RaTeWa.SrH-585</t>
  </si>
  <si>
    <t>04ShWaGo.14</t>
  </si>
  <si>
    <t>04ShWaGo.56</t>
  </si>
  <si>
    <t>11RaTeWa.SrH-521</t>
  </si>
  <si>
    <t>11RaTeWa.SrH-584</t>
  </si>
  <si>
    <t>04ShWaGo.13</t>
  </si>
  <si>
    <t>04ShWaGo.55</t>
  </si>
  <si>
    <t>11RaTeWa.SrH-520</t>
  </si>
  <si>
    <t>11RaTeWa.SrH-583</t>
  </si>
  <si>
    <t>04ShWaGo.12</t>
  </si>
  <si>
    <t>04ShWaGo.54</t>
  </si>
  <si>
    <t>11RaTeWa.SrH-519</t>
  </si>
  <si>
    <t>11RaTeWa.SrH-582</t>
  </si>
  <si>
    <t>04ShWaGo.11</t>
  </si>
  <si>
    <t>04ShWaGo.53</t>
  </si>
  <si>
    <t>11RaTeWa.SrH-518</t>
  </si>
  <si>
    <t>11RaTeWa.SrH-581</t>
  </si>
  <si>
    <t>04ShWaGo.10</t>
  </si>
  <si>
    <t>04ShWaGo.52</t>
  </si>
  <si>
    <t>11RaTeWa.SrH-517</t>
  </si>
  <si>
    <t>11RaTeWa.SrH-580</t>
  </si>
  <si>
    <t>04ShWaGo.09</t>
  </si>
  <si>
    <t>11RaTeWa.SrH-516</t>
  </si>
  <si>
    <t>04ShWaGo.229</t>
  </si>
  <si>
    <t>04ShWaGo.258</t>
  </si>
  <si>
    <t>04ShWaGo.187</t>
  </si>
  <si>
    <t>04ShWaGo.222</t>
  </si>
  <si>
    <t>04ShWaGo.230</t>
  </si>
  <si>
    <t>04ShWaGo.259</t>
  </si>
  <si>
    <t>04ShWaGo.186</t>
  </si>
  <si>
    <t>04ShWaGo.221</t>
  </si>
  <si>
    <t>04ShWaGo.231</t>
  </si>
  <si>
    <t>04ShWaGo.260</t>
  </si>
  <si>
    <t>04ShWaGo.185</t>
  </si>
  <si>
    <t>04ShWaGo.220</t>
  </si>
  <si>
    <t>04ShWaGo.228</t>
  </si>
  <si>
    <t>04ShWaGo.232</t>
  </si>
  <si>
    <t>04ShWaGo.261</t>
  </si>
  <si>
    <t>04ShWaGo.284</t>
  </si>
  <si>
    <t>04ShWaGo.184</t>
  </si>
  <si>
    <t>04ShWaGo.193</t>
  </si>
  <si>
    <t>04ShWaGo.219</t>
  </si>
  <si>
    <t>04ShWaGo.227</t>
  </si>
  <si>
    <t>04ShWaGo.233</t>
  </si>
  <si>
    <t>04ShWaGo.256</t>
  </si>
  <si>
    <t>04ShWaGo.262</t>
  </si>
  <si>
    <t>04ShWaGo.183</t>
  </si>
  <si>
    <t>04ShWaGo.192</t>
  </si>
  <si>
    <t>04ShWaGo.218</t>
  </si>
  <si>
    <t>04ShWaGo.234</t>
  </si>
  <si>
    <t>04ShWaGo.263</t>
  </si>
  <si>
    <t>04ShWaGo.182</t>
  </si>
  <si>
    <t>04ShWaGo.217</t>
  </si>
  <si>
    <t>04ShWaGo.226</t>
  </si>
  <si>
    <t>04ShWaGo.235</t>
  </si>
  <si>
    <t>04ShWaGo.264</t>
  </si>
  <si>
    <t>04ShWaGo.181</t>
  </si>
  <si>
    <t>04ShWaGo.191</t>
  </si>
  <si>
    <t>04ShWaGo.216</t>
  </si>
  <si>
    <t>04ShWaGo.236</t>
  </si>
  <si>
    <t>04ShWaGo.265</t>
  </si>
  <si>
    <t>04ShWaGo.285</t>
  </si>
  <si>
    <t>04ShWaGo.180</t>
  </si>
  <si>
    <t>04ShWaGo.215</t>
  </si>
  <si>
    <t>04ShWaGo.237</t>
  </si>
  <si>
    <t>04ShWaGo.257</t>
  </si>
  <si>
    <t>04ShWaGo.266</t>
  </si>
  <si>
    <t>04ShWaGo.179</t>
  </si>
  <si>
    <t>04ShWaGo.214</t>
  </si>
  <si>
    <t>04ShWaGo.238</t>
  </si>
  <si>
    <t>04ShWaGo.267</t>
  </si>
  <si>
    <t>04ShWaGo.178</t>
  </si>
  <si>
    <t>04ShWaGo.213</t>
  </si>
  <si>
    <t>04ShWaGo.225</t>
  </si>
  <si>
    <t>04ShWaGo.239</t>
  </si>
  <si>
    <t>04ShWaGo.268</t>
  </si>
  <si>
    <t>04ShWaGo.177</t>
  </si>
  <si>
    <t>04ShWaGo.190</t>
  </si>
  <si>
    <t>04ShWaGo.212</t>
  </si>
  <si>
    <t>04ShWaGo.224</t>
  </si>
  <si>
    <t>04ShWaGo.240</t>
  </si>
  <si>
    <t>04ShWaGo.269</t>
  </si>
  <si>
    <t>04ShWaGo.176</t>
  </si>
  <si>
    <t>04ShWaGo.189</t>
  </si>
  <si>
    <t>04ShWaGo.211</t>
  </si>
  <si>
    <t>04ShWaGo.241</t>
  </si>
  <si>
    <t>04ShWaGo.270</t>
  </si>
  <si>
    <t>04ShWaGo.175</t>
  </si>
  <si>
    <t>04ShWaGo.210</t>
  </si>
  <si>
    <t>04ShWaGo.223</t>
  </si>
  <si>
    <t>04ShWaGo.242</t>
  </si>
  <si>
    <t>04ShWaGo.271</t>
  </si>
  <si>
    <t>04ShWaGo.174</t>
  </si>
  <si>
    <t>04ShWaGo.188</t>
  </si>
  <si>
    <t>04ShWaGo.209</t>
  </si>
  <si>
    <t>04ShWaGo.243</t>
  </si>
  <si>
    <t>04ShWaGo.272</t>
  </si>
  <si>
    <t>04ShWaGo.173</t>
  </si>
  <si>
    <t>04ShWaGo.208</t>
  </si>
  <si>
    <t>04ShWaGo.244</t>
  </si>
  <si>
    <t>04ShWaGo.273</t>
  </si>
  <si>
    <t>04ShWaGo.172</t>
  </si>
  <si>
    <t>04ShWaGo.207</t>
  </si>
  <si>
    <t>04ShWaGo.245</t>
  </si>
  <si>
    <t>04ShWaGo.274</t>
  </si>
  <si>
    <t>04ShWaGo.171</t>
  </si>
  <si>
    <t>04ShWaGo.206</t>
  </si>
  <si>
    <t>04ShWaGo.246</t>
  </si>
  <si>
    <t>04ShWaGo.275</t>
  </si>
  <si>
    <t>04ShWaGo.170</t>
  </si>
  <si>
    <t>04ShWaGo.205</t>
  </si>
  <si>
    <t>04ShWaGo.247</t>
  </si>
  <si>
    <t>04ShWaGo.276</t>
  </si>
  <si>
    <t>04ShWaGo.169</t>
  </si>
  <si>
    <t>04ShWaGo.204</t>
  </si>
  <si>
    <t>04ShWaGo.248</t>
  </si>
  <si>
    <t>04ShWaGo.277</t>
  </si>
  <si>
    <t>04ShWaGo.168</t>
  </si>
  <si>
    <t>04ShWaGo.203</t>
  </si>
  <si>
    <t>04ShWaGo.249</t>
  </si>
  <si>
    <t>04ShWaGo.278</t>
  </si>
  <si>
    <t>04ShWaGo.167</t>
  </si>
  <si>
    <t>04ShWaGo.202</t>
  </si>
  <si>
    <t>04ShWaGo.250</t>
  </si>
  <si>
    <t>04ShWaGo.279</t>
  </si>
  <si>
    <t>04ShWaGo.166</t>
  </si>
  <si>
    <t>04ShWaGo.201</t>
  </si>
  <si>
    <t>04ShWaGo.251</t>
  </si>
  <si>
    <t>04ShWaGo.280</t>
  </si>
  <si>
    <t>04ShWaGo.165</t>
  </si>
  <si>
    <t>04ShWaGo.200</t>
  </si>
  <si>
    <t>04ShWaGo.252</t>
  </si>
  <si>
    <t>04ShWaGo.281</t>
  </si>
  <si>
    <t>04ShWaGo.164</t>
  </si>
  <si>
    <t>04ShWaGo.199</t>
  </si>
  <si>
    <t>04ShWaGo.253</t>
  </si>
  <si>
    <t>04ShWaGo.282</t>
  </si>
  <si>
    <t>04ShWaGo.163</t>
  </si>
  <si>
    <t>04ShWaGo.254</t>
  </si>
  <si>
    <t>04ShWaGo.283</t>
  </si>
  <si>
    <t>04ShWaGo.162</t>
  </si>
  <si>
    <t>04ShWaGo.198</t>
  </si>
  <si>
    <t>04ShWaGo.255</t>
  </si>
  <si>
    <t>04ShWaGo.161</t>
  </si>
  <si>
    <t>04ShWaGo.197</t>
  </si>
  <si>
    <t>04ShWaGo.160</t>
  </si>
  <si>
    <t>04ShWaGo.196</t>
  </si>
  <si>
    <t>04ShWaGo.159</t>
  </si>
  <si>
    <t>04ShWaGo.195</t>
  </si>
  <si>
    <t>04ShWaGo.158</t>
  </si>
  <si>
    <t>04ShWaGo.194</t>
  </si>
  <si>
    <t>04ShWaGo.325</t>
  </si>
  <si>
    <t>04ShWaGo.317</t>
  </si>
  <si>
    <t>04ShWaGo.326</t>
  </si>
  <si>
    <t>04ShWaGo.358</t>
  </si>
  <si>
    <t>04ShWaGo.372</t>
  </si>
  <si>
    <t>04ShWaGo.316</t>
  </si>
  <si>
    <t>04ShWaGo.327</t>
  </si>
  <si>
    <t>04ShWaGo.357</t>
  </si>
  <si>
    <t>04ShWaGo.373</t>
  </si>
  <si>
    <t>04ShWaGo.315</t>
  </si>
  <si>
    <t>04ShWaGo.342</t>
  </si>
  <si>
    <t>04ShWaGo.356</t>
  </si>
  <si>
    <t>04ShWaGo.374</t>
  </si>
  <si>
    <t>04ShWaGo.387</t>
  </si>
  <si>
    <t>04ShWaGo.314</t>
  </si>
  <si>
    <t>04ShWaGo.323</t>
  </si>
  <si>
    <t>04ShWaGo.343</t>
  </si>
  <si>
    <t>04ShWaGo.355</t>
  </si>
  <si>
    <t>04ShWaGo.375</t>
  </si>
  <si>
    <t>04ShWaGo.388</t>
  </si>
  <si>
    <t>04ShWaGo.313</t>
  </si>
  <si>
    <t>04ShWaGo.324</t>
  </si>
  <si>
    <t>04ShWaGo.344</t>
  </si>
  <si>
    <t>04ShWaGo.354</t>
  </si>
  <si>
    <t>04ShWaGo.371</t>
  </si>
  <si>
    <t>04ShWaGo.376</t>
  </si>
  <si>
    <t>04ShWaGo.312</t>
  </si>
  <si>
    <t>04ShWaGo.330</t>
  </si>
  <si>
    <t>04ShWaGo.345</t>
  </si>
  <si>
    <t>04ShWaGo.353</t>
  </si>
  <si>
    <t>04ShWaGo.370</t>
  </si>
  <si>
    <t>04ShWaGo.377</t>
  </si>
  <si>
    <t>04ShWaGo.311</t>
  </si>
  <si>
    <t>04ShWaGo.329</t>
  </si>
  <si>
    <t>04ShWaGo.346</t>
  </si>
  <si>
    <t>04ShWaGo.352</t>
  </si>
  <si>
    <t>04ShWaGo.378</t>
  </si>
  <si>
    <t>04ShWaGo.310</t>
  </si>
  <si>
    <t>04ShWaGo.347</t>
  </si>
  <si>
    <t>04ShWaGo.351</t>
  </si>
  <si>
    <t>04ShWaGo.379</t>
  </si>
  <si>
    <t>04ShWaGo.309</t>
  </si>
  <si>
    <t>04ShWaGo.348</t>
  </si>
  <si>
    <t>04ShWaGo.350</t>
  </si>
  <si>
    <t>04ShWaGo.380</t>
  </si>
  <si>
    <t>04ShWaGo.308</t>
  </si>
  <si>
    <t>04ShWaGo.349</t>
  </si>
  <si>
    <t>04ShWaGo.362</t>
  </si>
  <si>
    <t>04ShWaGo.363</t>
  </si>
  <si>
    <t>04ShWaGo.381</t>
  </si>
  <si>
    <t>04ShWaGo.307</t>
  </si>
  <si>
    <t>04ShWaGo.328</t>
  </si>
  <si>
    <t>04ShWaGo.341</t>
  </si>
  <si>
    <t>04ShWaGo.361</t>
  </si>
  <si>
    <t>04ShWaGo.364</t>
  </si>
  <si>
    <t>04ShWaGo.382</t>
  </si>
  <si>
    <t>04ShWaGo.299</t>
  </si>
  <si>
    <t>04ShWaGo.320</t>
  </si>
  <si>
    <t>04ShWaGo.340</t>
  </si>
  <si>
    <t>04ShWaGo.365</t>
  </si>
  <si>
    <t>04ShWaGo.383</t>
  </si>
  <si>
    <t>04ShWaGo.298</t>
  </si>
  <si>
    <t>04ShWaGo.300</t>
  </si>
  <si>
    <t>04ShWaGo.339</t>
  </si>
  <si>
    <t>04ShWaGo.360</t>
  </si>
  <si>
    <t>04ShWaGo.366</t>
  </si>
  <si>
    <t>04ShWaGo.297</t>
  </si>
  <si>
    <t>04ShWaGo.301</t>
  </si>
  <si>
    <t>04ShWaGo.319</t>
  </si>
  <si>
    <t>04ShWaGo.338</t>
  </si>
  <si>
    <t>04ShWaGo.367</t>
  </si>
  <si>
    <t>04ShWaGo.296</t>
  </si>
  <si>
    <t>04ShWaGo.302</t>
  </si>
  <si>
    <t>04ShWaGo.337</t>
  </si>
  <si>
    <t>04ShWaGo.359</t>
  </si>
  <si>
    <t>04ShWaGo.368</t>
  </si>
  <si>
    <t>04ShWaGo.295</t>
  </si>
  <si>
    <t>04ShWaGo.303</t>
  </si>
  <si>
    <t>04ShWaGo.318</t>
  </si>
  <si>
    <t>04ShWaGo.336</t>
  </si>
  <si>
    <t>04ShWaGo.369</t>
  </si>
  <si>
    <t>04ShWaGo.294</t>
  </si>
  <si>
    <t>04ShWaGo.304</t>
  </si>
  <si>
    <t>04ShWaGo.335</t>
  </si>
  <si>
    <t>04ShWaGo.384</t>
  </si>
  <si>
    <t>04ShWaGo.293</t>
  </si>
  <si>
    <t>04ShWaGo.305</t>
  </si>
  <si>
    <t>04ShWaGo.334</t>
  </si>
  <si>
    <t>04ShWaGo.292</t>
  </si>
  <si>
    <t>04ShWaGo.306</t>
  </si>
  <si>
    <t>04ShWaGo.333</t>
  </si>
  <si>
    <t>04ShWaGo.385</t>
  </si>
  <si>
    <t>04ShWaGo.291</t>
  </si>
  <si>
    <t>04ShWaGo.321</t>
  </si>
  <si>
    <t>04ShWaGo.332</t>
  </si>
  <si>
    <t>04ShWaGo.386</t>
  </si>
  <si>
    <t>04ShWaGo.290</t>
  </si>
  <si>
    <t>04ShWaGo.322</t>
  </si>
  <si>
    <t>04ShWaGo.289</t>
  </si>
  <si>
    <t>04ShWaGo.331</t>
  </si>
  <si>
    <t>04ShWaGo.288</t>
  </si>
  <si>
    <t>04ShWaGo.287</t>
  </si>
  <si>
    <t>04ShWaGo.286</t>
  </si>
  <si>
    <t>04ShWaGo.425</t>
  </si>
  <si>
    <t>04ShWaGo.438</t>
  </si>
  <si>
    <t>04ShWaGo.424</t>
  </si>
  <si>
    <t>04ShWaGo.426</t>
  </si>
  <si>
    <t>04ShWaGo.406</t>
  </si>
  <si>
    <t>04ShWaGo.427</t>
  </si>
  <si>
    <t>04ShWaGo.439</t>
  </si>
  <si>
    <t>04ShWaGo.405</t>
  </si>
  <si>
    <t>04ShWaGo.423</t>
  </si>
  <si>
    <t>04ShWaGo.428</t>
  </si>
  <si>
    <t>04ShWaGo.440</t>
  </si>
  <si>
    <t>04ShWaGo.404</t>
  </si>
  <si>
    <t>04ShWaGo.422</t>
  </si>
  <si>
    <t>04ShWaGo.429</t>
  </si>
  <si>
    <t>04ShWaGo.441</t>
  </si>
  <si>
    <t>04ShWaGo.403</t>
  </si>
  <si>
    <t>04ShWaGo.421</t>
  </si>
  <si>
    <t>04ShWaGo.430</t>
  </si>
  <si>
    <t>04ShWaGo.442</t>
  </si>
  <si>
    <t>04ShWaGo.402</t>
  </si>
  <si>
    <t>04ShWaGo.420</t>
  </si>
  <si>
    <t>04ShWaGo.431</t>
  </si>
  <si>
    <t>04ShWaGo.443</t>
  </si>
  <si>
    <t>04ShWaGo.401</t>
  </si>
  <si>
    <t>04ShWaGo.419</t>
  </si>
  <si>
    <t>04ShWaGo.432</t>
  </si>
  <si>
    <t>04ShWaGo.444</t>
  </si>
  <si>
    <t>04ShWaGo.400</t>
  </si>
  <si>
    <t>04ShWaGo.418</t>
  </si>
  <si>
    <t>04ShWaGo.433</t>
  </si>
  <si>
    <t>04ShWaGo.445</t>
  </si>
  <si>
    <t>04ShWaGo.399</t>
  </si>
  <si>
    <t>04ShWaGo.417</t>
  </si>
  <si>
    <t>04ShWaGo.434</t>
  </si>
  <si>
    <t>04ShWaGo.446</t>
  </si>
  <si>
    <t>04ShWaGo.398</t>
  </si>
  <si>
    <t>04ShWaGo.416</t>
  </si>
  <si>
    <t>04ShWaGo.435</t>
  </si>
  <si>
    <t>04ShWaGo.447</t>
  </si>
  <si>
    <t>04ShWaGo.397</t>
  </si>
  <si>
    <t>04ShWaGo.415</t>
  </si>
  <si>
    <t>04ShWaGo.436</t>
  </si>
  <si>
    <t>04ShWaGo.448</t>
  </si>
  <si>
    <t>04ShWaGo.396</t>
  </si>
  <si>
    <t>04ShWaGo.414</t>
  </si>
  <si>
    <t>04ShWaGo.437</t>
  </si>
  <si>
    <t>04ShWaGo.395</t>
  </si>
  <si>
    <t>04ShWaGo.413</t>
  </si>
  <si>
    <t>04ShWaGo.394</t>
  </si>
  <si>
    <t>04ShWaGo.412</t>
  </si>
  <si>
    <t>04ShWaGo.393</t>
  </si>
  <si>
    <t>04ShWaGo.411</t>
  </si>
  <si>
    <t>04ShWaGo.392</t>
  </si>
  <si>
    <t>04ShWaGo.410</t>
  </si>
  <si>
    <t>04ShWaGo.391</t>
  </si>
  <si>
    <t>04ShWaGo.409</t>
  </si>
  <si>
    <t>04ShWaGo.390</t>
  </si>
  <si>
    <t>04ShWaGo.408</t>
  </si>
  <si>
    <t>04ShWaGo.407</t>
  </si>
  <si>
    <t>04ShWaGo.389</t>
  </si>
  <si>
    <t>E</t>
  </si>
  <si>
    <t>11RaTeWa.SrH-204</t>
  </si>
  <si>
    <t>11RaTeWa.SrH-233</t>
  </si>
  <si>
    <t>11RaTeWa.SrH-255</t>
  </si>
  <si>
    <t>11RaTeWa.SrH-288</t>
  </si>
  <si>
    <t>11RaTeWa.SrH-205</t>
  </si>
  <si>
    <t>11RaTeWa.SrH-234</t>
  </si>
  <si>
    <t>11RaTeWa.SrH-256</t>
  </si>
  <si>
    <t>11RaTeWa.SrH-273</t>
  </si>
  <si>
    <t>11RaTeWa.SrH-289</t>
  </si>
  <si>
    <t>11RaTeWa.SrH-311</t>
  </si>
  <si>
    <t>11RaTeWa.SrH-329</t>
  </si>
  <si>
    <t>11RaTeWa.SrH-339</t>
  </si>
  <si>
    <t>11RaTeWa.SrH-367</t>
  </si>
  <si>
    <t>11RaTeWa.SrH-396</t>
  </si>
  <si>
    <t>11RaTeWa.SrH-176</t>
  </si>
  <si>
    <t>11RaTeWa.SrH-206</t>
  </si>
  <si>
    <t>11RaTeWa.SrH-235</t>
  </si>
  <si>
    <t>11RaTeWa.SrH-257</t>
  </si>
  <si>
    <t>11RaTeWa.SrH-274</t>
  </si>
  <si>
    <t>11RaTeWa.SrH-290</t>
  </si>
  <si>
    <t>11RaTeWa.SrH-312</t>
  </si>
  <si>
    <t>11RaTeWa.SrH-330</t>
  </si>
  <si>
    <t>11RaTeWa.SrH-340</t>
  </si>
  <si>
    <t>11RaTeWa.SrH-368</t>
  </si>
  <si>
    <t>11RaTeWa.SrH-397</t>
  </si>
  <si>
    <t>11RaTeWa.SrH-421</t>
  </si>
  <si>
    <t>11RaTeWa.SrH-177</t>
  </si>
  <si>
    <t>11RaTeWa.SrH-207</t>
  </si>
  <si>
    <t>11RaTeWa.SrH-236</t>
  </si>
  <si>
    <t>11RaTeWa.SrH-258</t>
  </si>
  <si>
    <t>11RaTeWa.SrH-275</t>
  </si>
  <si>
    <t>11RaTeWa.SrH-291</t>
  </si>
  <si>
    <t>11RaTeWa.SrH-313</t>
  </si>
  <si>
    <t>11RaTeWa.SrH-331</t>
  </si>
  <si>
    <t>11RaTeWa.SrH-341</t>
  </si>
  <si>
    <t>11RaTeWa.SrH-369</t>
  </si>
  <si>
    <t>11RaTeWa.SrH-398</t>
  </si>
  <si>
    <t>11RaTeWa.SrH-422</t>
  </si>
  <si>
    <t>11RaTeWa.SrH-178</t>
  </si>
  <si>
    <t>11RaTeWa.SrH-208</t>
  </si>
  <si>
    <t>11RaTeWa.SrH-237</t>
  </si>
  <si>
    <t>11RaTeWa.SrH-259</t>
  </si>
  <si>
    <t>11RaTeWa.SrH-276</t>
  </si>
  <si>
    <t>11RaTeWa.SrH-292</t>
  </si>
  <si>
    <t>11RaTeWa.SrH-314</t>
  </si>
  <si>
    <t>11RaTeWa.SrH-342</t>
  </si>
  <si>
    <t>11RaTeWa.SrH-370</t>
  </si>
  <si>
    <t>11RaTeWa.SrH-399</t>
  </si>
  <si>
    <t>11RaTeWa.SrH-423</t>
  </si>
  <si>
    <t>11RaTeWa.SrH-179</t>
  </si>
  <si>
    <t>11RaTeWa.SrH-209</t>
  </si>
  <si>
    <t>11RaTeWa.SrH-238</t>
  </si>
  <si>
    <t>11RaTeWa.SrH-260</t>
  </si>
  <si>
    <t>11RaTeWa.SrH-277</t>
  </si>
  <si>
    <t>11RaTeWa.SrH-293</t>
  </si>
  <si>
    <t>11RaTeWa.SrH-315</t>
  </si>
  <si>
    <t>11RaTeWa.SrH-332</t>
  </si>
  <si>
    <t>11RaTeWa.SrH-343</t>
  </si>
  <si>
    <t>11RaTeWa.SrH-371</t>
  </si>
  <si>
    <t>11RaTeWa.SrH-400</t>
  </si>
  <si>
    <t>11RaTeWa.SrH-424</t>
  </si>
  <si>
    <t>11RaTeWa.SrH-180</t>
  </si>
  <si>
    <t>11RaTeWa.SrH-210</t>
  </si>
  <si>
    <t>11RaTeWa.SrH-239</t>
  </si>
  <si>
    <t>11RaTeWa.SrH-261</t>
  </si>
  <si>
    <t>11RaTeWa.SrH-278</t>
  </si>
  <si>
    <t>11RaTeWa.SrH-294</t>
  </si>
  <si>
    <t>11RaTeWa.SrH-316</t>
  </si>
  <si>
    <t>11RaTeWa.SrH-333</t>
  </si>
  <si>
    <t>11RaTeWa.SrH-344</t>
  </si>
  <si>
    <t>11RaTeWa.SrH-372</t>
  </si>
  <si>
    <t>11RaTeWa.SrH-401</t>
  </si>
  <si>
    <t>11RaTeWa.SrH-425</t>
  </si>
  <si>
    <t>11RaTeWa.SrH-181</t>
  </si>
  <si>
    <t>11RaTeWa.SrH-211</t>
  </si>
  <si>
    <t>11RaTeWa.SrH-240</t>
  </si>
  <si>
    <t>11RaTeWa.SrH-262</t>
  </si>
  <si>
    <t>11RaTeWa.SrH-279</t>
  </si>
  <si>
    <t>11RaTeWa.SrH-295</t>
  </si>
  <si>
    <t>11RaTeWa.SrH-317</t>
  </si>
  <si>
    <t>11RaTeWa.SrH-334</t>
  </si>
  <si>
    <t>11RaTeWa.SrH-345</t>
  </si>
  <si>
    <t>11RaTeWa.SrH-373</t>
  </si>
  <si>
    <t>11RaTeWa.SrH-402</t>
  </si>
  <si>
    <t>11RaTeWa.SrH-426</t>
  </si>
  <si>
    <t>11RaTeWa.SrH-182</t>
  </si>
  <si>
    <t>11RaTeWa.SrH-212</t>
  </si>
  <si>
    <t>11RaTeWa.SrH-241</t>
  </si>
  <si>
    <t>11RaTeWa.SrH-263</t>
  </si>
  <si>
    <t>11RaTeWa.SrH-280</t>
  </si>
  <si>
    <t>11RaTeWa.SrH-296</t>
  </si>
  <si>
    <t>11RaTeWa.SrH-318</t>
  </si>
  <si>
    <t>11RaTeWa.SrH-346</t>
  </si>
  <si>
    <t>11RaTeWa.SrH-374</t>
  </si>
  <si>
    <t>11RaTeWa.SrH-403</t>
  </si>
  <si>
    <t>11RaTeWa.SrH-427</t>
  </si>
  <si>
    <t>11RaTeWa.SrH-183</t>
  </si>
  <si>
    <t>11RaTeWa.SrH-213</t>
  </si>
  <si>
    <t>11RaTeWa.SrH-242</t>
  </si>
  <si>
    <t>11RaTeWa.SrH-264</t>
  </si>
  <si>
    <t>11RaTeWa.SrH-281</t>
  </si>
  <si>
    <t>11RaTeWa.SrH-297</t>
  </si>
  <si>
    <t>11RaTeWa.SrH-319</t>
  </si>
  <si>
    <t>11RaTeWa.SrH-335</t>
  </si>
  <si>
    <t>11RaTeWa.SrH-347</t>
  </si>
  <si>
    <t>11RaTeWa.SrH-375</t>
  </si>
  <si>
    <t>11RaTeWa.SrH-404</t>
  </si>
  <si>
    <t>11RaTeWa.SrH-428</t>
  </si>
  <si>
    <t>11RaTeWa.SrH-184</t>
  </si>
  <si>
    <t>11RaTeWa.SrH-214</t>
  </si>
  <si>
    <t>11RaTeWa.SrH-243</t>
  </si>
  <si>
    <t>11RaTeWa.SrH-265</t>
  </si>
  <si>
    <t>11RaTeWa.SrH-320</t>
  </si>
  <si>
    <t>11RaTeWa.SrH-336</t>
  </si>
  <si>
    <t>11RaTeWa.SrH-348</t>
  </si>
  <si>
    <t>11RaTeWa.SrH-376</t>
  </si>
  <si>
    <t>11RaTeWa.SrH-405</t>
  </si>
  <si>
    <t>11RaTeWa.SrH-429</t>
  </si>
  <si>
    <t>11RaTeWa.SrH-185</t>
  </si>
  <si>
    <t>11RaTeWa.SrH-215</t>
  </si>
  <si>
    <t>11RaTeWa.SrH-244</t>
  </si>
  <si>
    <t>11RaTeWa.SrH-266</t>
  </si>
  <si>
    <t>11RaTeWa.SrH-282</t>
  </si>
  <si>
    <t>11RaTeWa.SrH-298</t>
  </si>
  <si>
    <t>11RaTeWa.SrH-321</t>
  </si>
  <si>
    <t>11RaTeWa.SrH-337</t>
  </si>
  <si>
    <t>11RaTeWa.SrH-349</t>
  </si>
  <si>
    <t>11RaTeWa.SrH-377</t>
  </si>
  <si>
    <t>11RaTeWa.SrH-406</t>
  </si>
  <si>
    <t>11RaTeWa.SrH-430</t>
  </si>
  <si>
    <t>11RaTeWa.SrH-186</t>
  </si>
  <si>
    <t>11RaTeWa.SrH-216</t>
  </si>
  <si>
    <t>11RaTeWa.SrH-245</t>
  </si>
  <si>
    <t>11RaTeWa.SrH-267</t>
  </si>
  <si>
    <t>11RaTeWa.SrH-283</t>
  </si>
  <si>
    <t>11RaTeWa.SrH-299</t>
  </si>
  <si>
    <t>11RaTeWa.SrH-322</t>
  </si>
  <si>
    <t>11RaTeWa.SrH-338</t>
  </si>
  <si>
    <t>11RaTeWa.SrH-350</t>
  </si>
  <si>
    <t>11RaTeWa.SrH-378</t>
  </si>
  <si>
    <t>11RaTeWa.SrH-407</t>
  </si>
  <si>
    <t>11RaTeWa.SrH-431</t>
  </si>
  <si>
    <t>11RaTeWa.SrH-217</t>
  </si>
  <si>
    <t>11RaTeWa.SrH-246</t>
  </si>
  <si>
    <t>11RaTeWa.SrH-268</t>
  </si>
  <si>
    <t>11RaTeWa.SrH-284</t>
  </si>
  <si>
    <t>11RaTeWa.SrH-300</t>
  </si>
  <si>
    <t>11RaTeWa.SrH-323</t>
  </si>
  <si>
    <t>11RaTeWa.SrH-351</t>
  </si>
  <si>
    <t>11RaTeWa.SrH-379</t>
  </si>
  <si>
    <t>11RaTeWa.SrH-408</t>
  </si>
  <si>
    <t>11RaTeWa.SrH-432</t>
  </si>
  <si>
    <t>11RaTeWa.SrH-187</t>
  </si>
  <si>
    <t>11RaTeWa.SrH-218</t>
  </si>
  <si>
    <t>11RaTeWa.SrH-247</t>
  </si>
  <si>
    <t>11RaTeWa.SrH-269</t>
  </si>
  <si>
    <t>11RaTeWa.SrH-285</t>
  </si>
  <si>
    <t>11RaTeWa.SrH-301</t>
  </si>
  <si>
    <t>11RaTeWa.SrH-324</t>
  </si>
  <si>
    <t>11RaTeWa.SrH-352</t>
  </si>
  <si>
    <t>11RaTeWa.SrH-380</t>
  </si>
  <si>
    <t>11RaTeWa.SrH-409</t>
  </si>
  <si>
    <t>11RaTeWa.SrH-433</t>
  </si>
  <si>
    <t>11RaTeWa.SrH-188</t>
  </si>
  <si>
    <t>11RaTeWa.SrH-219</t>
  </si>
  <si>
    <t>11RaTeWa.SrH-248</t>
  </si>
  <si>
    <t>11RaTeWa.SrH-270</t>
  </si>
  <si>
    <t>11RaTeWa.SrH-286</t>
  </si>
  <si>
    <t>11RaTeWa.SrH-302</t>
  </si>
  <si>
    <t>11RaTeWa.SrH-325</t>
  </si>
  <si>
    <t>11RaTeWa.SrH-353</t>
  </si>
  <si>
    <t>11RaTeWa.SrH-381</t>
  </si>
  <si>
    <t>11RaTeWa.SrH-410</t>
  </si>
  <si>
    <t>11RaTeWa.SrH-434</t>
  </si>
  <si>
    <t>11RaTeWa.SrH-189</t>
  </si>
  <si>
    <t>11RaTeWa.SrH-220</t>
  </si>
  <si>
    <t>11RaTeWa.SrH-249</t>
  </si>
  <si>
    <t>11RaTeWa.SrH-271</t>
  </si>
  <si>
    <t>11RaTeWa.SrH-287</t>
  </si>
  <si>
    <t>11RaTeWa.SrH-303</t>
  </si>
  <si>
    <t>11RaTeWa.SrH-326</t>
  </si>
  <si>
    <t>11RaTeWa.SrH-354</t>
  </si>
  <si>
    <t>11RaTeWa.SrH-382</t>
  </si>
  <si>
    <t>11RaTeWa.SrH-411</t>
  </si>
  <si>
    <t>11RaTeWa.SrH-435</t>
  </si>
  <si>
    <t>11RaTeWa.SrH-190</t>
  </si>
  <si>
    <t>11RaTeWa.SrH-221</t>
  </si>
  <si>
    <t>11RaTeWa.SrH-250</t>
  </si>
  <si>
    <t>11RaTeWa.SrH-272</t>
  </si>
  <si>
    <t>11RaTeWa.SrH-304</t>
  </si>
  <si>
    <t>11RaTeWa.SrH-327</t>
  </si>
  <si>
    <t>11RaTeWa.SrH-355</t>
  </si>
  <si>
    <t>11RaTeWa.SrH-383</t>
  </si>
  <si>
    <t>11RaTeWa.SrH-412</t>
  </si>
  <si>
    <t>11RaTeWa.SrH-436</t>
  </si>
  <si>
    <t>11RaTeWa.SrH-191</t>
  </si>
  <si>
    <t>11RaTeWa.SrH-222</t>
  </si>
  <si>
    <t>11RaTeWa.SrH-251</t>
  </si>
  <si>
    <t>11RaTeWa.SrH-305</t>
  </si>
  <si>
    <t>11RaTeWa.SrH-328</t>
  </si>
  <si>
    <t>11RaTeWa.SrH-356</t>
  </si>
  <si>
    <t>11RaTeWa.SrH-384</t>
  </si>
  <si>
    <t>11RaTeWa.SrH-413</t>
  </si>
  <si>
    <t>11RaTeWa.SrH-437</t>
  </si>
  <si>
    <t>11RaTeWa.SrH-192</t>
  </si>
  <si>
    <t>11RaTeWa.SrH-223</t>
  </si>
  <si>
    <t>11RaTeWa.SrH-252</t>
  </si>
  <si>
    <t>11RaTeWa.SrH-306</t>
  </si>
  <si>
    <t>11RaTeWa.SrH-357</t>
  </si>
  <si>
    <t>11RaTeWa.SrH-385</t>
  </si>
  <si>
    <t>11RaTeWa.SrH-414</t>
  </si>
  <si>
    <t>11RaTeWa.SrH-438</t>
  </si>
  <si>
    <t>11RaTeWa.SrH-193</t>
  </si>
  <si>
    <t>11RaTeWa.SrH-224</t>
  </si>
  <si>
    <t>11RaTeWa.SrH-253</t>
  </si>
  <si>
    <t>11RaTeWa.SrH-307</t>
  </si>
  <si>
    <t>11RaTeWa.SrH-358</t>
  </si>
  <si>
    <t>11RaTeWa.SrH-386</t>
  </si>
  <si>
    <t>11RaTeWa.SrH-415</t>
  </si>
  <si>
    <t>11RaTeWa.SrH-439</t>
  </si>
  <si>
    <t>11RaTeWa.SrH-194</t>
  </si>
  <si>
    <t>11RaTeWa.SrH-225</t>
  </si>
  <si>
    <t>11RaTeWa.SrH-308</t>
  </si>
  <si>
    <t>11RaTeWa.SrH-359</t>
  </si>
  <si>
    <t>11RaTeWa.SrH-387</t>
  </si>
  <si>
    <t>11RaTeWa.SrH-416</t>
  </si>
  <si>
    <t>11RaTeWa.SrH-440</t>
  </si>
  <si>
    <t>11RaTeWa.SrH-195</t>
  </si>
  <si>
    <t>11RaTeWa.SrH-226</t>
  </si>
  <si>
    <t>11RaTeWa.SrH-254</t>
  </si>
  <si>
    <t>11RaTeWa.SrH-309</t>
  </si>
  <si>
    <t>11RaTeWa.SrH-360</t>
  </si>
  <si>
    <t>11RaTeWa.SrH-388</t>
  </si>
  <si>
    <t>11RaTeWa.SrH-417</t>
  </si>
  <si>
    <t>11RaTeWa.SrH-441</t>
  </si>
  <si>
    <t>11RaTeWa.SrH-196</t>
  </si>
  <si>
    <t>11RaTeWa.SrH-227</t>
  </si>
  <si>
    <t>11RaTeWa.SrH-310</t>
  </si>
  <si>
    <t>11RaTeWa.SrH-361</t>
  </si>
  <si>
    <t>11RaTeWa.SrH-389</t>
  </si>
  <si>
    <t>11RaTeWa.SrH-418</t>
  </si>
  <si>
    <t>11RaTeWa.SrH-442</t>
  </si>
  <si>
    <t>11RaTeWa.SrH-197</t>
  </si>
  <si>
    <t>11RaTeWa.SrH-228</t>
  </si>
  <si>
    <t>11RaTeWa.SrH-362</t>
  </si>
  <si>
    <t>11RaTeWa.SrH-390</t>
  </si>
  <si>
    <t>11RaTeWa.SrH-419</t>
  </si>
  <si>
    <t>11RaTeWa.SrH-198</t>
  </si>
  <si>
    <t>11RaTeWa.SrH-229</t>
  </si>
  <si>
    <t>11RaTeWa.SrH-363</t>
  </si>
  <si>
    <t>11RaTeWa.SrH-391</t>
  </si>
  <si>
    <t>11RaTeWa.SrH-420</t>
  </si>
  <si>
    <t>11RaTeWa.SrH-199</t>
  </si>
  <si>
    <t>11RaTeWa.SrH-230</t>
  </si>
  <si>
    <t>11RaTeWa.SrH-364</t>
  </si>
  <si>
    <t>11RaTeWa.SrH-392</t>
  </si>
  <si>
    <t>11RaTeWa.SrH-200</t>
  </si>
  <si>
    <t>11RaTeWa.SrH-231</t>
  </si>
  <si>
    <t>11RaTeWa.SrH-365</t>
  </si>
  <si>
    <t>11RaTeWa.SrH-393</t>
  </si>
  <si>
    <t>11RaTeWa.SrH-366</t>
  </si>
  <si>
    <t>11RaTeWa.SrH-394</t>
  </si>
  <si>
    <t>11RaTeWa.SrH-202</t>
  </si>
  <si>
    <t>11RaTeWa.SrH-395</t>
  </si>
  <si>
    <t>11RaTeWa.SrH-203</t>
  </si>
  <si>
    <t>11RaTeWa.SrH-64</t>
  </si>
  <si>
    <t>11RaTeWa.SrH-1</t>
  </si>
  <si>
    <t>11RaTeWa.SrH-18</t>
  </si>
  <si>
    <t>11RaTeWa.SrH-35</t>
  </si>
  <si>
    <t>11RaTeWa.SrH-65</t>
  </si>
  <si>
    <t>11RaTeWa.SrH-109</t>
  </si>
  <si>
    <t>11RaTeWa.SrH-125</t>
  </si>
  <si>
    <t>11RaTeWa.SrH-2</t>
  </si>
  <si>
    <t>11RaTeWa.SrH-19</t>
  </si>
  <si>
    <t>11RaTeWa.SrH-36</t>
  </si>
  <si>
    <t>11RaTeWa.SrH-47</t>
  </si>
  <si>
    <t>11RaTeWa.SrH-53</t>
  </si>
  <si>
    <t>11RaTeWa.SrH-66</t>
  </si>
  <si>
    <t>11RaTeWa.SrH-89</t>
  </si>
  <si>
    <t>11RaTeWa.SrH-102</t>
  </si>
  <si>
    <t>11RaTeWa.SrH-110</t>
  </si>
  <si>
    <t>11RaTeWa.SrH-126</t>
  </si>
  <si>
    <t>11RaTeWa.SrH-142</t>
  </si>
  <si>
    <t>11RaTeWa.SrH-159</t>
  </si>
  <si>
    <t>11RaTeWa.SrH-3</t>
  </si>
  <si>
    <t>11RaTeWa.SrH-20</t>
  </si>
  <si>
    <t>11RaTeWa.SrH-37</t>
  </si>
  <si>
    <t>11RaTeWa.SrH-48</t>
  </si>
  <si>
    <t>11RaTeWa.SrH-54</t>
  </si>
  <si>
    <t>11RaTeWa.SrH-67</t>
  </si>
  <si>
    <t>11RaTeWa.SrH-90</t>
  </si>
  <si>
    <t>11RaTeWa.SrH-103</t>
  </si>
  <si>
    <t>11RaTeWa.SrH-111</t>
  </si>
  <si>
    <t>11RaTeWa.SrH-127</t>
  </si>
  <si>
    <t>11RaTeWa.SrH-143</t>
  </si>
  <si>
    <t>11RaTeWa.SrH-160</t>
  </si>
  <si>
    <t>11RaTeWa.SrH-4</t>
  </si>
  <si>
    <t>11RaTeWa.SrH-21</t>
  </si>
  <si>
    <t>11RaTeWa.SrH-38</t>
  </si>
  <si>
    <t>11RaTeWa.SrH-55</t>
  </si>
  <si>
    <t>11RaTeWa.SrH-68</t>
  </si>
  <si>
    <t>11RaTeWa.SrH-91</t>
  </si>
  <si>
    <t>11RaTeWa.SrH-112</t>
  </si>
  <si>
    <t>11RaTeWa.SrH-128</t>
  </si>
  <si>
    <t>11RaTeWa.SrH-144</t>
  </si>
  <si>
    <t>11RaTeWa.SrH-161</t>
  </si>
  <si>
    <t>11RaTeWa.SrH-5</t>
  </si>
  <si>
    <t>11RaTeWa.SrH-22</t>
  </si>
  <si>
    <t>11RaTeWa.SrH-39</t>
  </si>
  <si>
    <t>11RaTeWa.SrH-49</t>
  </si>
  <si>
    <t>11RaTeWa.SrH-56</t>
  </si>
  <si>
    <t>11RaTeWa.SrH-69</t>
  </si>
  <si>
    <t>11RaTeWa.SrH-92</t>
  </si>
  <si>
    <t>11RaTeWa.SrH-104</t>
  </si>
  <si>
    <t>11RaTeWa.SrH-113</t>
  </si>
  <si>
    <t>11RaTeWa.SrH-129</t>
  </si>
  <si>
    <t>11RaTeWa.SrH-145</t>
  </si>
  <si>
    <t>11RaTeWa.SrH-162</t>
  </si>
  <si>
    <t>11RaTeWa.SrH-6</t>
  </si>
  <si>
    <t>11RaTeWa.SrH-23</t>
  </si>
  <si>
    <t>11RaTeWa.SrH-40</t>
  </si>
  <si>
    <t>11RaTeWa.SrH-50</t>
  </si>
  <si>
    <t>11RaTeWa.SrH-57</t>
  </si>
  <si>
    <t>11RaTeWa.SrH-70</t>
  </si>
  <si>
    <t>11RaTeWa.SrH-93</t>
  </si>
  <si>
    <t>11RaTeWa.SrH-105</t>
  </si>
  <si>
    <t>11RaTeWa.SrH-114</t>
  </si>
  <si>
    <t>11RaTeWa.SrH-130</t>
  </si>
  <si>
    <t>11RaTeWa.SrH-146</t>
  </si>
  <si>
    <t>11RaTeWa.SrH-163</t>
  </si>
  <si>
    <t>11RaTeWa.SrH-7</t>
  </si>
  <si>
    <t>11RaTeWa.SrH-24</t>
  </si>
  <si>
    <t>11RaTeWa.SrH-41</t>
  </si>
  <si>
    <t>11RaTeWa.SrH-51</t>
  </si>
  <si>
    <t>11RaTeWa.SrH-58</t>
  </si>
  <si>
    <t>11RaTeWa.SrH-71</t>
  </si>
  <si>
    <t>11RaTeWa.SrH-94</t>
  </si>
  <si>
    <t>11RaTeWa.SrH-106</t>
  </si>
  <si>
    <t>11RaTeWa.SrH-115</t>
  </si>
  <si>
    <t>11RaTeWa.SrH-147</t>
  </si>
  <si>
    <t>11RaTeWa.SrH-164</t>
  </si>
  <si>
    <t>11RaTeWa.SrH-8</t>
  </si>
  <si>
    <t>11RaTeWa.SrH-25</t>
  </si>
  <si>
    <t>11RaTeWa.SrH-42</t>
  </si>
  <si>
    <t>11RaTeWa.SrH-52</t>
  </si>
  <si>
    <t>11RaTeWa.SrH-59</t>
  </si>
  <si>
    <t>11RaTeWa.SrH-72</t>
  </si>
  <si>
    <t>11RaTeWa.SrH-95</t>
  </si>
  <si>
    <t>11RaTeWa.SrH-107</t>
  </si>
  <si>
    <t>11RaTeWa.SrH-116</t>
  </si>
  <si>
    <t>11RaTeWa.SrH-131</t>
  </si>
  <si>
    <t>11RaTeWa.SrH-148</t>
  </si>
  <si>
    <t>11RaTeWa.SrH-165</t>
  </si>
  <si>
    <t>11RaTeWa.SrH-9</t>
  </si>
  <si>
    <t>11RaTeWa.SrH-26</t>
  </si>
  <si>
    <t>11RaTeWa.SrH-43</t>
  </si>
  <si>
    <t>11RaTeWa.SrH-60</t>
  </si>
  <si>
    <t>11RaTeWa.SrH-73</t>
  </si>
  <si>
    <t>11RaTeWa.SrH-96</t>
  </si>
  <si>
    <t>11RaTeWa.SrH-108</t>
  </si>
  <si>
    <t>11RaTeWa.SrH-117</t>
  </si>
  <si>
    <t>11RaTeWa.SrH-132</t>
  </si>
  <si>
    <t>11RaTeWa.SrH-149</t>
  </si>
  <si>
    <t>11RaTeWa.SrH-166</t>
  </si>
  <si>
    <t>11RaTeWa.SrH-10</t>
  </si>
  <si>
    <t>11RaTeWa.SrH-27</t>
  </si>
  <si>
    <t>11RaTeWa.SrH-44</t>
  </si>
  <si>
    <t>11RaTeWa.SrH-61</t>
  </si>
  <si>
    <t>11RaTeWa.SrH-74</t>
  </si>
  <si>
    <t>11RaTeWa.SrH-97</t>
  </si>
  <si>
    <t>11RaTeWa.SrH-133</t>
  </si>
  <si>
    <t>11RaTeWa.SrH-150</t>
  </si>
  <si>
    <t>11RaTeWa.SrH-167</t>
  </si>
  <si>
    <t>11RaTeWa.SrH-11</t>
  </si>
  <si>
    <t>11RaTeWa.SrH-28</t>
  </si>
  <si>
    <t>11RaTeWa.SrH-45</t>
  </si>
  <si>
    <t>11RaTeWa.SrH-62</t>
  </si>
  <si>
    <t>11RaTeWa.SrH-75</t>
  </si>
  <si>
    <t>11RaTeWa.SrH-118</t>
  </si>
  <si>
    <t>11RaTeWa.SrH-134</t>
  </si>
  <si>
    <t>11RaTeWa.SrH-151</t>
  </si>
  <si>
    <t>11RaTeWa.SrH-168</t>
  </si>
  <si>
    <t>11RaTeWa.SrH-12</t>
  </si>
  <si>
    <t>11RaTeWa.SrH-29</t>
  </si>
  <si>
    <t>11RaTeWa.SrH-46</t>
  </si>
  <si>
    <t>11RaTeWa.SrH-63</t>
  </si>
  <si>
    <t>11RaTeWa.SrH-76</t>
  </si>
  <si>
    <t>11RaTeWa.SrH-98</t>
  </si>
  <si>
    <t>11RaTeWa.SrH-119</t>
  </si>
  <si>
    <t>11RaTeWa.SrH-135</t>
  </si>
  <si>
    <t>11RaTeWa.SrH-152</t>
  </si>
  <si>
    <t>11RaTeWa.SrH-169</t>
  </si>
  <si>
    <t>11RaTeWa.SrH-13</t>
  </si>
  <si>
    <t>11RaTeWa.SrH-30</t>
  </si>
  <si>
    <t>11RaTeWa.SrH-77</t>
  </si>
  <si>
    <t>11RaTeWa.SrH-99</t>
  </si>
  <si>
    <t>11RaTeWa.SrH-120</t>
  </si>
  <si>
    <t>11RaTeWa.SrH-136</t>
  </si>
  <si>
    <t>11RaTeWa.SrH-153</t>
  </si>
  <si>
    <t>11RaTeWa.SrH-170</t>
  </si>
  <si>
    <t>11RaTeWa.SrH-14</t>
  </si>
  <si>
    <t>11RaTeWa.SrH-31</t>
  </si>
  <si>
    <t>11RaTeWa.SrH-78</t>
  </si>
  <si>
    <t>11RaTeWa.SrH-100</t>
  </si>
  <si>
    <t>11RaTeWa.SrH-121</t>
  </si>
  <si>
    <t>11RaTeWa.SrH-137</t>
  </si>
  <si>
    <t>11RaTeWa.SrH-154</t>
  </si>
  <si>
    <t>11RaTeWa.SrH-171</t>
  </si>
  <si>
    <t>11RaTeWa.SrH-15</t>
  </si>
  <si>
    <t>11RaTeWa.SrH-32</t>
  </si>
  <si>
    <t>11RaTeWa.SrH-79</t>
  </si>
  <si>
    <t>11RaTeWa.SrH-101</t>
  </si>
  <si>
    <t>11RaTeWa.SrH-122</t>
  </si>
  <si>
    <t>11RaTeWa.SrH-138</t>
  </si>
  <si>
    <t>11RaTeWa.SrH-155</t>
  </si>
  <si>
    <t>11RaTeWa.SrH-172</t>
  </si>
  <si>
    <t>11RaTeWa.SrH-16</t>
  </si>
  <si>
    <t>11RaTeWa.SrH-33</t>
  </si>
  <si>
    <t>11RaTeWa.SrH-80</t>
  </si>
  <si>
    <t>11RaTeWa.SrH-123</t>
  </si>
  <si>
    <t>11RaTeWa.SrH-139</t>
  </si>
  <si>
    <t>11RaTeWa.SrH-156</t>
  </si>
  <si>
    <t>11RaTeWa.SrH-173</t>
  </si>
  <si>
    <t>11RaTeWa.SrH-17</t>
  </si>
  <si>
    <t>11RaTeWa.SrH-34</t>
  </si>
  <si>
    <t>11RaTeWa.SrH-81</t>
  </si>
  <si>
    <t>11RaTeWa.SrH-124</t>
  </si>
  <si>
    <t>11RaTeWa.SrH-140</t>
  </si>
  <si>
    <t>11RaTeWa.SrH-157</t>
  </si>
  <si>
    <t>11RaTeWa.SrH-174</t>
  </si>
  <si>
    <t>11RaTeWa.SrH-82</t>
  </si>
  <si>
    <t>11RaTeWa.SrH-141</t>
  </si>
  <si>
    <t>11RaTeWa.SrH-158</t>
  </si>
  <si>
    <t>11RaTeWa.SrH-175</t>
  </si>
  <si>
    <t>11RaTeWa.SrH-83</t>
  </si>
  <si>
    <t>11RaTeWa.SrH-84</t>
  </si>
  <si>
    <t>11RaTeWa.SrH-85</t>
  </si>
  <si>
    <t>11RaTeWa.SrH-86</t>
  </si>
  <si>
    <t>11RaTeWa.SrH-87</t>
  </si>
  <si>
    <t>11RaTeWa.SrH-88</t>
  </si>
  <si>
    <t>A</t>
  </si>
  <si>
    <t>33WaFrXx.196</t>
  </si>
  <si>
    <t>33WaFrXx.220</t>
  </si>
  <si>
    <t>33WaFrXx.258</t>
  </si>
  <si>
    <t>33WaFrXx.293</t>
  </si>
  <si>
    <t>33WaFrXx.01</t>
  </si>
  <si>
    <t>33WaFrXx.27</t>
  </si>
  <si>
    <t>33WaFrXx.48</t>
  </si>
  <si>
    <t>33WaFrXx.86</t>
  </si>
  <si>
    <t>33WaFrXx.197</t>
  </si>
  <si>
    <t>33WaFrXx.221</t>
  </si>
  <si>
    <t>33WaFrXx.259</t>
  </si>
  <si>
    <t>33WaFrXx.294</t>
  </si>
  <si>
    <t>33WaFrXx.339</t>
  </si>
  <si>
    <t>33WaFrXx.380</t>
  </si>
  <si>
    <t>33WaFrXx.02</t>
  </si>
  <si>
    <t>33WaFrXx.28</t>
  </si>
  <si>
    <t>33WaFrXx.49</t>
  </si>
  <si>
    <t>33WaFrXx.87</t>
  </si>
  <si>
    <t>33WaFrXx.124</t>
  </si>
  <si>
    <t>33WaFrXx.161</t>
  </si>
  <si>
    <t>33WaFrXx.198</t>
  </si>
  <si>
    <t>33WaFrXx.222</t>
  </si>
  <si>
    <t>33WaFrXx.260</t>
  </si>
  <si>
    <t>33WaFrXx.295</t>
  </si>
  <si>
    <t>33WaFrXx.340</t>
  </si>
  <si>
    <t>33WaFrXx.381</t>
  </si>
  <si>
    <t>33WaFrXx.03</t>
  </si>
  <si>
    <t>33WaFrXx.29</t>
  </si>
  <si>
    <t>33WaFrXx.50</t>
  </si>
  <si>
    <t>33WaFrXx.88</t>
  </si>
  <si>
    <t>33WaFrXx.125</t>
  </si>
  <si>
    <t>33WaFrXx.162</t>
  </si>
  <si>
    <t>33WaFrXx.199</t>
  </si>
  <si>
    <t>33WaFrXx.223</t>
  </si>
  <si>
    <t>33WaFrXx.261</t>
  </si>
  <si>
    <t>33WaFrXx.296</t>
  </si>
  <si>
    <t>33WaFrXx.341</t>
  </si>
  <si>
    <t>33WaFrXx.382</t>
  </si>
  <si>
    <t>33WaFrXx.04</t>
  </si>
  <si>
    <t>33WaFrXx.30</t>
  </si>
  <si>
    <t>33WaFrXx.51</t>
  </si>
  <si>
    <t>33WaFrXx.89</t>
  </si>
  <si>
    <t>33WaFrXx.126</t>
  </si>
  <si>
    <t>33WaFrXx.163</t>
  </si>
  <si>
    <t>33WaFrXx.200</t>
  </si>
  <si>
    <t>33WaFrXx.224</t>
  </si>
  <si>
    <t>33WaFrXx.262</t>
  </si>
  <si>
    <t>33WaFrXx.297</t>
  </si>
  <si>
    <t>33WaFrXx.342</t>
  </si>
  <si>
    <t>33WaFrXx.383</t>
  </si>
  <si>
    <t>33WaFrXx.05</t>
  </si>
  <si>
    <t>33WaFrXx.31</t>
  </si>
  <si>
    <t>33WaFrXx.52</t>
  </si>
  <si>
    <t>33WaFrXx.90</t>
  </si>
  <si>
    <t>33WaFrXx.127</t>
  </si>
  <si>
    <t>33WaFrXx.164</t>
  </si>
  <si>
    <t>33WaFrXx.201</t>
  </si>
  <si>
    <t>33WaFrXx.225</t>
  </si>
  <si>
    <t>33WaFrXx.263</t>
  </si>
  <si>
    <t>33WaFrXx.298</t>
  </si>
  <si>
    <t>33WaFrXx.343</t>
  </si>
  <si>
    <t>33WaFrXx.384</t>
  </si>
  <si>
    <t>33WaFrXx.06</t>
  </si>
  <si>
    <t>33WaFrXx.32</t>
  </si>
  <si>
    <t>33WaFrXx.53</t>
  </si>
  <si>
    <t>33WaFrXx.91</t>
  </si>
  <si>
    <t>33WaFrXx.128</t>
  </si>
  <si>
    <t>33WaFrXx.165</t>
  </si>
  <si>
    <t>33WaFrXx.202</t>
  </si>
  <si>
    <t>33WaFrXx.226</t>
  </si>
  <si>
    <t>33WaFrXx.264</t>
  </si>
  <si>
    <t>33WaFrXx.299</t>
  </si>
  <si>
    <t>33WaFrXx.344</t>
  </si>
  <si>
    <t>33WaFrXx.385</t>
  </si>
  <si>
    <t>33WaFrXx.07</t>
  </si>
  <si>
    <t>33WaFrXx.33</t>
  </si>
  <si>
    <t>33WaFrXx.54</t>
  </si>
  <si>
    <t>33WaFrXx.92</t>
  </si>
  <si>
    <t>33WaFrXx.129</t>
  </si>
  <si>
    <t>33WaFrXx.166</t>
  </si>
  <si>
    <t>33WaFrXx.203</t>
  </si>
  <si>
    <t>33WaFrXx.227</t>
  </si>
  <si>
    <t>33WaFrXx.265</t>
  </si>
  <si>
    <t>33WaFrXx.300</t>
  </si>
  <si>
    <t>33WaFrXx.345</t>
  </si>
  <si>
    <t>33WaFrXx.386</t>
  </si>
  <si>
    <t>33WaFrXx.08</t>
  </si>
  <si>
    <t>33WaFrXx.34</t>
  </si>
  <si>
    <t>33WaFrXx.55</t>
  </si>
  <si>
    <t>33WaFrXx.93</t>
  </si>
  <si>
    <t>33WaFrXx.130</t>
  </si>
  <si>
    <t>33WaFrXx.167</t>
  </si>
  <si>
    <t>33WaFrXx.204</t>
  </si>
  <si>
    <t>33WaFrXx.228</t>
  </si>
  <si>
    <t>33WaFrXx.266</t>
  </si>
  <si>
    <t>33WaFrXx.301</t>
  </si>
  <si>
    <t>33WaFrXx.346</t>
  </si>
  <si>
    <t>33WaFrXx.387</t>
  </si>
  <si>
    <t>33WaFrXx.09</t>
  </si>
  <si>
    <t>33WaFrXx.35</t>
  </si>
  <si>
    <t>33WaFrXx.56</t>
  </si>
  <si>
    <t>33WaFrXx.94</t>
  </si>
  <si>
    <t>33WaFrXx.131</t>
  </si>
  <si>
    <t>33WaFrXx.168</t>
  </si>
  <si>
    <t>33WaFrXx.205</t>
  </si>
  <si>
    <t>33WaFrXx.229</t>
  </si>
  <si>
    <t>33WaFrXx.267</t>
  </si>
  <si>
    <t>33WaFrXx.302</t>
  </si>
  <si>
    <t>33WaFrXx.347</t>
  </si>
  <si>
    <t>33WaFrXx.388</t>
  </si>
  <si>
    <t>33WaFrXx.10</t>
  </si>
  <si>
    <t>33WaFrXx.36</t>
  </si>
  <si>
    <t>33WaFrXx.57</t>
  </si>
  <si>
    <t>33WaFrXx.95</t>
  </si>
  <si>
    <t>33WaFrXx.132</t>
  </si>
  <si>
    <t>33WaFrXx.169</t>
  </si>
  <si>
    <t>33WaFrXx.206</t>
  </si>
  <si>
    <t>33WaFrXx.230</t>
  </si>
  <si>
    <t>33WaFrXx.268</t>
  </si>
  <si>
    <t>33WaFrXx.303</t>
  </si>
  <si>
    <t>33WaFrXx.348</t>
  </si>
  <si>
    <t>33WaFrXx.389</t>
  </si>
  <si>
    <t>33WaFrXx.11</t>
  </si>
  <si>
    <t>33WaFrXx.37</t>
  </si>
  <si>
    <t>33WaFrXx.58</t>
  </si>
  <si>
    <t>33WaFrXx.96</t>
  </si>
  <si>
    <t>33WaFrXx.133</t>
  </si>
  <si>
    <t>33WaFrXx.170</t>
  </si>
  <si>
    <t>33WaFrXx.207</t>
  </si>
  <si>
    <t>33WaFrXx.231</t>
  </si>
  <si>
    <t>33WaFrXx.269</t>
  </si>
  <si>
    <t>33WaFrXx.304</t>
  </si>
  <si>
    <t>33WaFrXx.349</t>
  </si>
  <si>
    <t>33WaFrXx.390</t>
  </si>
  <si>
    <t>33WaFrXx.12</t>
  </si>
  <si>
    <t>33WaFrXx.38</t>
  </si>
  <si>
    <t>33WaFrXx.59</t>
  </si>
  <si>
    <t>33WaFrXx.97</t>
  </si>
  <si>
    <t>33WaFrXx.134</t>
  </si>
  <si>
    <t>33WaFrXx.171</t>
  </si>
  <si>
    <t>33WaFrXx.208</t>
  </si>
  <si>
    <t>33WaFrXx.232</t>
  </si>
  <si>
    <t>33WaFrXx.270</t>
  </si>
  <si>
    <t>33WaFrXx.305</t>
  </si>
  <si>
    <t>33WaFrXx.350</t>
  </si>
  <si>
    <t>33WaFrXx.391</t>
  </si>
  <si>
    <t>33WaFrXx.13</t>
  </si>
  <si>
    <t>33WaFrXx.39</t>
  </si>
  <si>
    <t>33WaFrXx.60</t>
  </si>
  <si>
    <t>33WaFrXx.98</t>
  </si>
  <si>
    <t>33WaFrXx.135</t>
  </si>
  <si>
    <t>33WaFrXx.172</t>
  </si>
  <si>
    <t>33WaFrXx.209</t>
  </si>
  <si>
    <t>33WaFrXx.233</t>
  </si>
  <si>
    <t>33WaFrXx.271</t>
  </si>
  <si>
    <t>33WaFrXx.306</t>
  </si>
  <si>
    <t>33WaFrXx.351</t>
  </si>
  <si>
    <t>33WaFrXx.392</t>
  </si>
  <si>
    <t>33WaFrXx.14</t>
  </si>
  <si>
    <t>33WaFrXx.40</t>
  </si>
  <si>
    <t>33WaFrXx.61</t>
  </si>
  <si>
    <t>33WaFrXx.99</t>
  </si>
  <si>
    <t>33WaFrXx.136</t>
  </si>
  <si>
    <t>33WaFrXx.173</t>
  </si>
  <si>
    <t>33WaFrXx.210</t>
  </si>
  <si>
    <t>33WaFrXx.234</t>
  </si>
  <si>
    <t>33WaFrXx.272</t>
  </si>
  <si>
    <t>33WaFrXx.307</t>
  </si>
  <si>
    <t>33WaFrXx.352</t>
  </si>
  <si>
    <t>33WaFrXx.393</t>
  </si>
  <si>
    <t>33WaFrXx.15</t>
  </si>
  <si>
    <t>33WaFrXx.41</t>
  </si>
  <si>
    <t>33WaFrXx.62</t>
  </si>
  <si>
    <t>33WaFrXx.100</t>
  </si>
  <si>
    <t>33WaFrXx.137</t>
  </si>
  <si>
    <t>33WaFrXx.174</t>
  </si>
  <si>
    <t>33WaFrXx.211</t>
  </si>
  <si>
    <t>33WaFrXx.235</t>
  </si>
  <si>
    <t>33WaFrXx.273</t>
  </si>
  <si>
    <t>33WaFrXx.308</t>
  </si>
  <si>
    <t>33WaFrXx.353</t>
  </si>
  <si>
    <t>33WaFrXx.394</t>
  </si>
  <si>
    <t>33WaFrXx.16</t>
  </si>
  <si>
    <t>33WaFrXx.42</t>
  </si>
  <si>
    <t>33WaFrXx.63</t>
  </si>
  <si>
    <t>33WaFrXx.101</t>
  </si>
  <si>
    <t>33WaFrXx.138</t>
  </si>
  <si>
    <t>33WaFrXx.175</t>
  </si>
  <si>
    <t>33WaFrXx.212</t>
  </si>
  <si>
    <t>33WaFrXx.236</t>
  </si>
  <si>
    <t>33WaFrXx.274</t>
  </si>
  <si>
    <t>33WaFrXx.309</t>
  </si>
  <si>
    <t>33WaFrXx.354</t>
  </si>
  <si>
    <t>33WaFrXx.395</t>
  </si>
  <si>
    <t>33WaFrXx.17</t>
  </si>
  <si>
    <t>33WaFrXx.43</t>
  </si>
  <si>
    <t>33WaFrXx.64</t>
  </si>
  <si>
    <t>33WaFrXx.102</t>
  </si>
  <si>
    <t>33WaFrXx.139</t>
  </si>
  <si>
    <t>33WaFrXx.176</t>
  </si>
  <si>
    <t>33WaFrXx.237</t>
  </si>
  <si>
    <t>33WaFrXx.275</t>
  </si>
  <si>
    <t>33WaFrXx.310</t>
  </si>
  <si>
    <t>33WaFrXx.355</t>
  </si>
  <si>
    <t>33WaFrXx.396</t>
  </si>
  <si>
    <t>33WaFrXx.18</t>
  </si>
  <si>
    <t>33WaFrXx.44</t>
  </si>
  <si>
    <t>33WaFrXx.65</t>
  </si>
  <si>
    <t>33WaFrXx.103</t>
  </si>
  <si>
    <t>33WaFrXx.140</t>
  </si>
  <si>
    <t>33WaFrXx.177</t>
  </si>
  <si>
    <t>33WaFrXx.214</t>
  </si>
  <si>
    <t>33WaFrXx.238</t>
  </si>
  <si>
    <t>33WaFrXx.356</t>
  </si>
  <si>
    <t>33WaFrXx.397</t>
  </si>
  <si>
    <t>33WaFrXx.19</t>
  </si>
  <si>
    <t>33WaFrXx.45</t>
  </si>
  <si>
    <t>33WaFrXx.66</t>
  </si>
  <si>
    <t>33WaFrXx.104</t>
  </si>
  <si>
    <t>33WaFrXx.141</t>
  </si>
  <si>
    <t>33WaFrXx.178</t>
  </si>
  <si>
    <t>33WaFrXx.215</t>
  </si>
  <si>
    <t>33WaFrXx.239</t>
  </si>
  <si>
    <t>33WaFrXx.277</t>
  </si>
  <si>
    <t>33WaFrXx.312</t>
  </si>
  <si>
    <t>33WaFrXx.357</t>
  </si>
  <si>
    <t>33WaFrXx.398</t>
  </si>
  <si>
    <t>33WaFrXx.20</t>
  </si>
  <si>
    <t>33WaFrXx.46</t>
  </si>
  <si>
    <t>33WaFrXx.67</t>
  </si>
  <si>
    <t>33WaFrXx.105</t>
  </si>
  <si>
    <t>33WaFrXx.142</t>
  </si>
  <si>
    <t>33WaFrXx.179</t>
  </si>
  <si>
    <t>33WaFrXx.216</t>
  </si>
  <si>
    <t>33WaFrXx.240</t>
  </si>
  <si>
    <t>33WaFrXx.278</t>
  </si>
  <si>
    <t>33WaFrXx.313</t>
  </si>
  <si>
    <t>33WaFrXx.358</t>
  </si>
  <si>
    <t>33WaFrXx.399</t>
  </si>
  <si>
    <t>33WaFrXx.21</t>
  </si>
  <si>
    <t>33WaFrXx.47</t>
  </si>
  <si>
    <t>33WaFrXx.68</t>
  </si>
  <si>
    <t>33WaFrXx.106</t>
  </si>
  <si>
    <t>33WaFrXx.143</t>
  </si>
  <si>
    <t>33WaFrXx.180</t>
  </si>
  <si>
    <t>33WaFrXx.217</t>
  </si>
  <si>
    <t>33WaFrXx.241</t>
  </si>
  <si>
    <t>33WaFrXx.279</t>
  </si>
  <si>
    <t>33WaFrXx.314</t>
  </si>
  <si>
    <t>33WaFrXx.359</t>
  </si>
  <si>
    <t>33WaFrXx.400</t>
  </si>
  <si>
    <t>33WaFrXx.22</t>
  </si>
  <si>
    <t>33WaFrXx.69</t>
  </si>
  <si>
    <t>33WaFrXx.107</t>
  </si>
  <si>
    <t>33WaFrXx.144</t>
  </si>
  <si>
    <t>33WaFrXx.181</t>
  </si>
  <si>
    <t>33WaFrXx.218</t>
  </si>
  <si>
    <t>33WaFrXx.242</t>
  </si>
  <si>
    <t>33WaFrXx.280</t>
  </si>
  <si>
    <t>33WaFrXx.315</t>
  </si>
  <si>
    <t>33WaFrXx.360</t>
  </si>
  <si>
    <t>33WaFrXx.401</t>
  </si>
  <si>
    <t>33WaFrXx.23</t>
  </si>
  <si>
    <t>33WaFrXx.70</t>
  </si>
  <si>
    <t>33WaFrXx.108</t>
  </si>
  <si>
    <t>33WaFrXx.145</t>
  </si>
  <si>
    <t>33WaFrXx.182</t>
  </si>
  <si>
    <t>33WaFrXx.219</t>
  </si>
  <si>
    <t>33WaFrXx.243</t>
  </si>
  <si>
    <t>33WaFrXx.281</t>
  </si>
  <si>
    <t>33WaFrXx.316</t>
  </si>
  <si>
    <t>33WaFrXx.361</t>
  </si>
  <si>
    <t>33WaFrXx.402</t>
  </si>
  <si>
    <t>33WaFrXx.24</t>
  </si>
  <si>
    <t>33WaFrXx.71</t>
  </si>
  <si>
    <t>33WaFrXx.109</t>
  </si>
  <si>
    <t>33WaFrXx.146</t>
  </si>
  <si>
    <t>33WaFrXx.183</t>
  </si>
  <si>
    <t>33WaFrXx.282</t>
  </si>
  <si>
    <t>33WaFrXx.317</t>
  </si>
  <si>
    <t>33WaFrXx.362</t>
  </si>
  <si>
    <t>33WaFrXx.403</t>
  </si>
  <si>
    <t>33WaFrXx.25</t>
  </si>
  <si>
    <t>33WaFrXx.72</t>
  </si>
  <si>
    <t>33WaFrXx.110</t>
  </si>
  <si>
    <t>33WaFrXx.147</t>
  </si>
  <si>
    <t>33WaFrXx.184</t>
  </si>
  <si>
    <t>33WaFrXx.245</t>
  </si>
  <si>
    <t>33WaFrXx.283</t>
  </si>
  <si>
    <t>33WaFrXx.318</t>
  </si>
  <si>
    <t>33WaFrXx.363</t>
  </si>
  <si>
    <t>33WaFrXx.404</t>
  </si>
  <si>
    <t>33WaFrXx.26</t>
  </si>
  <si>
    <t>33WaFrXx.73</t>
  </si>
  <si>
    <t>33WaFrXx.111</t>
  </si>
  <si>
    <t>33WaFrXx.148</t>
  </si>
  <si>
    <t>33WaFrXx.185</t>
  </si>
  <si>
    <t>33WaFrXx.246</t>
  </si>
  <si>
    <t>33WaFrXx.284</t>
  </si>
  <si>
    <t>33WaFrXx.319</t>
  </si>
  <si>
    <t>33WaFrXx.364</t>
  </si>
  <si>
    <t>33WaFrXx.405</t>
  </si>
  <si>
    <t>33WaFrXx.74</t>
  </si>
  <si>
    <t>33WaFrXx.112</t>
  </si>
  <si>
    <t>33WaFrXx.149</t>
  </si>
  <si>
    <t>33WaFrXx.186</t>
  </si>
  <si>
    <t>33WaFrXx.247</t>
  </si>
  <si>
    <t>33WaFrXx.285</t>
  </si>
  <si>
    <t>33WaFrXx.320</t>
  </si>
  <si>
    <t>33WaFrXx.365</t>
  </si>
  <si>
    <t>33WaFrXx.406</t>
  </si>
  <si>
    <t>33WaFrXx.75</t>
  </si>
  <si>
    <t>33WaFrXx.113</t>
  </si>
  <si>
    <t>33WaFrXx.150</t>
  </si>
  <si>
    <t>33WaFrXx.187</t>
  </si>
  <si>
    <t>33WaFrXx.248</t>
  </si>
  <si>
    <t>33WaFrXx.286</t>
  </si>
  <si>
    <t>33WaFrXx.321</t>
  </si>
  <si>
    <t>33WaFrXx.366</t>
  </si>
  <si>
    <t>33WaFrXx.407</t>
  </si>
  <si>
    <t>33WaFrXx.76</t>
  </si>
  <si>
    <t>33WaFrXx.114</t>
  </si>
  <si>
    <t>33WaFrXx.151</t>
  </si>
  <si>
    <t>33WaFrXx.188</t>
  </si>
  <si>
    <t>33WaFrXx.287</t>
  </si>
  <si>
    <t>33WaFrXx.322</t>
  </si>
  <si>
    <t>33WaFrXx.367</t>
  </si>
  <si>
    <t>33WaFrXx.408</t>
  </si>
  <si>
    <t>33WaFrXx.250</t>
  </si>
  <si>
    <t>33WaFrXx.288</t>
  </si>
  <si>
    <t>33WaFrXx.116</t>
  </si>
  <si>
    <t>33WaFrXx.153</t>
  </si>
  <si>
    <t>33WaFrXx.251</t>
  </si>
  <si>
    <t>33WaFrXx.289</t>
  </si>
  <si>
    <t>33WaFrXx.324</t>
  </si>
  <si>
    <t>33WaFrXx.369</t>
  </si>
  <si>
    <t>33WaFrXx.79</t>
  </si>
  <si>
    <t>33WaFrXx.117</t>
  </si>
  <si>
    <t>33WaFrXx.154</t>
  </si>
  <si>
    <t>33WaFrXx.191</t>
  </si>
  <si>
    <t>33WaFrXx.252</t>
  </si>
  <si>
    <t>33WaFrXx.290</t>
  </si>
  <si>
    <t>33WaFrXx.325</t>
  </si>
  <si>
    <t>33WaFrXx.370</t>
  </si>
  <si>
    <t>33WaFrXx.80</t>
  </si>
  <si>
    <t>33WaFrXx.118</t>
  </si>
  <si>
    <t>33WaFrXx.155</t>
  </si>
  <si>
    <t>33WaFrXx.192</t>
  </si>
  <si>
    <t>33WaFrXx.326</t>
  </si>
  <si>
    <t>33WaFrXx.371</t>
  </si>
  <si>
    <t>33WaFrXx.81</t>
  </si>
  <si>
    <t>33WaFrXx.119</t>
  </si>
  <si>
    <t>33WaFrXx.156</t>
  </si>
  <si>
    <t>33WaFrXx.193</t>
  </si>
  <si>
    <t>33WaFrXx.254</t>
  </si>
  <si>
    <t>33WaFrXx.292</t>
  </si>
  <si>
    <t>33WaFrXx.327</t>
  </si>
  <si>
    <t>33WaFrXx.372</t>
  </si>
  <si>
    <t>33WaFrXx.82</t>
  </si>
  <si>
    <t>33WaFrXx.120</t>
  </si>
  <si>
    <t>33WaFrXx.157</t>
  </si>
  <si>
    <t>33WaFrXx.194</t>
  </si>
  <si>
    <t>33WaFrXx.255</t>
  </si>
  <si>
    <t>33WaFrXx.328</t>
  </si>
  <si>
    <t>33WaFrXx.373</t>
  </si>
  <si>
    <t>33WaFrXx.83</t>
  </si>
  <si>
    <t>33WaFrXx.121</t>
  </si>
  <si>
    <t>33WaFrXx.158</t>
  </si>
  <si>
    <t>33WaFrXx.195</t>
  </si>
  <si>
    <t>33WaFrXx.256</t>
  </si>
  <si>
    <t>33WaFrXx.329</t>
  </si>
  <si>
    <t>33WaFrXx.374</t>
  </si>
  <si>
    <t>33WaFrXx.84</t>
  </si>
  <si>
    <t>33WaFrXx.122</t>
  </si>
  <si>
    <t>33WaFrXx.159</t>
  </si>
  <si>
    <t>33WaFrXx.257</t>
  </si>
  <si>
    <t>33WaFrXx.330</t>
  </si>
  <si>
    <t>33WaFrXx.375</t>
  </si>
  <si>
    <t>33WaFrXx.85</t>
  </si>
  <si>
    <t>33WaFrXx.123</t>
  </si>
  <si>
    <t>33WaFrXx.160</t>
  </si>
  <si>
    <t>33WaFrXx.331</t>
  </si>
  <si>
    <t>33WaFrXx.376</t>
  </si>
  <si>
    <t>33WaFrXx.332</t>
  </si>
  <si>
    <t>33WaFrXx.377</t>
  </si>
  <si>
    <t>33WaFrXx.333</t>
  </si>
  <si>
    <t>33WaFrXx.378</t>
  </si>
  <si>
    <t>33WaFrXx.334</t>
  </si>
  <si>
    <t>33WaFrXx.379</t>
  </si>
  <si>
    <t>33WaFrXx.335</t>
  </si>
  <si>
    <t>33WaFrXx.336</t>
  </si>
  <si>
    <t>33WaFrXx.337</t>
  </si>
  <si>
    <t>33WaFrXx.338</t>
  </si>
  <si>
    <t>B</t>
  </si>
  <si>
    <t>36WaFrHo_SrH-1</t>
  </si>
  <si>
    <t>36WaFrHo_SrH-2</t>
  </si>
  <si>
    <t>36WaFrHo_SrH-3</t>
  </si>
  <si>
    <t>36WaFrHo_SrH-4</t>
  </si>
  <si>
    <t>36WaFrHo_SrH-5</t>
  </si>
  <si>
    <t>36WaFrHo_SrH-6</t>
  </si>
  <si>
    <t>36WaFrHo_SrH-7</t>
  </si>
  <si>
    <t>36WaFrHo_SrH-8</t>
  </si>
  <si>
    <t>36WaFrHo_SrH-9</t>
  </si>
  <si>
    <t>36WaFrHo_SrH-10</t>
  </si>
  <si>
    <t>36WaFrHo_SrH-11</t>
  </si>
  <si>
    <t>36WaFrHo_SrH-12</t>
  </si>
  <si>
    <t>36WaFrHo_SrH-13</t>
  </si>
  <si>
    <t>36WaFrHo_SrH-14</t>
  </si>
  <si>
    <t>36WaFrHo_SrH-15</t>
  </si>
  <si>
    <t>36WaFrHo_SrH-16</t>
  </si>
  <si>
    <t>36WaFrHo_SrH-17</t>
  </si>
  <si>
    <t>36WaFrHo_SrH-18</t>
  </si>
  <si>
    <t>36WaFrHo_SrH-19</t>
  </si>
  <si>
    <t>36WaFrHo_SrH-20</t>
  </si>
  <si>
    <t>36WaFrHo_SrH-21</t>
  </si>
  <si>
    <t>36WaFrHo_SrH-22</t>
  </si>
  <si>
    <t>36WaFrHo_SrH-23</t>
  </si>
  <si>
    <t>36WaFrHo_SrH-24</t>
  </si>
  <si>
    <t>36WaFrHo_SrH-25</t>
  </si>
  <si>
    <t>36WaFrHo_SrH-26</t>
  </si>
  <si>
    <t>36WaFrHo_SrH-27</t>
  </si>
  <si>
    <t>36WaFrHo_SrH-28</t>
  </si>
  <si>
    <t>36WaFrHo_SrH-29</t>
  </si>
  <si>
    <t>36WaFrHo_SrH-30</t>
  </si>
  <si>
    <t>36WaFrHo_SrH-31</t>
  </si>
  <si>
    <t>36WaFrHo_SrH-32</t>
  </si>
  <si>
    <t>36WaFrHo_SrH-33</t>
  </si>
  <si>
    <t>36WaFrHo_SrH-34</t>
  </si>
  <si>
    <t>36WaFrHo_SrH-35</t>
  </si>
  <si>
    <t>36WaFrHo_SrH-36</t>
  </si>
  <si>
    <t>36WaFrHo_SrH-37</t>
  </si>
  <si>
    <t>36WaFrHo_SrH-38</t>
  </si>
  <si>
    <t>36WaFrHo_SrH-39</t>
  </si>
  <si>
    <t>36WaFrHo_SrH-40</t>
  </si>
  <si>
    <t>36WaFrHo_SrH-41</t>
  </si>
  <si>
    <t>36WaFrHo_SrH-42</t>
  </si>
  <si>
    <t>36WaFrHo_SrH-43</t>
  </si>
  <si>
    <t>36WaFrHo_SrH-44</t>
  </si>
  <si>
    <t>36WaFrHo_SrH-45</t>
  </si>
  <si>
    <t>36WaFrHo_SrH-46</t>
  </si>
  <si>
    <t>36WaFrHo_SrH-47</t>
  </si>
  <si>
    <t>36WaFrHo_SrH-48</t>
  </si>
  <si>
    <t>36WaFrHo_SrH-49</t>
  </si>
  <si>
    <t>36WaFrHo_SrH-50</t>
  </si>
  <si>
    <t>36WaFrHo_SrH-51</t>
  </si>
  <si>
    <t>36WaFrHo_SrH-52</t>
  </si>
  <si>
    <t>36WaFrHo_SrH-53</t>
  </si>
  <si>
    <t>36WaFrHo_SrH-54</t>
  </si>
  <si>
    <t>36WaFrHo_SrH-55</t>
  </si>
  <si>
    <t>36WaFrHo_SrH-56</t>
  </si>
  <si>
    <t>36WaFrHo_SrH-57</t>
  </si>
  <si>
    <t>36WaFrHo_SrH-58</t>
  </si>
  <si>
    <t>36WaFrHo_SrH-59</t>
  </si>
  <si>
    <t>36WaFrHo_SrH-60</t>
  </si>
  <si>
    <t>36WaFrHo_SrH-61</t>
  </si>
  <si>
    <t>36WaFrHo_SrH-62</t>
  </si>
  <si>
    <t>36WaFrHo_SrH-63</t>
  </si>
  <si>
    <t>36WaFrHo_SrH-64</t>
  </si>
  <si>
    <t>36WaFrHo_SrH-65</t>
  </si>
  <si>
    <t>36WaFrHo_SrH-66</t>
  </si>
  <si>
    <t>36WaFrHo_SrH-67</t>
  </si>
  <si>
    <t>36WaFrHo_SrH-68</t>
  </si>
  <si>
    <t>36WaFrHo_SrH-69</t>
  </si>
  <si>
    <t>36WaFrHo_SrH-70</t>
  </si>
  <si>
    <t>36WaFrHo_SrH-71</t>
  </si>
  <si>
    <t>36WaFrHo_SrH-72</t>
  </si>
  <si>
    <t>36WaFrHo_SrH-73</t>
  </si>
  <si>
    <t>36WaFrHo_SrH-74</t>
  </si>
  <si>
    <t>36WaFrHo_SrH-75</t>
  </si>
  <si>
    <t>36WaFrHo_SrH-76</t>
  </si>
  <si>
    <t>36WaFrHo_SrH-77</t>
  </si>
  <si>
    <t>36WaFrHo_SrH-78</t>
  </si>
  <si>
    <t>36WaFrHo_SrH-79</t>
  </si>
  <si>
    <t>36WaFrHo_SrH-80</t>
  </si>
  <si>
    <t>36WaFrHo_SrH-81</t>
  </si>
  <si>
    <t>36WaFrHo_SrH-82</t>
  </si>
  <si>
    <t>36WaFrHo_SrH-83</t>
  </si>
  <si>
    <t>36WaFrHo_SrH-84</t>
  </si>
  <si>
    <t>36WaFrHo_SrH-85</t>
  </si>
  <si>
    <t>36WaFrHo_SrH-86</t>
  </si>
  <si>
    <t>36WaFrHo_SrH-87</t>
  </si>
  <si>
    <t>36WaFrHo_SrH-88</t>
  </si>
  <si>
    <t>36WaFrHo_SrH-89</t>
  </si>
  <si>
    <t>36WaFrHo_SrH-90</t>
  </si>
  <si>
    <t>36WaFrHo_SrH-91</t>
  </si>
  <si>
    <t>36WaFrHo_SrH-92</t>
  </si>
  <si>
    <t>36WaFrHo_SrH-93</t>
  </si>
  <si>
    <t>36WaFrHo_SrH-94</t>
  </si>
  <si>
    <t>36WaFrHo_SrH-95</t>
  </si>
  <si>
    <t>36WaFrHo_SrH-96</t>
  </si>
  <si>
    <t>36WaFrHo_SrH-97</t>
  </si>
  <si>
    <t>36WaFrHo_SrH-98</t>
  </si>
  <si>
    <t>36WaFrHo_SrH-99</t>
  </si>
  <si>
    <t>36WaFrHo_SrH-100</t>
  </si>
  <si>
    <t>36WaFrHo_SrH-101</t>
  </si>
  <si>
    <t>36WaFrHo_SrH-102</t>
  </si>
  <si>
    <t>36WaFrHo_SrH-103</t>
  </si>
  <si>
    <t>36WaFrHo_SrH-104</t>
  </si>
  <si>
    <t>36WaFrHo_SrH-105</t>
  </si>
  <si>
    <t>36WaFrHo_SrH-106</t>
  </si>
  <si>
    <t>36WaFrHo_SrH-107</t>
  </si>
  <si>
    <t>36WaFrHo_SrH-108</t>
  </si>
  <si>
    <t>36WaFrHo_SrH-109</t>
  </si>
  <si>
    <t>36WaFrHo_SrH-110</t>
  </si>
  <si>
    <t>36WaFrHo_SrH-111</t>
  </si>
  <si>
    <t>nu</t>
  </si>
  <si>
    <t>unc</t>
  </si>
  <si>
    <t>Stat</t>
  </si>
  <si>
    <t>J</t>
  </si>
  <si>
    <t>e/f</t>
  </si>
  <si>
    <t>J"</t>
  </si>
  <si>
    <t>State</t>
  </si>
  <si>
    <t>v</t>
  </si>
  <si>
    <t>F</t>
  </si>
  <si>
    <t>J'</t>
  </si>
  <si>
    <t>F"</t>
  </si>
  <si>
    <t>e/f"</t>
  </si>
  <si>
    <t>v"</t>
  </si>
  <si>
    <t>source</t>
  </si>
  <si>
    <t>TAG'</t>
  </si>
  <si>
    <t>TAG"</t>
  </si>
  <si>
    <t>TAG</t>
  </si>
  <si>
    <t>n</t>
  </si>
  <si>
    <t>Ground</t>
  </si>
  <si>
    <t>F1e</t>
  </si>
  <si>
    <t>F2f</t>
  </si>
  <si>
    <t>Excited</t>
  </si>
  <si>
    <t>E"</t>
  </si>
  <si>
    <t>E'</t>
  </si>
  <si>
    <t>33WaFrXx.244</t>
  </si>
  <si>
    <t>33WaFrXx.249</t>
  </si>
  <si>
    <t>33WaFrXx.253</t>
  </si>
  <si>
    <t>33WaFrXx.213</t>
  </si>
  <si>
    <t>33WaFrXx.311</t>
  </si>
  <si>
    <t>33WaFrXx.323</t>
  </si>
  <si>
    <t>33WaFrXx.276</t>
  </si>
  <si>
    <t>33WaFrXx.291</t>
  </si>
  <si>
    <t>33WaFrXx.115</t>
  </si>
  <si>
    <t>33WaFrXx.77</t>
  </si>
  <si>
    <t>33WaFrXx.78</t>
  </si>
  <si>
    <t>33WaFrXx.368</t>
  </si>
  <si>
    <t>33WaFrXx.189</t>
  </si>
  <si>
    <t>33WaFrXx.190</t>
  </si>
  <si>
    <t>33WaFrXx.152</t>
  </si>
  <si>
    <t>33FrWaXx-SrH-B-1</t>
  </si>
  <si>
    <t>33FrWaXx-SrH-B-2</t>
  </si>
  <si>
    <t>33FrWaXx-SrH-B-3</t>
  </si>
  <si>
    <t>33FrWaXx-SrH-B-4</t>
  </si>
  <si>
    <t>33FrWaXx-SrH-B-5</t>
  </si>
  <si>
    <t>33FrWaXx-SrH-B-6</t>
  </si>
  <si>
    <t>33FrWaXx-SrH-B-7</t>
  </si>
  <si>
    <t>33FrWaXx-SrH-B-8</t>
  </si>
  <si>
    <t>33FrWaXx-SrH-B-9</t>
  </si>
  <si>
    <t>33FrWaXx-SrH-B-10</t>
  </si>
  <si>
    <t>33FrWaXx-SrH-B-11</t>
  </si>
  <si>
    <t>33FrWaXx-SrH-B-12</t>
  </si>
  <si>
    <t>33FrWaXx-SrH-B-13</t>
  </si>
  <si>
    <t>33FrWaXx-SrH-B-14</t>
  </si>
  <si>
    <t>33FrWaXx-SrH-B-15</t>
  </si>
  <si>
    <t>33FrWaXx-SrH-B-16</t>
  </si>
  <si>
    <t>33FrWaXx-SrH-B-17</t>
  </si>
  <si>
    <t>33FrWaXx-SrH-B-18</t>
  </si>
  <si>
    <t>33FrWaXx-SrH-B-19</t>
  </si>
  <si>
    <t>33FrWaXx-SrH-B-20</t>
  </si>
  <si>
    <t>33FrWaXx-SrH-B-21</t>
  </si>
  <si>
    <t>33FrWaXx-SrH-B-22</t>
  </si>
  <si>
    <t>33FrWaXx-SrH-B-23</t>
  </si>
  <si>
    <t>33FrWaXx-SrH-B-24</t>
  </si>
  <si>
    <t>33FrWaXx-SrH-B-25</t>
  </si>
  <si>
    <t>33FrWaXx-SrH-B-26</t>
  </si>
  <si>
    <t>33FrWaXx-SrH-B-27</t>
  </si>
  <si>
    <t>33FrWaXx-SrH-B-28</t>
  </si>
  <si>
    <t>33FrWaXx-SrH-B-29</t>
  </si>
  <si>
    <t>33FrWaXx-SrH-B-30</t>
  </si>
  <si>
    <t>33FrWaXx-SrH-B-31</t>
  </si>
  <si>
    <t>33FrWaXx-SrH-B-32</t>
  </si>
  <si>
    <t>33FrWaXx-SrH-B-33</t>
  </si>
  <si>
    <t>33FrWaXx-SrH-B-34</t>
  </si>
  <si>
    <t>33FrWaXx-SrH-B-35</t>
  </si>
  <si>
    <t>33FrWaXx-SrH-B-36</t>
  </si>
  <si>
    <t>33FrWaXx-SrH-B-37</t>
  </si>
  <si>
    <t>33FrWaXx-SrH-B-38</t>
  </si>
  <si>
    <t>33FrWaXx-SrH-B-39</t>
  </si>
  <si>
    <t>33FrWaXx-SrH-B-40</t>
  </si>
  <si>
    <t>33FrWaXx-SrH-B-41</t>
  </si>
  <si>
    <t>33FrWaXx-SrH-B-42</t>
  </si>
  <si>
    <t>33FrWaXx-SrH-B-43</t>
  </si>
  <si>
    <t>33FrWaXx-SrH-B-44</t>
  </si>
  <si>
    <t>33FrWaXx-SrH-B-45</t>
  </si>
  <si>
    <t>33FrWaXx-SrH-B-46</t>
  </si>
  <si>
    <t>33FrWaXx-SrH-B-47</t>
  </si>
  <si>
    <t>33FrWaXx-SrH-B-48</t>
  </si>
  <si>
    <t>33FrWaXx-SrH-B-49</t>
  </si>
  <si>
    <t>33FrWaXx-SrH-B-50</t>
  </si>
  <si>
    <t>33FrWaXx-SrH-B-51</t>
  </si>
  <si>
    <t>33FrWaXx-SrH-B-52</t>
  </si>
  <si>
    <t>33FrWaXx-SrH-B-53</t>
  </si>
  <si>
    <t>33FrWaXx-SrH-B-54</t>
  </si>
  <si>
    <t>33FrWaXx-SrH-B-55</t>
  </si>
  <si>
    <t>33FrWaXx-SrH-B-56</t>
  </si>
  <si>
    <t>33FrWaXx-SrH-B-57</t>
  </si>
  <si>
    <t>33FrWaXx-SrH-B-58</t>
  </si>
  <si>
    <t>33FrWaXx-SrH-B-59</t>
  </si>
  <si>
    <t>33FrWaXx-SrH-B-60</t>
  </si>
  <si>
    <t>33FrWaXx-SrH-B-61</t>
  </si>
  <si>
    <t>33FrWaXx-SrH-B-62</t>
  </si>
  <si>
    <t>33FrWaXx-SrH-B-63</t>
  </si>
  <si>
    <t>33FrWaXx-SrH-B-64</t>
  </si>
  <si>
    <t>33FrWaXx-SrH-B-65</t>
  </si>
  <si>
    <t>33FrWaXx-SrH-B-66</t>
  </si>
  <si>
    <t>33FrWaXx-SrH-B-67</t>
  </si>
  <si>
    <t>33FrWaXx-SrH-B-68</t>
  </si>
  <si>
    <t>33FrWaXx-SrH-B-69</t>
  </si>
  <si>
    <t>33FrWaXx-SrH-B-70</t>
  </si>
  <si>
    <t>33FrWaXx-SrH-B-71</t>
  </si>
  <si>
    <t>33FrWaXx-SrH-B-72</t>
  </si>
  <si>
    <t>33FrWaXx-SrH-B-73</t>
  </si>
  <si>
    <t>33FrWaXx-SrH-B-74</t>
  </si>
  <si>
    <t>33FrWaXx-SrH-B-75</t>
  </si>
  <si>
    <t>33FrWaXx-SrH-B-76</t>
  </si>
  <si>
    <t>33FrWaXx-SrH-B-77</t>
  </si>
  <si>
    <t>33FrWaXx-SrH-B-78</t>
  </si>
  <si>
    <t>33FrWaXx-SrH-B-79</t>
  </si>
  <si>
    <t>33FrWaXx-SrH-B-80</t>
  </si>
  <si>
    <t>33FrWaXx-SrH-B-81</t>
  </si>
  <si>
    <t>33FrWaXx-SrH-B-82</t>
  </si>
  <si>
    <t>33FrWaXx-SrH-B-83</t>
  </si>
  <si>
    <t>33FrWaXx-SrH-B-84</t>
  </si>
  <si>
    <t>33FrWaXx-SrH-B-85</t>
  </si>
  <si>
    <t>33FrWaXx-SrH-B-86</t>
  </si>
  <si>
    <t>33FrWaXx-SrH-B-87</t>
  </si>
  <si>
    <t>33FrWaXx-SrH-B-88</t>
  </si>
  <si>
    <t>33FrWaXx-SrH-B-89</t>
  </si>
  <si>
    <t>33FrWaXx-SrH-B-90</t>
  </si>
  <si>
    <t>33FrWaXx-SrH-B-91</t>
  </si>
  <si>
    <t>33FrWaXx-SrH-B-92</t>
  </si>
  <si>
    <t>33FrWaXx-SrH-B-93</t>
  </si>
  <si>
    <t>33FrWaXx-SrH-B-94</t>
  </si>
  <si>
    <t>33FrWaXx-SrH-B-95</t>
  </si>
  <si>
    <t>33FrWaXx-SrH-B-96</t>
  </si>
  <si>
    <t>33FrWaXx-SrH-B-97</t>
  </si>
  <si>
    <t>33FrWaXx-SrH-B-98</t>
  </si>
  <si>
    <t>33FrWaXx-SrH-B-99</t>
  </si>
  <si>
    <t>33FrWaXx-SrH-B-100</t>
  </si>
  <si>
    <t>33FrWaXx-SrH-B-101</t>
  </si>
  <si>
    <t>33FrWaXx-SrH-B-102</t>
  </si>
  <si>
    <t>33FrWaXx-SrH-B-103</t>
  </si>
  <si>
    <t>33FrWaXx-SrH-B-104</t>
  </si>
  <si>
    <t>33FrWaXx-SrH-B-105</t>
  </si>
  <si>
    <t>33FrWaXx-SrH-B-106</t>
  </si>
  <si>
    <t>33FrWaXx-SrH-B-107</t>
  </si>
  <si>
    <t>33FrWaXx-SrH-B-108</t>
  </si>
  <si>
    <t>33FrWaXx-SrH-B-109</t>
  </si>
  <si>
    <t>33FrWaXx-SrH-B-110</t>
  </si>
  <si>
    <t>33FrWaXx-SrH-B-111</t>
  </si>
  <si>
    <t>33FrWaXx-SrH-B-112</t>
  </si>
  <si>
    <t>33FrWaXx-SrH-B-113</t>
  </si>
  <si>
    <t>33FrWaXx-SrH-B-114</t>
  </si>
  <si>
    <t>33FrWaXx-SrH-B-115</t>
  </si>
  <si>
    <t>33FrWaXx-SrH-B-116</t>
  </si>
  <si>
    <t>33FrWaXx-SrH-B-117</t>
  </si>
  <si>
    <t>33FrWaXx-SrH-B-118</t>
  </si>
  <si>
    <t>33FrWaXx-SrH-B-119</t>
  </si>
  <si>
    <t>33FrWaXx-SrH-B-120</t>
  </si>
  <si>
    <t>33FrWaXx-SrH-B-121</t>
  </si>
  <si>
    <t>33FrWaXx-SrH-B-122</t>
  </si>
  <si>
    <t>33FrWaXx-SrH-B-123</t>
  </si>
  <si>
    <t>33FrWaXx-SrH-B-124</t>
  </si>
  <si>
    <t>33FrWaXx-SrH-B-125</t>
  </si>
  <si>
    <t>33FrWaXx-SrH-B-126</t>
  </si>
  <si>
    <t>33FrWaXx-SrH-B-127</t>
  </si>
  <si>
    <t>11RaTeWa.SrH-201</t>
  </si>
  <si>
    <t>11RaTeWa.SrH-232</t>
  </si>
  <si>
    <t>En</t>
  </si>
  <si>
    <t>Esum</t>
  </si>
  <si>
    <t>Nsum</t>
  </si>
  <si>
    <t>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</si>
</sst>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97ED-14C3-4EA1-960A-C7E6B59B84C0}">
  <dimension ref="A1:V1766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x14ac:dyDescent="0.55000000000000004"/>
  <cols>
    <col min="1" max="1" width="20.62890625" customWidth="1"/>
    <col min="2" max="2" width="11.83984375" customWidth="1"/>
    <col min="3" max="3" width="15.83984375" customWidth="1"/>
    <col min="4" max="4" width="5.26171875" style="2" customWidth="1"/>
    <col min="5" max="5" width="5.26171875" customWidth="1"/>
    <col min="6" max="6" width="5.26171875" style="2" customWidth="1"/>
    <col min="7" max="8" width="5.26171875" customWidth="1"/>
    <col min="9" max="9" width="5.26171875" style="2" customWidth="1"/>
    <col min="10" max="10" width="5.26171875" customWidth="1"/>
    <col min="11" max="11" width="5.26171875" style="2" customWidth="1"/>
    <col min="12" max="13" width="5.26171875" customWidth="1"/>
    <col min="14" max="14" width="23.1015625" style="2" customWidth="1"/>
    <col min="15" max="15" width="20.578125" customWidth="1"/>
    <col min="17" max="17" width="12" customWidth="1"/>
    <col min="18" max="18" width="14.68359375" customWidth="1"/>
  </cols>
  <sheetData>
    <row r="1" spans="1:22" x14ac:dyDescent="0.55000000000000004">
      <c r="A1" t="s">
        <v>1627</v>
      </c>
      <c r="B1" t="s">
        <v>1628</v>
      </c>
      <c r="C1" t="s">
        <v>1628</v>
      </c>
      <c r="D1" s="2" t="s">
        <v>1629</v>
      </c>
      <c r="E1" t="s">
        <v>1635</v>
      </c>
      <c r="F1" s="2" t="s">
        <v>1631</v>
      </c>
      <c r="G1" t="s">
        <v>1634</v>
      </c>
      <c r="H1" t="s">
        <v>1636</v>
      </c>
      <c r="I1" s="2" t="s">
        <v>1633</v>
      </c>
      <c r="J1" t="s">
        <v>1637</v>
      </c>
      <c r="K1" s="2" t="s">
        <v>1638</v>
      </c>
      <c r="L1" t="s">
        <v>1639</v>
      </c>
      <c r="M1" t="s">
        <v>1632</v>
      </c>
      <c r="N1" s="2" t="s">
        <v>1640</v>
      </c>
      <c r="O1" t="s">
        <v>1641</v>
      </c>
      <c r="P1" t="s">
        <v>1642</v>
      </c>
      <c r="Q1" t="s">
        <v>1650</v>
      </c>
      <c r="R1" t="s">
        <v>1649</v>
      </c>
      <c r="S1" t="s">
        <v>1796</v>
      </c>
      <c r="T1" t="s">
        <v>1797</v>
      </c>
      <c r="U1" t="s">
        <v>1798</v>
      </c>
      <c r="V1">
        <v>0.5</v>
      </c>
    </row>
    <row r="2" spans="1:22" x14ac:dyDescent="0.55000000000000004">
      <c r="A2">
        <v>13357.77</v>
      </c>
      <c r="B2" s="1">
        <v>3.0769999999999999E-2</v>
      </c>
      <c r="C2" s="1">
        <v>3.0769999999999999E-2</v>
      </c>
      <c r="D2" s="2" t="s">
        <v>1121</v>
      </c>
      <c r="E2">
        <v>1</v>
      </c>
      <c r="F2" s="2" t="s">
        <v>2</v>
      </c>
      <c r="G2">
        <v>0</v>
      </c>
      <c r="H2">
        <v>0.5</v>
      </c>
      <c r="I2" s="2" t="s">
        <v>0</v>
      </c>
      <c r="J2">
        <v>2</v>
      </c>
      <c r="K2" s="2" t="s">
        <v>1</v>
      </c>
      <c r="L2">
        <v>0</v>
      </c>
      <c r="M2">
        <v>0.5</v>
      </c>
      <c r="N2" s="2" t="s">
        <v>1124</v>
      </c>
      <c r="O2" t="str">
        <f>D2&amp;"-"&amp;E2&amp;"-"&amp;F2&amp;"-"&amp;G2&amp;"-"&amp;H2</f>
        <v>A-1-e-0-0.5</v>
      </c>
      <c r="P2" t="str">
        <f>I2&amp;"-"&amp;J2&amp;"-"&amp;K2&amp;"-"&amp;L2&amp;"-"&amp;M2</f>
        <v>X-2-f-0-0.5</v>
      </c>
      <c r="Q2">
        <f>A2+R2</f>
        <v>13364.912378000001</v>
      </c>
      <c r="R2">
        <f>_xlfn.IFNA(VLOOKUP(P2,PGOPHER!A$2:G$181,7,FALSE),_xlfn.IFNA(VLOOKUP(P2,en!A$2:I$768,7,FALSE),-10000))</f>
        <v>7.1423779999999999</v>
      </c>
      <c r="S2">
        <f>IF(O2=O1,Q1+S1,Q2)</f>
        <v>13364.912378000001</v>
      </c>
      <c r="T2">
        <f>IF(O2=O1,T1+1,1)</f>
        <v>1</v>
      </c>
      <c r="U2" t="str">
        <f>IF(O2=O3,"",S2/T2)</f>
        <v/>
      </c>
      <c r="V2" t="str">
        <f>IF(U2="","",IF(ABS(Q2-U2)&gt;V$1,"error",""))</f>
        <v/>
      </c>
    </row>
    <row r="3" spans="1:22" x14ac:dyDescent="0.55000000000000004">
      <c r="A3">
        <v>13357.64</v>
      </c>
      <c r="B3" s="1">
        <v>3.0769999999999999E-2</v>
      </c>
      <c r="C3" s="1">
        <v>3.0769999999999999E-2</v>
      </c>
      <c r="D3" s="2" t="s">
        <v>1121</v>
      </c>
      <c r="E3">
        <v>1</v>
      </c>
      <c r="F3" s="2" t="s">
        <v>2</v>
      </c>
      <c r="G3">
        <v>0</v>
      </c>
      <c r="H3">
        <v>0.5</v>
      </c>
      <c r="I3" s="2" t="s">
        <v>0</v>
      </c>
      <c r="J3">
        <v>1</v>
      </c>
      <c r="K3" s="2" t="s">
        <v>2</v>
      </c>
      <c r="L3">
        <v>0</v>
      </c>
      <c r="M3">
        <v>1.5</v>
      </c>
      <c r="N3" s="2" t="s">
        <v>1123</v>
      </c>
      <c r="O3" t="str">
        <f>D3&amp;"-"&amp;E3&amp;"-"&amp;F3&amp;"-"&amp;G3&amp;"-"&amp;H3</f>
        <v>A-1-e-0-0.5</v>
      </c>
      <c r="P3" t="str">
        <f>I3&amp;"-"&amp;J3&amp;"-"&amp;K3&amp;"-"&amp;L3&amp;"-"&amp;M3</f>
        <v>X-1-e-0-1.5</v>
      </c>
      <c r="Q3">
        <f>A3+R3</f>
        <v>13364.968328999999</v>
      </c>
      <c r="R3">
        <f>_xlfn.IFNA(VLOOKUP(P3,PGOPHER!A$2:G$181,7,FALSE),_xlfn.IFNA(VLOOKUP(P3,en!A$2:I$768,7,FALSE),-10000))</f>
        <v>7.3283290000000001</v>
      </c>
      <c r="S3">
        <f>IF(O3=O2,Q2+S2,Q3)</f>
        <v>26729.824756000002</v>
      </c>
      <c r="T3">
        <f>IF(O3=O2,T2+1,1)</f>
        <v>2</v>
      </c>
      <c r="U3">
        <f>IF(O3=O4,"",S3/T3)</f>
        <v>13364.912378000001</v>
      </c>
      <c r="V3" t="str">
        <f>IF(U3="","",IF(ABS(Q3-U3)&gt;V$1,"error",""))</f>
        <v/>
      </c>
    </row>
    <row r="4" spans="1:22" x14ac:dyDescent="0.55000000000000004">
      <c r="A4">
        <v>13339.43</v>
      </c>
      <c r="B4" s="1">
        <v>9.3439999999999995E-2</v>
      </c>
      <c r="C4" s="1">
        <v>9.3439999999999995E-2</v>
      </c>
      <c r="D4" s="2" t="s">
        <v>1121</v>
      </c>
      <c r="E4">
        <v>1</v>
      </c>
      <c r="F4" s="2" t="s">
        <v>1</v>
      </c>
      <c r="G4">
        <v>0</v>
      </c>
      <c r="H4">
        <v>0.5</v>
      </c>
      <c r="I4" s="2" t="s">
        <v>0</v>
      </c>
      <c r="J4">
        <v>2</v>
      </c>
      <c r="K4" s="2" t="s">
        <v>1</v>
      </c>
      <c r="L4">
        <v>0</v>
      </c>
      <c r="M4">
        <v>1.5</v>
      </c>
      <c r="N4" s="2" t="s">
        <v>1122</v>
      </c>
      <c r="O4" t="str">
        <f>D4&amp;"-"&amp;E4&amp;"-"&amp;F4&amp;"-"&amp;G4&amp;"-"&amp;H4</f>
        <v>A-1-f-0-0.5</v>
      </c>
      <c r="P4" t="str">
        <f>I4&amp;"-"&amp;J4&amp;"-"&amp;K4&amp;"-"&amp;L4&amp;"-"&amp;M4</f>
        <v>X-2-f-0-1.5</v>
      </c>
      <c r="Q4">
        <f>A4+R4</f>
        <v>13361.039896</v>
      </c>
      <c r="R4">
        <f>_xlfn.IFNA(VLOOKUP(P4,PGOPHER!A$2:G$181,7,FALSE),_xlfn.IFNA(VLOOKUP(P4,en!A$2:I$768,7,FALSE),-10000))</f>
        <v>21.609895999999999</v>
      </c>
      <c r="S4">
        <f>IF(O4=O3,Q3+S3,Q4)</f>
        <v>13361.039896</v>
      </c>
      <c r="T4">
        <f>IF(O4=O3,T3+1,1)</f>
        <v>1</v>
      </c>
      <c r="U4" t="str">
        <f>IF(O4=O5,"",S4/T4)</f>
        <v/>
      </c>
      <c r="V4" t="str">
        <f>IF(U4="","",IF(ABS(Q4-U4)&gt;V$1,"error",""))</f>
        <v/>
      </c>
    </row>
    <row r="5" spans="1:22" x14ac:dyDescent="0.55000000000000004">
      <c r="A5">
        <v>13360.87</v>
      </c>
      <c r="B5" s="1">
        <v>9.3439999999999995E-2</v>
      </c>
      <c r="C5" s="1">
        <v>9.3439999999999995E-2</v>
      </c>
      <c r="D5" s="2" t="s">
        <v>1121</v>
      </c>
      <c r="E5">
        <v>1</v>
      </c>
      <c r="F5" s="2" t="s">
        <v>1</v>
      </c>
      <c r="G5">
        <v>0</v>
      </c>
      <c r="H5">
        <v>0.5</v>
      </c>
      <c r="I5" s="2" t="s">
        <v>0</v>
      </c>
      <c r="J5">
        <v>1</v>
      </c>
      <c r="K5" s="2" t="s">
        <v>2</v>
      </c>
      <c r="L5">
        <v>0</v>
      </c>
      <c r="M5">
        <v>0.5</v>
      </c>
      <c r="N5" s="2" t="s">
        <v>1125</v>
      </c>
      <c r="O5" t="str">
        <f>D5&amp;"-"&amp;E5&amp;"-"&amp;F5&amp;"-"&amp;G5&amp;"-"&amp;H5</f>
        <v>A-1-f-0-0.5</v>
      </c>
      <c r="P5" t="str">
        <f>I5&amp;"-"&amp;J5&amp;"-"&amp;K5&amp;"-"&amp;L5&amp;"-"&amp;M5</f>
        <v>X-1-e-0-0.5</v>
      </c>
      <c r="Q5">
        <f>A5+R5</f>
        <v>13360.87</v>
      </c>
      <c r="R5">
        <f>_xlfn.IFNA(VLOOKUP(P5,PGOPHER!A$2:G$181,7,FALSE),_xlfn.IFNA(VLOOKUP(P5,en!A$2:I$768,7,FALSE),-10000))</f>
        <v>0</v>
      </c>
      <c r="S5">
        <f>IF(O5=O4,Q4+S4,Q5)</f>
        <v>26722.079792</v>
      </c>
      <c r="T5">
        <f>IF(O5=O4,T4+1,1)</f>
        <v>2</v>
      </c>
      <c r="U5">
        <f>IF(O5=O6,"",S5/T5)</f>
        <v>13361.039896</v>
      </c>
      <c r="V5" t="str">
        <f>IF(U5="","",IF(ABS(Q5-U5)&gt;V$1,"error",""))</f>
        <v/>
      </c>
    </row>
    <row r="6" spans="1:22" x14ac:dyDescent="0.55000000000000004">
      <c r="A6">
        <v>13356.07</v>
      </c>
      <c r="B6" s="1">
        <v>1.2460000000000001E-2</v>
      </c>
      <c r="C6" s="1">
        <v>1.2460000000000001E-2</v>
      </c>
      <c r="D6" s="2" t="s">
        <v>1121</v>
      </c>
      <c r="E6">
        <v>1</v>
      </c>
      <c r="F6" s="2" t="s">
        <v>2</v>
      </c>
      <c r="G6">
        <v>0</v>
      </c>
      <c r="H6">
        <v>1.5</v>
      </c>
      <c r="I6" s="2" t="s">
        <v>0</v>
      </c>
      <c r="J6">
        <v>1</v>
      </c>
      <c r="K6" s="2" t="s">
        <v>2</v>
      </c>
      <c r="L6">
        <v>0</v>
      </c>
      <c r="M6">
        <v>2.5</v>
      </c>
      <c r="N6" s="2" t="s">
        <v>1131</v>
      </c>
      <c r="O6" t="str">
        <f>D6&amp;"-"&amp;E6&amp;"-"&amp;F6&amp;"-"&amp;G6&amp;"-"&amp;H6</f>
        <v>A-1-e-0-1.5</v>
      </c>
      <c r="P6" t="str">
        <f>I6&amp;"-"&amp;J6&amp;"-"&amp;K6&amp;"-"&amp;L6&amp;"-"&amp;M6</f>
        <v>X-1-e-0-2.5</v>
      </c>
      <c r="Q6">
        <f>A6+R6</f>
        <v>13377.9897</v>
      </c>
      <c r="R6">
        <f>_xlfn.IFNA(VLOOKUP(P6,PGOPHER!A$2:G$181,7,FALSE),_xlfn.IFNA(VLOOKUP(P6,en!A$2:I$768,7,FALSE),-10000))</f>
        <v>21.919699999999999</v>
      </c>
      <c r="S6">
        <f>IF(O6=O5,Q5+S5,Q6)</f>
        <v>13377.9897</v>
      </c>
      <c r="T6">
        <f>IF(O6=O5,T5+1,1)</f>
        <v>1</v>
      </c>
      <c r="U6" t="str">
        <f>IF(O6=O7,"",S6/T6)</f>
        <v/>
      </c>
      <c r="V6" t="str">
        <f>IF(U6="","",IF(ABS(Q6-U6)&gt;V$1,"error",""))</f>
        <v/>
      </c>
    </row>
    <row r="7" spans="1:22" x14ac:dyDescent="0.55000000000000004">
      <c r="A7">
        <v>13377.83</v>
      </c>
      <c r="B7" s="1">
        <v>0.1641</v>
      </c>
      <c r="C7" s="1">
        <v>0.1641</v>
      </c>
      <c r="D7" s="2" t="s">
        <v>1121</v>
      </c>
      <c r="E7">
        <v>1</v>
      </c>
      <c r="F7" s="2" t="s">
        <v>2</v>
      </c>
      <c r="G7">
        <v>0</v>
      </c>
      <c r="H7">
        <v>1.5</v>
      </c>
      <c r="I7" s="2" t="s">
        <v>0</v>
      </c>
      <c r="J7">
        <v>1</v>
      </c>
      <c r="K7" s="2" t="s">
        <v>2</v>
      </c>
      <c r="L7">
        <v>0</v>
      </c>
      <c r="M7">
        <v>0.5</v>
      </c>
      <c r="N7" s="2" t="s">
        <v>1135</v>
      </c>
      <c r="O7" t="str">
        <f>D7&amp;"-"&amp;E7&amp;"-"&amp;F7&amp;"-"&amp;G7&amp;"-"&amp;H7</f>
        <v>A-1-e-0-1.5</v>
      </c>
      <c r="P7" t="str">
        <f>I7&amp;"-"&amp;J7&amp;"-"&amp;K7&amp;"-"&amp;L7&amp;"-"&amp;M7</f>
        <v>X-1-e-0-0.5</v>
      </c>
      <c r="Q7">
        <f>A7+R7</f>
        <v>13377.83</v>
      </c>
      <c r="R7">
        <f>_xlfn.IFNA(VLOOKUP(P7,PGOPHER!A$2:G$181,7,FALSE),_xlfn.IFNA(VLOOKUP(P7,en!A$2:I$768,7,FALSE),-10000))</f>
        <v>0</v>
      </c>
      <c r="S7">
        <f>IF(O7=O6,Q6+S6,Q7)</f>
        <v>26755.9794</v>
      </c>
      <c r="T7">
        <f>IF(O7=O6,T6+1,1)</f>
        <v>2</v>
      </c>
      <c r="U7" t="str">
        <f>IF(O7=O8,"",S7/T7)</f>
        <v/>
      </c>
      <c r="V7" t="str">
        <f>IF(U7="","",IF(ABS(Q7-U7)&gt;V$1,"error",""))</f>
        <v/>
      </c>
    </row>
    <row r="8" spans="1:22" x14ac:dyDescent="0.55000000000000004">
      <c r="A8">
        <v>13356.36</v>
      </c>
      <c r="B8" s="1">
        <v>0.01</v>
      </c>
      <c r="C8" s="1">
        <v>0.01</v>
      </c>
      <c r="D8" s="2" t="s">
        <v>1121</v>
      </c>
      <c r="E8">
        <v>1</v>
      </c>
      <c r="F8" s="2" t="s">
        <v>2</v>
      </c>
      <c r="G8">
        <v>0</v>
      </c>
      <c r="H8">
        <v>1.5</v>
      </c>
      <c r="I8" s="2" t="s">
        <v>0</v>
      </c>
      <c r="J8">
        <v>2</v>
      </c>
      <c r="K8" s="2" t="s">
        <v>1</v>
      </c>
      <c r="L8">
        <v>0</v>
      </c>
      <c r="M8">
        <v>1.5</v>
      </c>
      <c r="N8" s="2" t="s">
        <v>1132</v>
      </c>
      <c r="O8" t="str">
        <f>D8&amp;"-"&amp;E8&amp;"-"&amp;F8&amp;"-"&amp;G8&amp;"-"&amp;H8</f>
        <v>A-1-e-0-1.5</v>
      </c>
      <c r="P8" t="str">
        <f>I8&amp;"-"&amp;J8&amp;"-"&amp;K8&amp;"-"&amp;L8&amp;"-"&amp;M8</f>
        <v>X-2-f-0-1.5</v>
      </c>
      <c r="Q8">
        <f>A8+R8</f>
        <v>13377.969896000001</v>
      </c>
      <c r="R8">
        <f>_xlfn.IFNA(VLOOKUP(P8,PGOPHER!A$2:G$181,7,FALSE),_xlfn.IFNA(VLOOKUP(P8,en!A$2:I$768,7,FALSE),-10000))</f>
        <v>21.609895999999999</v>
      </c>
      <c r="S8">
        <f>IF(O8=O7,Q7+S7,Q8)</f>
        <v>40133.809399999998</v>
      </c>
      <c r="T8">
        <f>IF(O8=O7,T7+1,1)</f>
        <v>3</v>
      </c>
      <c r="U8">
        <f>IF(O8=O9,"",S8/T8)</f>
        <v>13377.936466666666</v>
      </c>
      <c r="V8" t="str">
        <f>IF(U8="","",IF(ABS(Q8-U8)&gt;V$1,"error",""))</f>
        <v/>
      </c>
    </row>
    <row r="9" spans="1:22" x14ac:dyDescent="0.55000000000000004">
      <c r="A9">
        <v>13362.5</v>
      </c>
      <c r="B9" s="1">
        <v>0.1686</v>
      </c>
      <c r="C9" s="1">
        <v>0.1686</v>
      </c>
      <c r="D9" s="2" t="s">
        <v>1121</v>
      </c>
      <c r="E9">
        <v>1</v>
      </c>
      <c r="F9" s="2" t="s">
        <v>1</v>
      </c>
      <c r="G9">
        <v>0</v>
      </c>
      <c r="H9">
        <v>1.5</v>
      </c>
      <c r="I9" s="2" t="s">
        <v>0</v>
      </c>
      <c r="J9">
        <v>2</v>
      </c>
      <c r="K9" s="2" t="s">
        <v>1</v>
      </c>
      <c r="L9">
        <v>0</v>
      </c>
      <c r="M9">
        <v>0.5</v>
      </c>
      <c r="N9" s="2" t="s">
        <v>1134</v>
      </c>
      <c r="O9" t="str">
        <f>D9&amp;"-"&amp;E9&amp;"-"&amp;F9&amp;"-"&amp;G9&amp;"-"&amp;H9</f>
        <v>A-1-f-0-1.5</v>
      </c>
      <c r="P9" t="str">
        <f>I9&amp;"-"&amp;J9&amp;"-"&amp;K9&amp;"-"&amp;L9&amp;"-"&amp;M9</f>
        <v>X-2-f-0-0.5</v>
      </c>
      <c r="Q9">
        <f>A9+R9</f>
        <v>13369.642378</v>
      </c>
      <c r="R9">
        <f>_xlfn.IFNA(VLOOKUP(P9,PGOPHER!A$2:G$181,7,FALSE),_xlfn.IFNA(VLOOKUP(P9,en!A$2:I$768,7,FALSE),-10000))</f>
        <v>7.1423779999999999</v>
      </c>
      <c r="S9">
        <f>IF(O9=O8,Q8+S8,Q9)</f>
        <v>13369.642378</v>
      </c>
      <c r="T9">
        <f>IF(O9=O8,T8+1,1)</f>
        <v>1</v>
      </c>
      <c r="U9" t="str">
        <f>IF(O9=O10,"",S9/T9)</f>
        <v/>
      </c>
      <c r="V9" t="str">
        <f>IF(U9="","",IF(ABS(Q9-U9)&gt;V$1,"error",""))</f>
        <v/>
      </c>
    </row>
    <row r="10" spans="1:22" x14ac:dyDescent="0.55000000000000004">
      <c r="A10">
        <v>13362.5</v>
      </c>
      <c r="B10" s="1">
        <v>4.4170000000000001E-2</v>
      </c>
      <c r="C10" s="1">
        <v>4.4170000000000001E-2</v>
      </c>
      <c r="D10" s="2" t="s">
        <v>1121</v>
      </c>
      <c r="E10">
        <v>1</v>
      </c>
      <c r="F10" s="2" t="s">
        <v>1</v>
      </c>
      <c r="G10">
        <v>0</v>
      </c>
      <c r="H10">
        <v>1.5</v>
      </c>
      <c r="I10" s="2" t="s">
        <v>0</v>
      </c>
      <c r="J10">
        <v>1</v>
      </c>
      <c r="K10" s="2" t="s">
        <v>2</v>
      </c>
      <c r="L10">
        <v>0</v>
      </c>
      <c r="M10">
        <v>1.5</v>
      </c>
      <c r="N10" s="2" t="s">
        <v>1133</v>
      </c>
      <c r="O10" t="str">
        <f>D10&amp;"-"&amp;E10&amp;"-"&amp;F10&amp;"-"&amp;G10&amp;"-"&amp;H10</f>
        <v>A-1-f-0-1.5</v>
      </c>
      <c r="P10" t="str">
        <f>I10&amp;"-"&amp;J10&amp;"-"&amp;K10&amp;"-"&amp;L10&amp;"-"&amp;M10</f>
        <v>X-1-e-0-1.5</v>
      </c>
      <c r="Q10">
        <f>A10+R10</f>
        <v>13369.828329</v>
      </c>
      <c r="R10">
        <f>_xlfn.IFNA(VLOOKUP(P10,PGOPHER!A$2:G$181,7,FALSE),_xlfn.IFNA(VLOOKUP(P10,en!A$2:I$768,7,FALSE),-10000))</f>
        <v>7.3283290000000001</v>
      </c>
      <c r="S10">
        <f>IF(O10=O9,Q9+S9,Q10)</f>
        <v>26739.284756000001</v>
      </c>
      <c r="T10">
        <f>IF(O10=O9,T9+1,1)</f>
        <v>2</v>
      </c>
      <c r="U10" t="str">
        <f>IF(O10=O11,"",S10/T10)</f>
        <v/>
      </c>
      <c r="V10" t="str">
        <f>IF(U10="","",IF(ABS(Q10-U10)&gt;V$1,"error",""))</f>
        <v/>
      </c>
    </row>
    <row r="11" spans="1:22" x14ac:dyDescent="0.55000000000000004">
      <c r="A11">
        <v>13326.43</v>
      </c>
      <c r="B11" s="1">
        <v>3.5000000000000003E-2</v>
      </c>
      <c r="C11" s="1">
        <v>3.5000000000000003E-2</v>
      </c>
      <c r="D11" s="2" t="s">
        <v>1121</v>
      </c>
      <c r="E11">
        <v>1</v>
      </c>
      <c r="F11" s="2" t="s">
        <v>1</v>
      </c>
      <c r="G11">
        <v>0</v>
      </c>
      <c r="H11">
        <v>1.5</v>
      </c>
      <c r="I11" s="2" t="s">
        <v>0</v>
      </c>
      <c r="J11">
        <v>2</v>
      </c>
      <c r="K11" s="2" t="s">
        <v>1</v>
      </c>
      <c r="L11">
        <v>0</v>
      </c>
      <c r="M11">
        <v>2.5</v>
      </c>
      <c r="N11" s="2" t="s">
        <v>1130</v>
      </c>
      <c r="O11" t="str">
        <f>D11&amp;"-"&amp;E11&amp;"-"&amp;F11&amp;"-"&amp;G11&amp;"-"&amp;H11</f>
        <v>A-1-f-0-1.5</v>
      </c>
      <c r="P11" t="str">
        <f>I11&amp;"-"&amp;J11&amp;"-"&amp;K11&amp;"-"&amp;L11&amp;"-"&amp;M11</f>
        <v>X-2-f-0-2.5</v>
      </c>
      <c r="Q11">
        <f>A11+R11</f>
        <v>13369.763493</v>
      </c>
      <c r="R11">
        <f>_xlfn.IFNA(VLOOKUP(P11,PGOPHER!A$2:G$181,7,FALSE),_xlfn.IFNA(VLOOKUP(P11,en!A$2:I$768,7,FALSE),-10000))</f>
        <v>43.333492999999997</v>
      </c>
      <c r="S11">
        <f>IF(O11=O10,Q10+S10,Q11)</f>
        <v>40109.113085000005</v>
      </c>
      <c r="T11">
        <f>IF(O11=O10,T10+1,1)</f>
        <v>3</v>
      </c>
      <c r="U11">
        <f>IF(O11=O12,"",S11/T11)</f>
        <v>13369.704361666669</v>
      </c>
      <c r="V11" t="str">
        <f>IF(U11="","",IF(ABS(Q11-U11)&gt;V$1,"error",""))</f>
        <v/>
      </c>
    </row>
    <row r="12" spans="1:22" x14ac:dyDescent="0.55000000000000004">
      <c r="A12">
        <v>13644.83</v>
      </c>
      <c r="B12" s="1">
        <v>7.1609999999999993E-2</v>
      </c>
      <c r="C12" s="1">
        <v>7.1609999999999993E-2</v>
      </c>
      <c r="D12" s="2" t="s">
        <v>1121</v>
      </c>
      <c r="E12">
        <v>2</v>
      </c>
      <c r="F12" s="2" t="s">
        <v>2</v>
      </c>
      <c r="G12">
        <v>0</v>
      </c>
      <c r="H12">
        <v>1.5</v>
      </c>
      <c r="I12" s="2" t="s">
        <v>0</v>
      </c>
      <c r="J12">
        <v>2</v>
      </c>
      <c r="K12" s="2" t="s">
        <v>1</v>
      </c>
      <c r="L12">
        <v>0</v>
      </c>
      <c r="M12">
        <v>1.5</v>
      </c>
      <c r="N12" s="2" t="s">
        <v>1128</v>
      </c>
      <c r="O12" t="str">
        <f>D12&amp;"-"&amp;E12&amp;"-"&amp;F12&amp;"-"&amp;G12&amp;"-"&amp;H12</f>
        <v>A-2-e-0-1.5</v>
      </c>
      <c r="P12" t="str">
        <f>I12&amp;"-"&amp;J12&amp;"-"&amp;K12&amp;"-"&amp;L12&amp;"-"&amp;M12</f>
        <v>X-2-f-0-1.5</v>
      </c>
      <c r="Q12">
        <f>A12+R12</f>
        <v>13666.439896</v>
      </c>
      <c r="R12">
        <f>_xlfn.IFNA(VLOOKUP(P12,PGOPHER!A$2:G$181,7,FALSE),_xlfn.IFNA(VLOOKUP(P12,en!A$2:I$768,7,FALSE),-10000))</f>
        <v>21.609895999999999</v>
      </c>
      <c r="S12">
        <f>IF(O12=O11,Q11+S11,Q12)</f>
        <v>13666.439896</v>
      </c>
      <c r="T12">
        <f>IF(O12=O11,T11+1,1)</f>
        <v>1</v>
      </c>
      <c r="U12" t="str">
        <f>IF(O12=O13,"",S12/T12)</f>
        <v/>
      </c>
      <c r="V12" t="str">
        <f>IF(U12="","",IF(ABS(Q12-U12)&gt;V$1,"error",""))</f>
        <v/>
      </c>
    </row>
    <row r="13" spans="1:22" x14ac:dyDescent="0.55000000000000004">
      <c r="A13">
        <v>13644.39</v>
      </c>
      <c r="B13" s="1">
        <v>7.1609999999999993E-2</v>
      </c>
      <c r="C13" s="1">
        <v>7.1609999999999993E-2</v>
      </c>
      <c r="D13" s="2" t="s">
        <v>1121</v>
      </c>
      <c r="E13">
        <v>2</v>
      </c>
      <c r="F13" s="2" t="s">
        <v>2</v>
      </c>
      <c r="G13">
        <v>0</v>
      </c>
      <c r="H13">
        <v>1.5</v>
      </c>
      <c r="I13" s="2" t="s">
        <v>0</v>
      </c>
      <c r="J13">
        <v>1</v>
      </c>
      <c r="K13" s="2" t="s">
        <v>2</v>
      </c>
      <c r="L13">
        <v>0</v>
      </c>
      <c r="M13">
        <v>2.5</v>
      </c>
      <c r="N13" s="2" t="s">
        <v>1127</v>
      </c>
      <c r="O13" t="str">
        <f>D13&amp;"-"&amp;E13&amp;"-"&amp;F13&amp;"-"&amp;G13&amp;"-"&amp;H13</f>
        <v>A-2-e-0-1.5</v>
      </c>
      <c r="P13" t="str">
        <f>I13&amp;"-"&amp;J13&amp;"-"&amp;K13&amp;"-"&amp;L13&amp;"-"&amp;M13</f>
        <v>X-1-e-0-2.5</v>
      </c>
      <c r="Q13">
        <f>A13+R13</f>
        <v>13666.3097</v>
      </c>
      <c r="R13">
        <f>_xlfn.IFNA(VLOOKUP(P13,PGOPHER!A$2:G$181,7,FALSE),_xlfn.IFNA(VLOOKUP(P13,en!A$2:I$768,7,FALSE),-10000))</f>
        <v>21.919699999999999</v>
      </c>
      <c r="S13">
        <f>IF(O13=O12,Q12+S12,Q13)</f>
        <v>27332.879792</v>
      </c>
      <c r="T13">
        <f>IF(O13=O12,T12+1,1)</f>
        <v>2</v>
      </c>
      <c r="U13">
        <f>IF(O13=O14,"",S13/T13)</f>
        <v>13666.439896</v>
      </c>
      <c r="V13" t="str">
        <f>IF(U13="","",IF(ABS(Q13-U13)&gt;V$1,"error",""))</f>
        <v/>
      </c>
    </row>
    <row r="14" spans="1:22" x14ac:dyDescent="0.55000000000000004">
      <c r="A14">
        <v>13622.66</v>
      </c>
      <c r="B14" s="1">
        <v>0.33229999999999998</v>
      </c>
      <c r="C14" s="1">
        <v>0.33229999999999998</v>
      </c>
      <c r="D14" s="2" t="s">
        <v>1121</v>
      </c>
      <c r="E14">
        <v>2</v>
      </c>
      <c r="F14" s="2" t="s">
        <v>1</v>
      </c>
      <c r="G14">
        <v>0</v>
      </c>
      <c r="H14">
        <v>1.5</v>
      </c>
      <c r="I14" s="2" t="s">
        <v>0</v>
      </c>
      <c r="J14">
        <v>2</v>
      </c>
      <c r="K14" s="2" t="s">
        <v>1</v>
      </c>
      <c r="L14">
        <v>0</v>
      </c>
      <c r="M14">
        <v>2.5</v>
      </c>
      <c r="N14" s="2" t="s">
        <v>1126</v>
      </c>
      <c r="O14" t="str">
        <f>D14&amp;"-"&amp;E14&amp;"-"&amp;F14&amp;"-"&amp;G14&amp;"-"&amp;H14</f>
        <v>A-2-f-0-1.5</v>
      </c>
      <c r="P14" t="str">
        <f>I14&amp;"-"&amp;J14&amp;"-"&amp;K14&amp;"-"&amp;L14&amp;"-"&amp;M14</f>
        <v>X-2-f-0-2.5</v>
      </c>
      <c r="Q14">
        <f>A14+R14</f>
        <v>13665.993493</v>
      </c>
      <c r="R14">
        <f>_xlfn.IFNA(VLOOKUP(P14,PGOPHER!A$2:G$181,7,FALSE),_xlfn.IFNA(VLOOKUP(P14,en!A$2:I$768,7,FALSE),-10000))</f>
        <v>43.333492999999997</v>
      </c>
      <c r="S14">
        <f>IF(O14=O13,Q13+S13,Q14)</f>
        <v>13665.993493</v>
      </c>
      <c r="T14">
        <f>IF(O14=O13,T13+1,1)</f>
        <v>1</v>
      </c>
      <c r="U14" t="str">
        <f>IF(O14=O15,"",S14/T14)</f>
        <v/>
      </c>
      <c r="V14" t="str">
        <f>IF(U14="","",IF(ABS(Q14-U14)&gt;V$1,"error",""))</f>
        <v/>
      </c>
    </row>
    <row r="15" spans="1:22" x14ac:dyDescent="0.55000000000000004">
      <c r="A15">
        <v>13659.27</v>
      </c>
      <c r="B15" s="1">
        <v>0.33229999999999998</v>
      </c>
      <c r="C15" s="1">
        <v>0.33229999999999998</v>
      </c>
      <c r="D15" s="2" t="s">
        <v>1121</v>
      </c>
      <c r="E15">
        <v>2</v>
      </c>
      <c r="F15" s="2" t="s">
        <v>1</v>
      </c>
      <c r="G15">
        <v>0</v>
      </c>
      <c r="H15">
        <v>1.5</v>
      </c>
      <c r="I15" s="2" t="s">
        <v>0</v>
      </c>
      <c r="J15">
        <v>1</v>
      </c>
      <c r="K15" s="2" t="s">
        <v>2</v>
      </c>
      <c r="L15">
        <v>0</v>
      </c>
      <c r="M15">
        <v>1.5</v>
      </c>
      <c r="N15" s="2" t="s">
        <v>1129</v>
      </c>
      <c r="O15" t="str">
        <f>D15&amp;"-"&amp;E15&amp;"-"&amp;F15&amp;"-"&amp;G15&amp;"-"&amp;H15</f>
        <v>A-2-f-0-1.5</v>
      </c>
      <c r="P15" t="str">
        <f>I15&amp;"-"&amp;J15&amp;"-"&amp;K15&amp;"-"&amp;L15&amp;"-"&amp;M15</f>
        <v>X-1-e-0-1.5</v>
      </c>
      <c r="Q15">
        <f>A15+R15</f>
        <v>13666.598329</v>
      </c>
      <c r="R15">
        <f>_xlfn.IFNA(VLOOKUP(P15,PGOPHER!A$2:G$181,7,FALSE),_xlfn.IFNA(VLOOKUP(P15,en!A$2:I$768,7,FALSE),-10000))</f>
        <v>7.3283290000000001</v>
      </c>
      <c r="S15">
        <f>IF(O15=O14,Q14+S14,Q15)</f>
        <v>27331.986986</v>
      </c>
      <c r="T15">
        <f>IF(O15=O14,T14+1,1)</f>
        <v>2</v>
      </c>
      <c r="U15">
        <f>IF(O15=O16,"",S15/T15)</f>
        <v>13665.993493</v>
      </c>
      <c r="V15" t="str">
        <f>IF(U15="","",IF(ABS(Q15-U15)&gt;V$1,"error",""))</f>
        <v>error</v>
      </c>
    </row>
    <row r="16" spans="1:22" x14ac:dyDescent="0.55000000000000004">
      <c r="A16">
        <v>13354.59</v>
      </c>
      <c r="B16" s="1">
        <v>1.3089999999999999E-2</v>
      </c>
      <c r="C16" s="1">
        <v>1.3089999999999999E-2</v>
      </c>
      <c r="D16" s="2" t="s">
        <v>1121</v>
      </c>
      <c r="E16">
        <v>1</v>
      </c>
      <c r="F16" s="2" t="s">
        <v>2</v>
      </c>
      <c r="G16">
        <v>0</v>
      </c>
      <c r="H16">
        <v>2.5</v>
      </c>
      <c r="I16" s="2" t="s">
        <v>0</v>
      </c>
      <c r="J16">
        <v>1</v>
      </c>
      <c r="K16" s="2" t="s">
        <v>2</v>
      </c>
      <c r="L16">
        <v>0</v>
      </c>
      <c r="M16">
        <v>3.5</v>
      </c>
      <c r="N16" s="2" t="s">
        <v>1143</v>
      </c>
      <c r="O16" t="str">
        <f>D16&amp;"-"&amp;E16&amp;"-"&amp;F16&amp;"-"&amp;G16&amp;"-"&amp;H16</f>
        <v>A-1-e-0-2.5</v>
      </c>
      <c r="P16" t="str">
        <f>I16&amp;"-"&amp;J16&amp;"-"&amp;K16&amp;"-"&amp;L16&amp;"-"&amp;M16</f>
        <v>X-1-e-0-3.5</v>
      </c>
      <c r="Q16">
        <f>A16+R16</f>
        <v>13398.357773</v>
      </c>
      <c r="R16">
        <f>_xlfn.IFNA(VLOOKUP(P16,PGOPHER!A$2:G$181,7,FALSE),_xlfn.IFNA(VLOOKUP(P16,en!A$2:I$768,7,FALSE),-10000))</f>
        <v>43.767772999999998</v>
      </c>
      <c r="S16">
        <f>IF(O16=O15,Q15+S15,Q16)</f>
        <v>13398.357773</v>
      </c>
      <c r="T16">
        <f>IF(O16=O15,T15+1,1)</f>
        <v>1</v>
      </c>
      <c r="U16" t="str">
        <f>IF(O16=O17,"",S16/T16)</f>
        <v/>
      </c>
      <c r="V16" t="str">
        <f>IF(U16="","",IF(ABS(Q16-U16)&gt;V$1,"error",""))</f>
        <v/>
      </c>
    </row>
    <row r="17" spans="1:22" x14ac:dyDescent="0.55000000000000004">
      <c r="A17">
        <v>13390.83</v>
      </c>
      <c r="B17" s="1">
        <v>0.20569999999999999</v>
      </c>
      <c r="C17" s="1">
        <v>0.20569999999999999</v>
      </c>
      <c r="D17" s="2" t="s">
        <v>1121</v>
      </c>
      <c r="E17">
        <v>1</v>
      </c>
      <c r="F17" s="2" t="s">
        <v>2</v>
      </c>
      <c r="G17">
        <v>0</v>
      </c>
      <c r="H17">
        <v>2.5</v>
      </c>
      <c r="I17" s="2" t="s">
        <v>0</v>
      </c>
      <c r="J17">
        <v>1</v>
      </c>
      <c r="K17" s="2" t="s">
        <v>2</v>
      </c>
      <c r="L17">
        <v>0</v>
      </c>
      <c r="M17">
        <v>1.5</v>
      </c>
      <c r="N17" s="2" t="s">
        <v>1147</v>
      </c>
      <c r="O17" t="str">
        <f>D17&amp;"-"&amp;E17&amp;"-"&amp;F17&amp;"-"&amp;G17&amp;"-"&amp;H17</f>
        <v>A-1-e-0-2.5</v>
      </c>
      <c r="P17" t="str">
        <f>I17&amp;"-"&amp;J17&amp;"-"&amp;K17&amp;"-"&amp;L17&amp;"-"&amp;M17</f>
        <v>X-1-e-0-1.5</v>
      </c>
      <c r="Q17">
        <f>A17+R17</f>
        <v>13398.158329</v>
      </c>
      <c r="R17">
        <f>_xlfn.IFNA(VLOOKUP(P17,PGOPHER!A$2:G$181,7,FALSE),_xlfn.IFNA(VLOOKUP(P17,en!A$2:I$768,7,FALSE),-10000))</f>
        <v>7.3283290000000001</v>
      </c>
      <c r="S17">
        <f>IF(O17=O16,Q16+S16,Q17)</f>
        <v>26796.715545999999</v>
      </c>
      <c r="T17">
        <f>IF(O17=O16,T16+1,1)</f>
        <v>2</v>
      </c>
      <c r="U17" t="str">
        <f>IF(O17=O18,"",S17/T17)</f>
        <v/>
      </c>
      <c r="V17" t="str">
        <f>IF(U17="","",IF(ABS(Q17-U17)&gt;V$1,"error",""))</f>
        <v/>
      </c>
    </row>
    <row r="18" spans="1:22" x14ac:dyDescent="0.55000000000000004">
      <c r="A18">
        <v>13355</v>
      </c>
      <c r="B18" s="1">
        <v>1.26E-2</v>
      </c>
      <c r="C18" s="1">
        <v>1.26E-2</v>
      </c>
      <c r="D18" s="2" t="s">
        <v>1121</v>
      </c>
      <c r="E18">
        <v>1</v>
      </c>
      <c r="F18" s="2" t="s">
        <v>2</v>
      </c>
      <c r="G18">
        <v>0</v>
      </c>
      <c r="H18">
        <v>2.5</v>
      </c>
      <c r="I18" s="2" t="s">
        <v>0</v>
      </c>
      <c r="J18">
        <v>2</v>
      </c>
      <c r="K18" s="2" t="s">
        <v>1</v>
      </c>
      <c r="L18">
        <v>0</v>
      </c>
      <c r="M18">
        <v>2.5</v>
      </c>
      <c r="N18" s="2" t="s">
        <v>1144</v>
      </c>
      <c r="O18" t="str">
        <f>D18&amp;"-"&amp;E18&amp;"-"&amp;F18&amp;"-"&amp;G18&amp;"-"&amp;H18</f>
        <v>A-1-e-0-2.5</v>
      </c>
      <c r="P18" t="str">
        <f>I18&amp;"-"&amp;J18&amp;"-"&amp;K18&amp;"-"&amp;L18&amp;"-"&amp;M18</f>
        <v>X-2-f-0-2.5</v>
      </c>
      <c r="Q18">
        <f>A18+R18</f>
        <v>13398.333493</v>
      </c>
      <c r="R18">
        <f>_xlfn.IFNA(VLOOKUP(P18,PGOPHER!A$2:G$181,7,FALSE),_xlfn.IFNA(VLOOKUP(P18,en!A$2:I$768,7,FALSE),-10000))</f>
        <v>43.333492999999997</v>
      </c>
      <c r="S18">
        <f>IF(O18=O17,Q17+S17,Q18)</f>
        <v>40194.873874999997</v>
      </c>
      <c r="T18">
        <f>IF(O18=O17,T17+1,1)</f>
        <v>3</v>
      </c>
      <c r="U18">
        <f>IF(O18=O19,"",S18/T18)</f>
        <v>13398.291291666666</v>
      </c>
      <c r="V18" t="str">
        <f>IF(U18="","",IF(ABS(Q18-U18)&gt;V$1,"error",""))</f>
        <v/>
      </c>
    </row>
    <row r="19" spans="1:22" x14ac:dyDescent="0.55000000000000004">
      <c r="A19">
        <v>13364.53</v>
      </c>
      <c r="B19" s="1">
        <v>0.01</v>
      </c>
      <c r="C19" s="1">
        <v>0.01</v>
      </c>
      <c r="D19" s="2" t="s">
        <v>1121</v>
      </c>
      <c r="E19">
        <v>1</v>
      </c>
      <c r="F19" s="2" t="s">
        <v>1</v>
      </c>
      <c r="G19">
        <v>0</v>
      </c>
      <c r="H19">
        <v>2.5</v>
      </c>
      <c r="I19" s="2" t="s">
        <v>0</v>
      </c>
      <c r="J19">
        <v>2</v>
      </c>
      <c r="K19" s="2" t="s">
        <v>1</v>
      </c>
      <c r="L19">
        <v>0</v>
      </c>
      <c r="M19">
        <v>1.5</v>
      </c>
      <c r="N19" s="2" t="s">
        <v>1146</v>
      </c>
      <c r="O19" t="str">
        <f>D19&amp;"-"&amp;E19&amp;"-"&amp;F19&amp;"-"&amp;G19&amp;"-"&amp;H19</f>
        <v>A-1-f-0-2.5</v>
      </c>
      <c r="P19" t="str">
        <f>I19&amp;"-"&amp;J19&amp;"-"&amp;K19&amp;"-"&amp;L19&amp;"-"&amp;M19</f>
        <v>X-2-f-0-1.5</v>
      </c>
      <c r="Q19">
        <f>A19+R19</f>
        <v>13386.139896000001</v>
      </c>
      <c r="R19">
        <f>_xlfn.IFNA(VLOOKUP(P19,PGOPHER!A$2:G$181,7,FALSE),_xlfn.IFNA(VLOOKUP(P19,en!A$2:I$768,7,FALSE),-10000))</f>
        <v>21.609895999999999</v>
      </c>
      <c r="S19">
        <f>IF(O19=O18,Q18+S18,Q19)</f>
        <v>13386.139896000001</v>
      </c>
      <c r="T19">
        <f>IF(O19=O18,T18+1,1)</f>
        <v>1</v>
      </c>
      <c r="U19" t="str">
        <f>IF(O19=O20,"",S19/T19)</f>
        <v/>
      </c>
      <c r="V19" t="str">
        <f>IF(U19="","",IF(ABS(Q19-U19)&gt;V$1,"error",""))</f>
        <v/>
      </c>
    </row>
    <row r="20" spans="1:22" x14ac:dyDescent="0.55000000000000004">
      <c r="A20">
        <v>13364.23</v>
      </c>
      <c r="B20" s="1">
        <v>0.01</v>
      </c>
      <c r="C20" s="1">
        <v>0.01</v>
      </c>
      <c r="D20" s="2" t="s">
        <v>1121</v>
      </c>
      <c r="E20">
        <v>1</v>
      </c>
      <c r="F20" s="2" t="s">
        <v>1</v>
      </c>
      <c r="G20">
        <v>0</v>
      </c>
      <c r="H20">
        <v>2.5</v>
      </c>
      <c r="I20" s="2" t="s">
        <v>0</v>
      </c>
      <c r="J20">
        <v>1</v>
      </c>
      <c r="K20" s="2" t="s">
        <v>2</v>
      </c>
      <c r="L20">
        <v>0</v>
      </c>
      <c r="M20">
        <v>2.5</v>
      </c>
      <c r="N20" s="2" t="s">
        <v>1145</v>
      </c>
      <c r="O20" t="str">
        <f>D20&amp;"-"&amp;E20&amp;"-"&amp;F20&amp;"-"&amp;G20&amp;"-"&amp;H20</f>
        <v>A-1-f-0-2.5</v>
      </c>
      <c r="P20" t="str">
        <f>I20&amp;"-"&amp;J20&amp;"-"&amp;K20&amp;"-"&amp;L20&amp;"-"&amp;M20</f>
        <v>X-1-e-0-2.5</v>
      </c>
      <c r="Q20">
        <f>A20+R20</f>
        <v>13386.1497</v>
      </c>
      <c r="R20">
        <f>_xlfn.IFNA(VLOOKUP(P20,PGOPHER!A$2:G$181,7,FALSE),_xlfn.IFNA(VLOOKUP(P20,en!A$2:I$768,7,FALSE),-10000))</f>
        <v>21.919699999999999</v>
      </c>
      <c r="S20">
        <f>IF(O20=O19,Q19+S19,Q20)</f>
        <v>26772.279792000001</v>
      </c>
      <c r="T20">
        <f>IF(O20=O19,T19+1,1)</f>
        <v>2</v>
      </c>
      <c r="U20" t="str">
        <f>IF(O20=O21,"",S20/T20)</f>
        <v/>
      </c>
      <c r="V20" t="str">
        <f>IF(U20="","",IF(ABS(Q20-U20)&gt;V$1,"error",""))</f>
        <v/>
      </c>
    </row>
    <row r="21" spans="1:22" x14ac:dyDescent="0.55000000000000004">
      <c r="A21">
        <v>13313.84</v>
      </c>
      <c r="B21" s="1">
        <v>0.01</v>
      </c>
      <c r="C21" s="1">
        <v>0.01</v>
      </c>
      <c r="D21" s="2" t="s">
        <v>1121</v>
      </c>
      <c r="E21">
        <v>1</v>
      </c>
      <c r="F21" s="2" t="s">
        <v>1</v>
      </c>
      <c r="G21">
        <v>0</v>
      </c>
      <c r="H21">
        <v>2.5</v>
      </c>
      <c r="I21" s="2" t="s">
        <v>0</v>
      </c>
      <c r="J21">
        <v>2</v>
      </c>
      <c r="K21" s="2" t="s">
        <v>1</v>
      </c>
      <c r="L21">
        <v>0</v>
      </c>
      <c r="M21">
        <v>3.5</v>
      </c>
      <c r="N21" s="2" t="s">
        <v>1142</v>
      </c>
      <c r="O21" t="str">
        <f>D21&amp;"-"&amp;E21&amp;"-"&amp;F21&amp;"-"&amp;G21&amp;"-"&amp;H21</f>
        <v>A-1-f-0-2.5</v>
      </c>
      <c r="P21" t="str">
        <f>I21&amp;"-"&amp;J21&amp;"-"&amp;K21&amp;"-"&amp;L21&amp;"-"&amp;M21</f>
        <v>X-2-f-0-3.5</v>
      </c>
      <c r="Q21">
        <f>A21+R21</f>
        <v>13386.144555999999</v>
      </c>
      <c r="R21">
        <f>_xlfn.IFNA(VLOOKUP(P21,PGOPHER!A$2:G$181,7,FALSE),_xlfn.IFNA(VLOOKUP(P21,en!A$2:I$768,7,FALSE),-10000))</f>
        <v>72.304556000000005</v>
      </c>
      <c r="S21">
        <f>IF(O21=O20,Q20+S20,Q21)</f>
        <v>40158.429492000003</v>
      </c>
      <c r="T21">
        <f>IF(O21=O20,T20+1,1)</f>
        <v>3</v>
      </c>
      <c r="U21">
        <f>IF(O21=O22,"",S21/T21)</f>
        <v>13386.143164000001</v>
      </c>
      <c r="V21" t="str">
        <f>IF(U21="","",IF(ABS(Q21-U21)&gt;V$1,"error",""))</f>
        <v/>
      </c>
    </row>
    <row r="22" spans="1:22" x14ac:dyDescent="0.55000000000000004">
      <c r="A22">
        <v>13641.04</v>
      </c>
      <c r="B22" s="1">
        <v>5.774E-2</v>
      </c>
      <c r="C22" s="1">
        <v>5.774E-2</v>
      </c>
      <c r="D22" s="2" t="s">
        <v>1121</v>
      </c>
      <c r="E22">
        <v>2</v>
      </c>
      <c r="F22" s="2" t="s">
        <v>2</v>
      </c>
      <c r="G22">
        <v>0</v>
      </c>
      <c r="H22">
        <v>2.5</v>
      </c>
      <c r="I22" s="2" t="s">
        <v>0</v>
      </c>
      <c r="J22">
        <v>1</v>
      </c>
      <c r="K22" s="2" t="s">
        <v>2</v>
      </c>
      <c r="L22">
        <v>0</v>
      </c>
      <c r="M22">
        <v>3.5</v>
      </c>
      <c r="N22" s="2" t="s">
        <v>1137</v>
      </c>
      <c r="O22" t="str">
        <f>D22&amp;"-"&amp;E22&amp;"-"&amp;F22&amp;"-"&amp;G22&amp;"-"&amp;H22</f>
        <v>A-2-e-0-2.5</v>
      </c>
      <c r="P22" t="str">
        <f>I22&amp;"-"&amp;J22&amp;"-"&amp;K22&amp;"-"&amp;L22&amp;"-"&amp;M22</f>
        <v>X-1-e-0-3.5</v>
      </c>
      <c r="Q22">
        <f>A22+R22</f>
        <v>13684.807773</v>
      </c>
      <c r="R22">
        <f>_xlfn.IFNA(VLOOKUP(P22,PGOPHER!A$2:G$181,7,FALSE),_xlfn.IFNA(VLOOKUP(P22,en!A$2:I$768,7,FALSE),-10000))</f>
        <v>43.767772999999998</v>
      </c>
      <c r="S22">
        <f>IF(O22=O21,Q21+S21,Q22)</f>
        <v>13684.807773</v>
      </c>
      <c r="T22">
        <f>IF(O22=O21,T21+1,1)</f>
        <v>1</v>
      </c>
      <c r="U22" t="str">
        <f>IF(O22=O23,"",S22/T22)</f>
        <v/>
      </c>
      <c r="V22" t="str">
        <f>IF(U22="","",IF(ABS(Q22-U22)&gt;V$1,"error",""))</f>
        <v/>
      </c>
    </row>
    <row r="23" spans="1:22" x14ac:dyDescent="0.55000000000000004">
      <c r="A23">
        <v>13677.59</v>
      </c>
      <c r="B23" s="1">
        <v>7.1099999999999997E-2</v>
      </c>
      <c r="C23" s="1">
        <v>7.1099999999999997E-2</v>
      </c>
      <c r="D23" s="2" t="s">
        <v>1121</v>
      </c>
      <c r="E23">
        <v>2</v>
      </c>
      <c r="F23" s="2" t="s">
        <v>2</v>
      </c>
      <c r="G23">
        <v>0</v>
      </c>
      <c r="H23">
        <v>2.5</v>
      </c>
      <c r="I23" s="2" t="s">
        <v>0</v>
      </c>
      <c r="J23">
        <v>1</v>
      </c>
      <c r="K23" s="2" t="s">
        <v>2</v>
      </c>
      <c r="L23">
        <v>0</v>
      </c>
      <c r="M23">
        <v>1.5</v>
      </c>
      <c r="N23" s="2" t="s">
        <v>1141</v>
      </c>
      <c r="O23" t="str">
        <f>D23&amp;"-"&amp;E23&amp;"-"&amp;F23&amp;"-"&amp;G23&amp;"-"&amp;H23</f>
        <v>A-2-e-0-2.5</v>
      </c>
      <c r="P23" t="str">
        <f>I23&amp;"-"&amp;J23&amp;"-"&amp;K23&amp;"-"&amp;L23&amp;"-"&amp;M23</f>
        <v>X-1-e-0-1.5</v>
      </c>
      <c r="Q23">
        <f>A23+R23</f>
        <v>13684.918329</v>
      </c>
      <c r="R23">
        <f>_xlfn.IFNA(VLOOKUP(P23,PGOPHER!A$2:G$181,7,FALSE),_xlfn.IFNA(VLOOKUP(P23,en!A$2:I$768,7,FALSE),-10000))</f>
        <v>7.3283290000000001</v>
      </c>
      <c r="S23">
        <f>IF(O23=O22,Q22+S22,Q23)</f>
        <v>27369.615546000001</v>
      </c>
      <c r="T23">
        <f>IF(O23=O22,T22+1,1)</f>
        <v>2</v>
      </c>
      <c r="U23" t="str">
        <f>IF(O23=O24,"",S23/T23)</f>
        <v/>
      </c>
      <c r="V23" t="str">
        <f>IF(U23="","",IF(ABS(Q23-U23)&gt;V$1,"error",""))</f>
        <v/>
      </c>
    </row>
    <row r="24" spans="1:22" x14ac:dyDescent="0.55000000000000004">
      <c r="A24">
        <v>13641.52</v>
      </c>
      <c r="B24" s="1">
        <v>0.01</v>
      </c>
      <c r="C24" s="1">
        <v>0.01</v>
      </c>
      <c r="D24" s="2" t="s">
        <v>1121</v>
      </c>
      <c r="E24">
        <v>2</v>
      </c>
      <c r="F24" s="2" t="s">
        <v>2</v>
      </c>
      <c r="G24">
        <v>0</v>
      </c>
      <c r="H24">
        <v>2.5</v>
      </c>
      <c r="I24" s="2" t="s">
        <v>0</v>
      </c>
      <c r="J24">
        <v>2</v>
      </c>
      <c r="K24" s="2" t="s">
        <v>1</v>
      </c>
      <c r="L24">
        <v>0</v>
      </c>
      <c r="M24">
        <v>2.5</v>
      </c>
      <c r="N24" s="2" t="s">
        <v>1138</v>
      </c>
      <c r="O24" t="str">
        <f>D24&amp;"-"&amp;E24&amp;"-"&amp;F24&amp;"-"&amp;G24&amp;"-"&amp;H24</f>
        <v>A-2-e-0-2.5</v>
      </c>
      <c r="P24" t="str">
        <f>I24&amp;"-"&amp;J24&amp;"-"&amp;K24&amp;"-"&amp;L24&amp;"-"&amp;M24</f>
        <v>X-2-f-0-2.5</v>
      </c>
      <c r="Q24">
        <f>A24+R24</f>
        <v>13684.853493000001</v>
      </c>
      <c r="R24">
        <f>_xlfn.IFNA(VLOOKUP(P24,PGOPHER!A$2:G$181,7,FALSE),_xlfn.IFNA(VLOOKUP(P24,en!A$2:I$768,7,FALSE),-10000))</f>
        <v>43.333492999999997</v>
      </c>
      <c r="S24">
        <f>IF(O24=O23,Q23+S23,Q24)</f>
        <v>41054.533875000001</v>
      </c>
      <c r="T24">
        <f>IF(O24=O23,T23+1,1)</f>
        <v>3</v>
      </c>
      <c r="U24">
        <f>IF(O24=O25,"",S24/T24)</f>
        <v>13684.844625</v>
      </c>
      <c r="V24" t="str">
        <f>IF(U24="","",IF(ABS(Q24-U24)&gt;V$1,"error",""))</f>
        <v/>
      </c>
    </row>
    <row r="25" spans="1:22" x14ac:dyDescent="0.55000000000000004">
      <c r="A25">
        <v>13663.12</v>
      </c>
      <c r="B25" s="1">
        <v>0.01</v>
      </c>
      <c r="C25" s="1">
        <v>0.01</v>
      </c>
      <c r="D25" s="2" t="s">
        <v>1121</v>
      </c>
      <c r="E25">
        <v>2</v>
      </c>
      <c r="F25" s="2" t="s">
        <v>1</v>
      </c>
      <c r="G25">
        <v>0</v>
      </c>
      <c r="H25">
        <v>2.5</v>
      </c>
      <c r="I25" s="2" t="s">
        <v>0</v>
      </c>
      <c r="J25">
        <v>2</v>
      </c>
      <c r="K25" s="2" t="s">
        <v>1</v>
      </c>
      <c r="L25">
        <v>0</v>
      </c>
      <c r="M25">
        <v>1.5</v>
      </c>
      <c r="N25" s="2" t="s">
        <v>1140</v>
      </c>
      <c r="O25" t="str">
        <f>D25&amp;"-"&amp;E25&amp;"-"&amp;F25&amp;"-"&amp;G25&amp;"-"&amp;H25</f>
        <v>A-2-f-0-2.5</v>
      </c>
      <c r="P25" t="str">
        <f>I25&amp;"-"&amp;J25&amp;"-"&amp;K25&amp;"-"&amp;L25&amp;"-"&amp;M25</f>
        <v>X-2-f-0-1.5</v>
      </c>
      <c r="Q25">
        <f>A25+R25</f>
        <v>13684.729896000001</v>
      </c>
      <c r="R25">
        <f>_xlfn.IFNA(VLOOKUP(P25,PGOPHER!A$2:G$181,7,FALSE),_xlfn.IFNA(VLOOKUP(P25,en!A$2:I$768,7,FALSE),-10000))</f>
        <v>21.609895999999999</v>
      </c>
      <c r="S25">
        <f>IF(O25=O24,Q24+S24,Q25)</f>
        <v>13684.729896000001</v>
      </c>
      <c r="T25">
        <f>IF(O25=O24,T24+1,1)</f>
        <v>1</v>
      </c>
      <c r="U25" t="str">
        <f>IF(O25=O26,"",S25/T25)</f>
        <v/>
      </c>
      <c r="V25" t="str">
        <f>IF(U25="","",IF(ABS(Q25-U25)&gt;V$1,"error",""))</f>
        <v/>
      </c>
    </row>
    <row r="26" spans="1:22" x14ac:dyDescent="0.55000000000000004">
      <c r="A26">
        <v>13662.9</v>
      </c>
      <c r="B26" s="1">
        <v>0.1091</v>
      </c>
      <c r="C26" s="1">
        <v>0.1091</v>
      </c>
      <c r="D26" s="2" t="s">
        <v>1121</v>
      </c>
      <c r="E26">
        <v>2</v>
      </c>
      <c r="F26" s="2" t="s">
        <v>1</v>
      </c>
      <c r="G26">
        <v>0</v>
      </c>
      <c r="H26">
        <v>2.5</v>
      </c>
      <c r="I26" s="2" t="s">
        <v>0</v>
      </c>
      <c r="J26">
        <v>1</v>
      </c>
      <c r="K26" s="2" t="s">
        <v>2</v>
      </c>
      <c r="L26">
        <v>0</v>
      </c>
      <c r="M26">
        <v>2.5</v>
      </c>
      <c r="N26" s="2" t="s">
        <v>1139</v>
      </c>
      <c r="O26" t="str">
        <f>D26&amp;"-"&amp;E26&amp;"-"&amp;F26&amp;"-"&amp;G26&amp;"-"&amp;H26</f>
        <v>A-2-f-0-2.5</v>
      </c>
      <c r="P26" t="str">
        <f>I26&amp;"-"&amp;J26&amp;"-"&amp;K26&amp;"-"&amp;L26&amp;"-"&amp;M26</f>
        <v>X-1-e-0-2.5</v>
      </c>
      <c r="Q26">
        <f>A26+R26</f>
        <v>13684.8197</v>
      </c>
      <c r="R26">
        <f>_xlfn.IFNA(VLOOKUP(P26,PGOPHER!A$2:G$181,7,FALSE),_xlfn.IFNA(VLOOKUP(P26,en!A$2:I$768,7,FALSE),-10000))</f>
        <v>21.919699999999999</v>
      </c>
      <c r="S26">
        <f>IF(O26=O25,Q25+S25,Q26)</f>
        <v>27369.459792000001</v>
      </c>
      <c r="T26">
        <f>IF(O26=O25,T25+1,1)</f>
        <v>2</v>
      </c>
      <c r="U26" t="str">
        <f>IF(O26=O27,"",S26/T26)</f>
        <v/>
      </c>
      <c r="V26" t="str">
        <f>IF(U26="","",IF(ABS(Q26-U26)&gt;V$1,"error",""))</f>
        <v/>
      </c>
    </row>
    <row r="27" spans="1:22" x14ac:dyDescent="0.55000000000000004">
      <c r="A27">
        <v>13612.31</v>
      </c>
      <c r="B27" s="1">
        <v>0.1193</v>
      </c>
      <c r="C27" s="1">
        <v>0.1193</v>
      </c>
      <c r="D27" s="2" t="s">
        <v>1121</v>
      </c>
      <c r="E27">
        <v>2</v>
      </c>
      <c r="F27" s="2" t="s">
        <v>1</v>
      </c>
      <c r="G27">
        <v>0</v>
      </c>
      <c r="H27">
        <v>2.5</v>
      </c>
      <c r="I27" s="2" t="s">
        <v>0</v>
      </c>
      <c r="J27">
        <v>2</v>
      </c>
      <c r="K27" s="2" t="s">
        <v>1</v>
      </c>
      <c r="L27">
        <v>0</v>
      </c>
      <c r="M27">
        <v>3.5</v>
      </c>
      <c r="N27" s="2" t="s">
        <v>1136</v>
      </c>
      <c r="O27" t="str">
        <f>D27&amp;"-"&amp;E27&amp;"-"&amp;F27&amp;"-"&amp;G27&amp;"-"&amp;H27</f>
        <v>A-2-f-0-2.5</v>
      </c>
      <c r="P27" t="str">
        <f>I27&amp;"-"&amp;J27&amp;"-"&amp;K27&amp;"-"&amp;L27&amp;"-"&amp;M27</f>
        <v>X-2-f-0-3.5</v>
      </c>
      <c r="Q27">
        <f>A27+R27</f>
        <v>13684.614555999999</v>
      </c>
      <c r="R27">
        <f>_xlfn.IFNA(VLOOKUP(P27,PGOPHER!A$2:G$181,7,FALSE),_xlfn.IFNA(VLOOKUP(P27,en!A$2:I$768,7,FALSE),-10000))</f>
        <v>72.304556000000005</v>
      </c>
      <c r="S27">
        <f>IF(O27=O26,Q26+S26,Q27)</f>
        <v>41054.279492000001</v>
      </c>
      <c r="T27">
        <f>IF(O27=O26,T26+1,1)</f>
        <v>3</v>
      </c>
      <c r="U27">
        <f>IF(O27=O28,"",S27/T27)</f>
        <v>13684.759830666668</v>
      </c>
      <c r="V27" t="str">
        <f>IF(U27="","",IF(ABS(Q27-U27)&gt;V$1,"error",""))</f>
        <v/>
      </c>
    </row>
    <row r="28" spans="1:22" x14ac:dyDescent="0.55000000000000004">
      <c r="A28">
        <v>13353.13</v>
      </c>
      <c r="B28" s="1">
        <v>0.01</v>
      </c>
      <c r="C28" s="1">
        <v>0.01</v>
      </c>
      <c r="D28" s="2" t="s">
        <v>1121</v>
      </c>
      <c r="E28">
        <v>1</v>
      </c>
      <c r="F28" s="2" t="s">
        <v>2</v>
      </c>
      <c r="G28">
        <v>0</v>
      </c>
      <c r="H28">
        <v>3.5</v>
      </c>
      <c r="I28" s="2" t="s">
        <v>0</v>
      </c>
      <c r="J28">
        <v>1</v>
      </c>
      <c r="K28" s="2" t="s">
        <v>2</v>
      </c>
      <c r="L28">
        <v>0</v>
      </c>
      <c r="M28">
        <v>4.5</v>
      </c>
      <c r="N28" s="2" t="s">
        <v>1155</v>
      </c>
      <c r="O28" t="str">
        <f>D28&amp;"-"&amp;E28&amp;"-"&amp;F28&amp;"-"&amp;G28&amp;"-"&amp;H28</f>
        <v>A-1-e-0-3.5</v>
      </c>
      <c r="P28" t="str">
        <f>I28&amp;"-"&amp;J28&amp;"-"&amp;K28&amp;"-"&amp;L28&amp;"-"&amp;M28</f>
        <v>X-1-e-0-4.5</v>
      </c>
      <c r="Q28">
        <f>A28+R28</f>
        <v>13425.991504</v>
      </c>
      <c r="R28">
        <f>_xlfn.IFNA(VLOOKUP(P28,PGOPHER!A$2:G$181,7,FALSE),_xlfn.IFNA(VLOOKUP(P28,en!A$2:I$768,7,FALSE),-10000))</f>
        <v>72.861503999999996</v>
      </c>
      <c r="S28">
        <f>IF(O28=O27,Q27+S27,Q28)</f>
        <v>13425.991504</v>
      </c>
      <c r="T28">
        <f>IF(O28=O27,T27+1,1)</f>
        <v>1</v>
      </c>
      <c r="U28" t="str">
        <f>IF(O28=O29,"",S28/T28)</f>
        <v/>
      </c>
      <c r="V28" t="str">
        <f>IF(U28="","",IF(ABS(Q28-U28)&gt;V$1,"error",""))</f>
        <v/>
      </c>
    </row>
    <row r="29" spans="1:22" x14ac:dyDescent="0.55000000000000004">
      <c r="A29">
        <v>13404.07</v>
      </c>
      <c r="B29" s="1">
        <v>0.01</v>
      </c>
      <c r="C29" s="1">
        <v>0.01</v>
      </c>
      <c r="D29" s="2" t="s">
        <v>1121</v>
      </c>
      <c r="E29">
        <v>1</v>
      </c>
      <c r="F29" s="2" t="s">
        <v>2</v>
      </c>
      <c r="G29">
        <v>0</v>
      </c>
      <c r="H29">
        <v>3.5</v>
      </c>
      <c r="I29" s="2" t="s">
        <v>0</v>
      </c>
      <c r="J29">
        <v>1</v>
      </c>
      <c r="K29" s="2" t="s">
        <v>2</v>
      </c>
      <c r="L29">
        <v>0</v>
      </c>
      <c r="M29">
        <v>2.5</v>
      </c>
      <c r="N29" s="2" t="s">
        <v>1159</v>
      </c>
      <c r="O29" t="str">
        <f>D29&amp;"-"&amp;E29&amp;"-"&amp;F29&amp;"-"&amp;G29&amp;"-"&amp;H29</f>
        <v>A-1-e-0-3.5</v>
      </c>
      <c r="P29" t="str">
        <f>I29&amp;"-"&amp;J29&amp;"-"&amp;K29&amp;"-"&amp;L29&amp;"-"&amp;M29</f>
        <v>X-1-e-0-2.5</v>
      </c>
      <c r="Q29">
        <f>A29+R29</f>
        <v>13425.9897</v>
      </c>
      <c r="R29">
        <f>_xlfn.IFNA(VLOOKUP(P29,PGOPHER!A$2:G$181,7,FALSE),_xlfn.IFNA(VLOOKUP(P29,en!A$2:I$768,7,FALSE),-10000))</f>
        <v>21.919699999999999</v>
      </c>
      <c r="S29">
        <f>IF(O29=O28,Q28+S28,Q29)</f>
        <v>26851.983007999999</v>
      </c>
      <c r="T29">
        <f>IF(O29=O28,T28+1,1)</f>
        <v>2</v>
      </c>
      <c r="U29" t="str">
        <f>IF(O29=O30,"",S29/T29)</f>
        <v/>
      </c>
      <c r="V29" t="str">
        <f>IF(U29="","",IF(ABS(Q29-U29)&gt;V$1,"error",""))</f>
        <v/>
      </c>
    </row>
    <row r="30" spans="1:22" x14ac:dyDescent="0.55000000000000004">
      <c r="A30">
        <v>13353.7</v>
      </c>
      <c r="B30" s="1">
        <v>0.01</v>
      </c>
      <c r="C30" s="1">
        <v>0.01</v>
      </c>
      <c r="D30" s="2" t="s">
        <v>1121</v>
      </c>
      <c r="E30">
        <v>1</v>
      </c>
      <c r="F30" s="2" t="s">
        <v>2</v>
      </c>
      <c r="G30">
        <v>0</v>
      </c>
      <c r="H30">
        <v>3.5</v>
      </c>
      <c r="I30" s="2" t="s">
        <v>0</v>
      </c>
      <c r="J30">
        <v>2</v>
      </c>
      <c r="K30" s="2" t="s">
        <v>1</v>
      </c>
      <c r="L30">
        <v>0</v>
      </c>
      <c r="M30">
        <v>3.5</v>
      </c>
      <c r="N30" s="2" t="s">
        <v>1156</v>
      </c>
      <c r="O30" t="str">
        <f>D30&amp;"-"&amp;E30&amp;"-"&amp;F30&amp;"-"&amp;G30&amp;"-"&amp;H30</f>
        <v>A-1-e-0-3.5</v>
      </c>
      <c r="P30" t="str">
        <f>I30&amp;"-"&amp;J30&amp;"-"&amp;K30&amp;"-"&amp;L30&amp;"-"&amp;M30</f>
        <v>X-2-f-0-3.5</v>
      </c>
      <c r="Q30">
        <f>A30+R30</f>
        <v>13426.004556</v>
      </c>
      <c r="R30">
        <f>_xlfn.IFNA(VLOOKUP(P30,PGOPHER!A$2:G$181,7,FALSE),_xlfn.IFNA(VLOOKUP(P30,en!A$2:I$768,7,FALSE),-10000))</f>
        <v>72.304556000000005</v>
      </c>
      <c r="S30">
        <f>IF(O30=O29,Q29+S29,Q30)</f>
        <v>40277.972708000001</v>
      </c>
      <c r="T30">
        <f>IF(O30=O29,T29+1,1)</f>
        <v>3</v>
      </c>
      <c r="U30">
        <f>IF(O30=O31,"",S30/T30)</f>
        <v>13425.990902666666</v>
      </c>
      <c r="V30" t="str">
        <f>IF(U30="","",IF(ABS(Q30-U30)&gt;V$1,"error",""))</f>
        <v/>
      </c>
    </row>
    <row r="31" spans="1:22" x14ac:dyDescent="0.55000000000000004">
      <c r="A31">
        <v>13366.5</v>
      </c>
      <c r="B31" s="1">
        <v>0.01</v>
      </c>
      <c r="C31" s="1">
        <v>0.01</v>
      </c>
      <c r="D31" s="2" t="s">
        <v>1121</v>
      </c>
      <c r="E31">
        <v>1</v>
      </c>
      <c r="F31" s="2" t="s">
        <v>1</v>
      </c>
      <c r="G31">
        <v>0</v>
      </c>
      <c r="H31">
        <v>3.5</v>
      </c>
      <c r="I31" s="2" t="s">
        <v>0</v>
      </c>
      <c r="J31">
        <v>2</v>
      </c>
      <c r="K31" s="2" t="s">
        <v>1</v>
      </c>
      <c r="L31">
        <v>0</v>
      </c>
      <c r="M31">
        <v>2.5</v>
      </c>
      <c r="N31" s="2" t="s">
        <v>1158</v>
      </c>
      <c r="O31" t="str">
        <f>D31&amp;"-"&amp;E31&amp;"-"&amp;F31&amp;"-"&amp;G31&amp;"-"&amp;H31</f>
        <v>A-1-f-0-3.5</v>
      </c>
      <c r="P31" t="str">
        <f>I31&amp;"-"&amp;J31&amp;"-"&amp;K31&amp;"-"&amp;L31&amp;"-"&amp;M31</f>
        <v>X-2-f-0-2.5</v>
      </c>
      <c r="Q31">
        <f>A31+R31</f>
        <v>13409.833493</v>
      </c>
      <c r="R31">
        <f>_xlfn.IFNA(VLOOKUP(P31,PGOPHER!A$2:G$181,7,FALSE),_xlfn.IFNA(VLOOKUP(P31,en!A$2:I$768,7,FALSE),-10000))</f>
        <v>43.333492999999997</v>
      </c>
      <c r="S31">
        <f>IF(O31=O30,Q30+S30,Q31)</f>
        <v>13409.833493</v>
      </c>
      <c r="T31">
        <f>IF(O31=O30,T30+1,1)</f>
        <v>1</v>
      </c>
      <c r="U31" t="str">
        <f>IF(O31=O32,"",S31/T31)</f>
        <v/>
      </c>
      <c r="V31" t="str">
        <f>IF(U31="","",IF(ABS(Q31-U31)&gt;V$1,"error",""))</f>
        <v/>
      </c>
    </row>
    <row r="32" spans="1:22" x14ac:dyDescent="0.55000000000000004">
      <c r="A32">
        <v>13366.07</v>
      </c>
      <c r="B32" s="1">
        <v>0.01</v>
      </c>
      <c r="C32" s="1">
        <v>0.01</v>
      </c>
      <c r="D32" s="2" t="s">
        <v>1121</v>
      </c>
      <c r="E32">
        <v>1</v>
      </c>
      <c r="F32" s="2" t="s">
        <v>1</v>
      </c>
      <c r="G32">
        <v>0</v>
      </c>
      <c r="H32">
        <v>3.5</v>
      </c>
      <c r="I32" s="2" t="s">
        <v>0</v>
      </c>
      <c r="J32">
        <v>1</v>
      </c>
      <c r="K32" s="2" t="s">
        <v>2</v>
      </c>
      <c r="L32">
        <v>0</v>
      </c>
      <c r="M32">
        <v>3.5</v>
      </c>
      <c r="N32" s="2" t="s">
        <v>1157</v>
      </c>
      <c r="O32" t="str">
        <f>D32&amp;"-"&amp;E32&amp;"-"&amp;F32&amp;"-"&amp;G32&amp;"-"&amp;H32</f>
        <v>A-1-f-0-3.5</v>
      </c>
      <c r="P32" t="str">
        <f>I32&amp;"-"&amp;J32&amp;"-"&amp;K32&amp;"-"&amp;L32&amp;"-"&amp;M32</f>
        <v>X-1-e-0-3.5</v>
      </c>
      <c r="Q32">
        <f>A32+R32</f>
        <v>13409.837772999999</v>
      </c>
      <c r="R32">
        <f>_xlfn.IFNA(VLOOKUP(P32,PGOPHER!A$2:G$181,7,FALSE),_xlfn.IFNA(VLOOKUP(P32,en!A$2:I$768,7,FALSE),-10000))</f>
        <v>43.767772999999998</v>
      </c>
      <c r="S32">
        <f>IF(O32=O31,Q31+S31,Q32)</f>
        <v>26819.666986</v>
      </c>
      <c r="T32">
        <f>IF(O32=O31,T31+1,1)</f>
        <v>2</v>
      </c>
      <c r="U32" t="str">
        <f>IF(O32=O33,"",S32/T32)</f>
        <v/>
      </c>
      <c r="V32" t="str">
        <f>IF(U32="","",IF(ABS(Q32-U32)&gt;V$1,"error",""))</f>
        <v/>
      </c>
    </row>
    <row r="33" spans="1:22" x14ac:dyDescent="0.55000000000000004">
      <c r="A33">
        <v>13301.31</v>
      </c>
      <c r="B33" s="1">
        <v>0.01</v>
      </c>
      <c r="C33" s="1">
        <v>0.01</v>
      </c>
      <c r="D33" s="2" t="s">
        <v>1121</v>
      </c>
      <c r="E33">
        <v>1</v>
      </c>
      <c r="F33" s="2" t="s">
        <v>1</v>
      </c>
      <c r="G33">
        <v>0</v>
      </c>
      <c r="H33">
        <v>3.5</v>
      </c>
      <c r="I33" s="2" t="s">
        <v>0</v>
      </c>
      <c r="J33">
        <v>2</v>
      </c>
      <c r="K33" s="2" t="s">
        <v>1</v>
      </c>
      <c r="L33">
        <v>0</v>
      </c>
      <c r="M33">
        <v>4.5</v>
      </c>
      <c r="N33" s="2" t="s">
        <v>1154</v>
      </c>
      <c r="O33" t="str">
        <f>D33&amp;"-"&amp;E33&amp;"-"&amp;F33&amp;"-"&amp;G33&amp;"-"&amp;H33</f>
        <v>A-1-f-0-3.5</v>
      </c>
      <c r="P33" t="str">
        <f>I33&amp;"-"&amp;J33&amp;"-"&amp;K33&amp;"-"&amp;L33&amp;"-"&amp;M33</f>
        <v>X-2-f-0-4.5</v>
      </c>
      <c r="Q33">
        <f>A33+R33</f>
        <v>13409.821082</v>
      </c>
      <c r="R33">
        <f>_xlfn.IFNA(VLOOKUP(P33,PGOPHER!A$2:G$181,7,FALSE),_xlfn.IFNA(VLOOKUP(P33,en!A$2:I$768,7,FALSE),-10000))</f>
        <v>108.511082</v>
      </c>
      <c r="S33">
        <f>IF(O33=O32,Q32+S32,Q33)</f>
        <v>40229.504759000003</v>
      </c>
      <c r="T33">
        <f>IF(O33=O32,T32+1,1)</f>
        <v>3</v>
      </c>
      <c r="U33">
        <f>IF(O33=O34,"",S33/T33)</f>
        <v>13409.834919666668</v>
      </c>
      <c r="V33" t="str">
        <f>IF(U33="","",IF(ABS(Q33-U33)&gt;V$1,"error",""))</f>
        <v/>
      </c>
    </row>
    <row r="34" spans="1:22" x14ac:dyDescent="0.55000000000000004">
      <c r="A34">
        <v>13637.64</v>
      </c>
      <c r="B34" s="1">
        <v>5.8130000000000001E-2</v>
      </c>
      <c r="C34" s="1">
        <v>5.8130000000000001E-2</v>
      </c>
      <c r="D34" s="2" t="s">
        <v>1121</v>
      </c>
      <c r="E34">
        <v>2</v>
      </c>
      <c r="F34" s="2" t="s">
        <v>2</v>
      </c>
      <c r="G34">
        <v>0</v>
      </c>
      <c r="H34">
        <v>3.5</v>
      </c>
      <c r="I34" s="2" t="s">
        <v>0</v>
      </c>
      <c r="J34">
        <v>1</v>
      </c>
      <c r="K34" s="2" t="s">
        <v>2</v>
      </c>
      <c r="L34">
        <v>0</v>
      </c>
      <c r="M34">
        <v>4.5</v>
      </c>
      <c r="N34" s="2" t="s">
        <v>1149</v>
      </c>
      <c r="O34" t="str">
        <f>D34&amp;"-"&amp;E34&amp;"-"&amp;F34&amp;"-"&amp;G34&amp;"-"&amp;H34</f>
        <v>A-2-e-0-3.5</v>
      </c>
      <c r="P34" t="str">
        <f>I34&amp;"-"&amp;J34&amp;"-"&amp;K34&amp;"-"&amp;L34&amp;"-"&amp;M34</f>
        <v>X-1-e-0-4.5</v>
      </c>
      <c r="Q34">
        <f>A34+R34</f>
        <v>13710.501504</v>
      </c>
      <c r="R34">
        <f>_xlfn.IFNA(VLOOKUP(P34,PGOPHER!A$2:G$181,7,FALSE),_xlfn.IFNA(VLOOKUP(P34,en!A$2:I$768,7,FALSE),-10000))</f>
        <v>72.861503999999996</v>
      </c>
      <c r="S34">
        <f>IF(O34=O33,Q33+S33,Q34)</f>
        <v>13710.501504</v>
      </c>
      <c r="T34">
        <f>IF(O34=O33,T33+1,1)</f>
        <v>1</v>
      </c>
      <c r="U34" t="str">
        <f>IF(O34=O35,"",S34/T34)</f>
        <v/>
      </c>
      <c r="V34" t="str">
        <f>IF(U34="","",IF(ABS(Q34-U34)&gt;V$1,"error",""))</f>
        <v/>
      </c>
    </row>
    <row r="35" spans="1:22" x14ac:dyDescent="0.55000000000000004">
      <c r="A35">
        <v>13688.67</v>
      </c>
      <c r="B35" s="1">
        <v>4.5229999999999999E-2</v>
      </c>
      <c r="C35" s="1">
        <v>4.5229999999999999E-2</v>
      </c>
      <c r="D35" s="2" t="s">
        <v>1121</v>
      </c>
      <c r="E35">
        <v>2</v>
      </c>
      <c r="F35" s="2" t="s">
        <v>2</v>
      </c>
      <c r="G35">
        <v>0</v>
      </c>
      <c r="H35">
        <v>3.5</v>
      </c>
      <c r="I35" s="2" t="s">
        <v>0</v>
      </c>
      <c r="J35">
        <v>1</v>
      </c>
      <c r="K35" s="2" t="s">
        <v>2</v>
      </c>
      <c r="L35">
        <v>0</v>
      </c>
      <c r="M35">
        <v>2.5</v>
      </c>
      <c r="N35" s="2" t="s">
        <v>1153</v>
      </c>
      <c r="O35" t="str">
        <f>D35&amp;"-"&amp;E35&amp;"-"&amp;F35&amp;"-"&amp;G35&amp;"-"&amp;H35</f>
        <v>A-2-e-0-3.5</v>
      </c>
      <c r="P35" t="str">
        <f>I35&amp;"-"&amp;J35&amp;"-"&amp;K35&amp;"-"&amp;L35&amp;"-"&amp;M35</f>
        <v>X-1-e-0-2.5</v>
      </c>
      <c r="Q35">
        <f>A35+R35</f>
        <v>13710.5897</v>
      </c>
      <c r="R35">
        <f>_xlfn.IFNA(VLOOKUP(P35,PGOPHER!A$2:G$181,7,FALSE),_xlfn.IFNA(VLOOKUP(P35,en!A$2:I$768,7,FALSE),-10000))</f>
        <v>21.919699999999999</v>
      </c>
      <c r="S35">
        <f>IF(O35=O34,Q34+S34,Q35)</f>
        <v>27421.003008</v>
      </c>
      <c r="T35">
        <f>IF(O35=O34,T34+1,1)</f>
        <v>2</v>
      </c>
      <c r="U35" t="str">
        <f>IF(O35=O36,"",S35/T35)</f>
        <v/>
      </c>
      <c r="V35" t="str">
        <f>IF(U35="","",IF(ABS(Q35-U35)&gt;V$1,"error",""))</f>
        <v/>
      </c>
    </row>
    <row r="36" spans="1:22" x14ac:dyDescent="0.55000000000000004">
      <c r="A36">
        <v>13638.25</v>
      </c>
      <c r="B36" s="1">
        <v>0.01</v>
      </c>
      <c r="C36" s="1">
        <v>0.01</v>
      </c>
      <c r="D36" s="2" t="s">
        <v>1121</v>
      </c>
      <c r="E36">
        <v>2</v>
      </c>
      <c r="F36" s="2" t="s">
        <v>2</v>
      </c>
      <c r="G36">
        <v>0</v>
      </c>
      <c r="H36">
        <v>3.5</v>
      </c>
      <c r="I36" s="2" t="s">
        <v>0</v>
      </c>
      <c r="J36">
        <v>2</v>
      </c>
      <c r="K36" s="2" t="s">
        <v>1</v>
      </c>
      <c r="L36">
        <v>0</v>
      </c>
      <c r="M36">
        <v>3.5</v>
      </c>
      <c r="N36" s="2" t="s">
        <v>1150</v>
      </c>
      <c r="O36" t="str">
        <f>D36&amp;"-"&amp;E36&amp;"-"&amp;F36&amp;"-"&amp;G36&amp;"-"&amp;H36</f>
        <v>A-2-e-0-3.5</v>
      </c>
      <c r="P36" t="str">
        <f>I36&amp;"-"&amp;J36&amp;"-"&amp;K36&amp;"-"&amp;L36&amp;"-"&amp;M36</f>
        <v>X-2-f-0-3.5</v>
      </c>
      <c r="Q36">
        <f>A36+R36</f>
        <v>13710.554555999999</v>
      </c>
      <c r="R36">
        <f>_xlfn.IFNA(VLOOKUP(P36,PGOPHER!A$2:G$181,7,FALSE),_xlfn.IFNA(VLOOKUP(P36,en!A$2:I$768,7,FALSE),-10000))</f>
        <v>72.304556000000005</v>
      </c>
      <c r="S36">
        <f>IF(O36=O35,Q35+S35,Q36)</f>
        <v>41131.592707999996</v>
      </c>
      <c r="T36">
        <f>IF(O36=O35,T35+1,1)</f>
        <v>3</v>
      </c>
      <c r="U36">
        <f>IF(O36=O37,"",S36/T36)</f>
        <v>13710.530902666665</v>
      </c>
      <c r="V36" t="str">
        <f>IF(U36="","",IF(ABS(Q36-U36)&gt;V$1,"error",""))</f>
        <v/>
      </c>
    </row>
    <row r="37" spans="1:22" x14ac:dyDescent="0.55000000000000004">
      <c r="A37">
        <v>13667.26</v>
      </c>
      <c r="B37" s="1">
        <v>0.1066</v>
      </c>
      <c r="C37" s="1">
        <v>0.1066</v>
      </c>
      <c r="D37" s="2" t="s">
        <v>1121</v>
      </c>
      <c r="E37">
        <v>2</v>
      </c>
      <c r="F37" s="2" t="s">
        <v>1</v>
      </c>
      <c r="G37">
        <v>0</v>
      </c>
      <c r="H37">
        <v>3.5</v>
      </c>
      <c r="I37" s="2" t="s">
        <v>0</v>
      </c>
      <c r="J37">
        <v>2</v>
      </c>
      <c r="K37" s="2" t="s">
        <v>1</v>
      </c>
      <c r="L37">
        <v>0</v>
      </c>
      <c r="M37">
        <v>2.5</v>
      </c>
      <c r="N37" s="2" t="s">
        <v>1152</v>
      </c>
      <c r="O37" t="str">
        <f>D37&amp;"-"&amp;E37&amp;"-"&amp;F37&amp;"-"&amp;G37&amp;"-"&amp;H37</f>
        <v>A-2-f-0-3.5</v>
      </c>
      <c r="P37" t="str">
        <f>I37&amp;"-"&amp;J37&amp;"-"&amp;K37&amp;"-"&amp;L37&amp;"-"&amp;M37</f>
        <v>X-2-f-0-2.5</v>
      </c>
      <c r="Q37">
        <f>A37+R37</f>
        <v>13710.593493</v>
      </c>
      <c r="R37">
        <f>_xlfn.IFNA(VLOOKUP(P37,PGOPHER!A$2:G$181,7,FALSE),_xlfn.IFNA(VLOOKUP(P37,en!A$2:I$768,7,FALSE),-10000))</f>
        <v>43.333492999999997</v>
      </c>
      <c r="S37">
        <f>IF(O37=O36,Q36+S36,Q37)</f>
        <v>13710.593493</v>
      </c>
      <c r="T37">
        <f>IF(O37=O36,T36+1,1)</f>
        <v>1</v>
      </c>
      <c r="U37" t="str">
        <f>IF(O37=O38,"",S37/T37)</f>
        <v/>
      </c>
      <c r="V37" t="str">
        <f>IF(U37="","",IF(ABS(Q37-U37)&gt;V$1,"error",""))</f>
        <v/>
      </c>
    </row>
    <row r="38" spans="1:22" x14ac:dyDescent="0.55000000000000004">
      <c r="A38">
        <v>13666.73</v>
      </c>
      <c r="B38" s="1">
        <v>0.01</v>
      </c>
      <c r="C38" s="1">
        <v>0.01</v>
      </c>
      <c r="D38" s="2" t="s">
        <v>1121</v>
      </c>
      <c r="E38">
        <v>2</v>
      </c>
      <c r="F38" s="2" t="s">
        <v>1</v>
      </c>
      <c r="G38">
        <v>0</v>
      </c>
      <c r="H38">
        <v>3.5</v>
      </c>
      <c r="I38" s="2" t="s">
        <v>0</v>
      </c>
      <c r="J38">
        <v>1</v>
      </c>
      <c r="K38" s="2" t="s">
        <v>2</v>
      </c>
      <c r="L38">
        <v>0</v>
      </c>
      <c r="M38">
        <v>3.5</v>
      </c>
      <c r="N38" s="2" t="s">
        <v>1151</v>
      </c>
      <c r="O38" t="str">
        <f>D38&amp;"-"&amp;E38&amp;"-"&amp;F38&amp;"-"&amp;G38&amp;"-"&amp;H38</f>
        <v>A-2-f-0-3.5</v>
      </c>
      <c r="P38" t="str">
        <f>I38&amp;"-"&amp;J38&amp;"-"&amp;K38&amp;"-"&amp;L38&amp;"-"&amp;M38</f>
        <v>X-1-e-0-3.5</v>
      </c>
      <c r="Q38">
        <f>A38+R38</f>
        <v>13710.497772999999</v>
      </c>
      <c r="R38">
        <f>_xlfn.IFNA(VLOOKUP(P38,PGOPHER!A$2:G$181,7,FALSE),_xlfn.IFNA(VLOOKUP(P38,en!A$2:I$768,7,FALSE),-10000))</f>
        <v>43.767772999999998</v>
      </c>
      <c r="S38">
        <f>IF(O38=O37,Q37+S37,Q38)</f>
        <v>27421.186986000001</v>
      </c>
      <c r="T38">
        <f>IF(O38=O37,T37+1,1)</f>
        <v>2</v>
      </c>
      <c r="U38" t="str">
        <f>IF(O38=O39,"",S38/T38)</f>
        <v/>
      </c>
      <c r="V38" t="str">
        <f>IF(U38="","",IF(ABS(Q38-U38)&gt;V$1,"error",""))</f>
        <v/>
      </c>
    </row>
    <row r="39" spans="1:22" x14ac:dyDescent="0.55000000000000004">
      <c r="A39">
        <v>13601.89</v>
      </c>
      <c r="B39" s="1">
        <v>0.1071</v>
      </c>
      <c r="C39" s="1">
        <v>0.1071</v>
      </c>
      <c r="D39" s="2" t="s">
        <v>1121</v>
      </c>
      <c r="E39">
        <v>2</v>
      </c>
      <c r="F39" s="2" t="s">
        <v>1</v>
      </c>
      <c r="G39">
        <v>0</v>
      </c>
      <c r="H39">
        <v>3.5</v>
      </c>
      <c r="I39" s="2" t="s">
        <v>0</v>
      </c>
      <c r="J39">
        <v>2</v>
      </c>
      <c r="K39" s="2" t="s">
        <v>1</v>
      </c>
      <c r="L39">
        <v>0</v>
      </c>
      <c r="M39">
        <v>4.5</v>
      </c>
      <c r="N39" s="2" t="s">
        <v>1148</v>
      </c>
      <c r="O39" t="str">
        <f>D39&amp;"-"&amp;E39&amp;"-"&amp;F39&amp;"-"&amp;G39&amp;"-"&amp;H39</f>
        <v>A-2-f-0-3.5</v>
      </c>
      <c r="P39" t="str">
        <f>I39&amp;"-"&amp;J39&amp;"-"&amp;K39&amp;"-"&amp;L39&amp;"-"&amp;M39</f>
        <v>X-2-f-0-4.5</v>
      </c>
      <c r="Q39">
        <f>A39+R39</f>
        <v>13710.401082</v>
      </c>
      <c r="R39">
        <f>_xlfn.IFNA(VLOOKUP(P39,PGOPHER!A$2:G$181,7,FALSE),_xlfn.IFNA(VLOOKUP(P39,en!A$2:I$768,7,FALSE),-10000))</f>
        <v>108.511082</v>
      </c>
      <c r="S39">
        <f>IF(O39=O38,Q38+S38,Q39)</f>
        <v>41131.684758999996</v>
      </c>
      <c r="T39">
        <f>IF(O39=O38,T38+1,1)</f>
        <v>3</v>
      </c>
      <c r="U39">
        <f>IF(O39=O40,"",S39/T39)</f>
        <v>13710.561586333331</v>
      </c>
      <c r="V39" t="str">
        <f>IF(U39="","",IF(ABS(Q39-U39)&gt;V$1,"error",""))</f>
        <v/>
      </c>
    </row>
    <row r="40" spans="1:22" x14ac:dyDescent="0.55000000000000004">
      <c r="A40">
        <v>13351.76</v>
      </c>
      <c r="B40" s="1">
        <v>3.6519999999999997E-2</v>
      </c>
      <c r="C40" s="1">
        <v>3.6519999999999997E-2</v>
      </c>
      <c r="D40" s="2" t="s">
        <v>1121</v>
      </c>
      <c r="E40">
        <v>1</v>
      </c>
      <c r="F40" s="2" t="s">
        <v>2</v>
      </c>
      <c r="G40">
        <v>0</v>
      </c>
      <c r="H40">
        <v>4.5</v>
      </c>
      <c r="I40" s="2" t="s">
        <v>0</v>
      </c>
      <c r="J40">
        <v>1</v>
      </c>
      <c r="K40" s="2" t="s">
        <v>2</v>
      </c>
      <c r="L40">
        <v>0</v>
      </c>
      <c r="M40">
        <v>5.5</v>
      </c>
      <c r="N40" s="2" t="s">
        <v>1167</v>
      </c>
      <c r="O40" t="str">
        <f>D40&amp;"-"&amp;E40&amp;"-"&amp;F40&amp;"-"&amp;G40&amp;"-"&amp;H40</f>
        <v>A-1-e-0-4.5</v>
      </c>
      <c r="P40" t="str">
        <f>I40&amp;"-"&amp;J40&amp;"-"&amp;K40&amp;"-"&amp;L40&amp;"-"&amp;M40</f>
        <v>X-1-e-0-5.5</v>
      </c>
      <c r="Q40">
        <f>A40+R40</f>
        <v>13460.950175</v>
      </c>
      <c r="R40">
        <f>_xlfn.IFNA(VLOOKUP(P40,PGOPHER!A$2:G$181,7,FALSE),_xlfn.IFNA(VLOOKUP(P40,en!A$2:I$768,7,FALSE),-10000))</f>
        <v>109.190175</v>
      </c>
      <c r="S40">
        <f>IF(O40=O39,Q39+S39,Q40)</f>
        <v>13460.950175</v>
      </c>
      <c r="T40">
        <f>IF(O40=O39,T39+1,1)</f>
        <v>1</v>
      </c>
      <c r="U40" t="str">
        <f>IF(O40=O41,"",S40/T40)</f>
        <v/>
      </c>
      <c r="V40" t="str">
        <f>IF(U40="","",IF(ABS(Q40-U40)&gt;V$1,"error",""))</f>
        <v/>
      </c>
    </row>
    <row r="41" spans="1:22" x14ac:dyDescent="0.55000000000000004">
      <c r="A41">
        <v>13417.27</v>
      </c>
      <c r="B41" s="1">
        <v>7.9269999999999993E-2</v>
      </c>
      <c r="C41" s="1">
        <v>7.9269999999999993E-2</v>
      </c>
      <c r="D41" s="2" t="s">
        <v>1121</v>
      </c>
      <c r="E41">
        <v>1</v>
      </c>
      <c r="F41" s="2" t="s">
        <v>2</v>
      </c>
      <c r="G41">
        <v>0</v>
      </c>
      <c r="H41">
        <v>4.5</v>
      </c>
      <c r="I41" s="2" t="s">
        <v>0</v>
      </c>
      <c r="J41">
        <v>1</v>
      </c>
      <c r="K41" s="2" t="s">
        <v>2</v>
      </c>
      <c r="L41">
        <v>0</v>
      </c>
      <c r="M41">
        <v>3.5</v>
      </c>
      <c r="N41" s="2" t="s">
        <v>1171</v>
      </c>
      <c r="O41" t="str">
        <f>D41&amp;"-"&amp;E41&amp;"-"&amp;F41&amp;"-"&amp;G41&amp;"-"&amp;H41</f>
        <v>A-1-e-0-4.5</v>
      </c>
      <c r="P41" t="str">
        <f>I41&amp;"-"&amp;J41&amp;"-"&amp;K41&amp;"-"&amp;L41&amp;"-"&amp;M41</f>
        <v>X-1-e-0-3.5</v>
      </c>
      <c r="Q41">
        <f>A41+R41</f>
        <v>13461.037773</v>
      </c>
      <c r="R41">
        <f>_xlfn.IFNA(VLOOKUP(P41,PGOPHER!A$2:G$181,7,FALSE),_xlfn.IFNA(VLOOKUP(P41,en!A$2:I$768,7,FALSE),-10000))</f>
        <v>43.767772999999998</v>
      </c>
      <c r="S41">
        <f>IF(O41=O40,Q40+S40,Q41)</f>
        <v>26921.90035</v>
      </c>
      <c r="T41">
        <f>IF(O41=O40,T40+1,1)</f>
        <v>2</v>
      </c>
      <c r="U41" t="str">
        <f>IF(O41=O42,"",S41/T41)</f>
        <v/>
      </c>
      <c r="V41" t="str">
        <f>IF(U41="","",IF(ABS(Q41-U41)&gt;V$1,"error",""))</f>
        <v/>
      </c>
    </row>
    <row r="42" spans="1:22" x14ac:dyDescent="0.55000000000000004">
      <c r="A42">
        <v>13352.45</v>
      </c>
      <c r="B42" s="1">
        <v>2.307E-2</v>
      </c>
      <c r="C42" s="1">
        <v>2.307E-2</v>
      </c>
      <c r="D42" s="2" t="s">
        <v>1121</v>
      </c>
      <c r="E42">
        <v>1</v>
      </c>
      <c r="F42" s="2" t="s">
        <v>2</v>
      </c>
      <c r="G42">
        <v>0</v>
      </c>
      <c r="H42">
        <v>4.5</v>
      </c>
      <c r="I42" s="2" t="s">
        <v>0</v>
      </c>
      <c r="J42">
        <v>2</v>
      </c>
      <c r="K42" s="2" t="s">
        <v>1</v>
      </c>
      <c r="L42">
        <v>0</v>
      </c>
      <c r="M42">
        <v>4.5</v>
      </c>
      <c r="N42" s="2" t="s">
        <v>1168</v>
      </c>
      <c r="O42" t="str">
        <f>D42&amp;"-"&amp;E42&amp;"-"&amp;F42&amp;"-"&amp;G42&amp;"-"&amp;H42</f>
        <v>A-1-e-0-4.5</v>
      </c>
      <c r="P42" t="str">
        <f>I42&amp;"-"&amp;J42&amp;"-"&amp;K42&amp;"-"&amp;L42&amp;"-"&amp;M42</f>
        <v>X-2-f-0-4.5</v>
      </c>
      <c r="Q42">
        <f>A42+R42</f>
        <v>13460.961082000002</v>
      </c>
      <c r="R42">
        <f>_xlfn.IFNA(VLOOKUP(P42,PGOPHER!A$2:G$181,7,FALSE),_xlfn.IFNA(VLOOKUP(P42,en!A$2:I$768,7,FALSE),-10000))</f>
        <v>108.511082</v>
      </c>
      <c r="S42">
        <f>IF(O42=O41,Q41+S41,Q42)</f>
        <v>40382.938123</v>
      </c>
      <c r="T42">
        <f>IF(O42=O41,T41+1,1)</f>
        <v>3</v>
      </c>
      <c r="U42">
        <f>IF(O42=O43,"",S42/T42)</f>
        <v>13460.979374333334</v>
      </c>
      <c r="V42" t="str">
        <f>IF(U42="","",IF(ABS(Q42-U42)&gt;V$1,"error",""))</f>
        <v/>
      </c>
    </row>
    <row r="43" spans="1:22" x14ac:dyDescent="0.55000000000000004">
      <c r="A43">
        <v>13368.54</v>
      </c>
      <c r="B43" s="1">
        <v>0.01</v>
      </c>
      <c r="C43" s="1">
        <v>0.01</v>
      </c>
      <c r="D43" s="2" t="s">
        <v>1121</v>
      </c>
      <c r="E43">
        <v>1</v>
      </c>
      <c r="F43" s="2" t="s">
        <v>1</v>
      </c>
      <c r="G43">
        <v>0</v>
      </c>
      <c r="H43">
        <v>4.5</v>
      </c>
      <c r="I43" s="2" t="s">
        <v>0</v>
      </c>
      <c r="J43">
        <v>2</v>
      </c>
      <c r="K43" s="2" t="s">
        <v>1</v>
      </c>
      <c r="L43">
        <v>0</v>
      </c>
      <c r="M43">
        <v>3.5</v>
      </c>
      <c r="N43" s="2" t="s">
        <v>1170</v>
      </c>
      <c r="O43" t="str">
        <f>D43&amp;"-"&amp;E43&amp;"-"&amp;F43&amp;"-"&amp;G43&amp;"-"&amp;H43</f>
        <v>A-1-f-0-4.5</v>
      </c>
      <c r="P43" t="str">
        <f>I43&amp;"-"&amp;J43&amp;"-"&amp;K43&amp;"-"&amp;L43&amp;"-"&amp;M43</f>
        <v>X-2-f-0-3.5</v>
      </c>
      <c r="Q43">
        <f>A43+R43</f>
        <v>13440.844556</v>
      </c>
      <c r="R43">
        <f>_xlfn.IFNA(VLOOKUP(P43,PGOPHER!A$2:G$181,7,FALSE),_xlfn.IFNA(VLOOKUP(P43,en!A$2:I$768,7,FALSE),-10000))</f>
        <v>72.304556000000005</v>
      </c>
      <c r="S43">
        <f>IF(O43=O42,Q42+S42,Q43)</f>
        <v>13440.844556</v>
      </c>
      <c r="T43">
        <f>IF(O43=O42,T42+1,1)</f>
        <v>1</v>
      </c>
      <c r="U43" t="str">
        <f>IF(O43=O44,"",S43/T43)</f>
        <v/>
      </c>
      <c r="V43" t="str">
        <f>IF(U43="","",IF(ABS(Q43-U43)&gt;V$1,"error",""))</f>
        <v/>
      </c>
    </row>
    <row r="44" spans="1:22" x14ac:dyDescent="0.55000000000000004">
      <c r="A44">
        <v>13368.01</v>
      </c>
      <c r="B44" s="1">
        <v>2.674E-2</v>
      </c>
      <c r="C44" s="1">
        <v>2.674E-2</v>
      </c>
      <c r="D44" s="2" t="s">
        <v>1121</v>
      </c>
      <c r="E44">
        <v>1</v>
      </c>
      <c r="F44" s="2" t="s">
        <v>1</v>
      </c>
      <c r="G44">
        <v>0</v>
      </c>
      <c r="H44">
        <v>4.5</v>
      </c>
      <c r="I44" s="2" t="s">
        <v>0</v>
      </c>
      <c r="J44">
        <v>1</v>
      </c>
      <c r="K44" s="2" t="s">
        <v>2</v>
      </c>
      <c r="L44">
        <v>0</v>
      </c>
      <c r="M44">
        <v>4.5</v>
      </c>
      <c r="N44" s="2" t="s">
        <v>1169</v>
      </c>
      <c r="O44" t="str">
        <f>D44&amp;"-"&amp;E44&amp;"-"&amp;F44&amp;"-"&amp;G44&amp;"-"&amp;H44</f>
        <v>A-1-f-0-4.5</v>
      </c>
      <c r="P44" t="str">
        <f>I44&amp;"-"&amp;J44&amp;"-"&amp;K44&amp;"-"&amp;L44&amp;"-"&amp;M44</f>
        <v>X-1-e-0-4.5</v>
      </c>
      <c r="Q44">
        <f>A44+R44</f>
        <v>13440.871504000001</v>
      </c>
      <c r="R44">
        <f>_xlfn.IFNA(VLOOKUP(P44,PGOPHER!A$2:G$181,7,FALSE),_xlfn.IFNA(VLOOKUP(P44,en!A$2:I$768,7,FALSE),-10000))</f>
        <v>72.861503999999996</v>
      </c>
      <c r="S44">
        <f>IF(O44=O43,Q43+S43,Q44)</f>
        <v>26881.689112</v>
      </c>
      <c r="T44">
        <f>IF(O44=O43,T43+1,1)</f>
        <v>2</v>
      </c>
      <c r="U44" t="str">
        <f>IF(O44=O45,"",S44/T44)</f>
        <v/>
      </c>
      <c r="V44" t="str">
        <f>IF(U44="","",IF(ABS(Q44-U44)&gt;V$1,"error",""))</f>
        <v/>
      </c>
    </row>
    <row r="45" spans="1:22" x14ac:dyDescent="0.55000000000000004">
      <c r="A45">
        <v>13288.91</v>
      </c>
      <c r="B45" s="1">
        <v>0.01</v>
      </c>
      <c r="C45" s="1">
        <v>0.01</v>
      </c>
      <c r="D45" s="2" t="s">
        <v>1121</v>
      </c>
      <c r="E45">
        <v>1</v>
      </c>
      <c r="F45" s="2" t="s">
        <v>1</v>
      </c>
      <c r="G45">
        <v>0</v>
      </c>
      <c r="H45">
        <v>4.5</v>
      </c>
      <c r="I45" s="2" t="s">
        <v>0</v>
      </c>
      <c r="J45">
        <v>2</v>
      </c>
      <c r="K45" s="2" t="s">
        <v>1</v>
      </c>
      <c r="L45">
        <v>0</v>
      </c>
      <c r="M45">
        <v>5.5</v>
      </c>
      <c r="N45" s="2" t="s">
        <v>1166</v>
      </c>
      <c r="O45" t="str">
        <f>D45&amp;"-"&amp;E45&amp;"-"&amp;F45&amp;"-"&amp;G45&amp;"-"&amp;H45</f>
        <v>A-1-f-0-4.5</v>
      </c>
      <c r="P45" t="str">
        <f>I45&amp;"-"&amp;J45&amp;"-"&amp;K45&amp;"-"&amp;L45&amp;"-"&amp;M45</f>
        <v>X-2-f-0-5.5</v>
      </c>
      <c r="Q45">
        <f>A45+R45</f>
        <v>13440.843564999999</v>
      </c>
      <c r="R45">
        <f>_xlfn.IFNA(VLOOKUP(P45,PGOPHER!A$2:G$181,7,FALSE),_xlfn.IFNA(VLOOKUP(P45,en!A$2:I$768,7,FALSE),-10000))</f>
        <v>151.93356499999999</v>
      </c>
      <c r="S45">
        <f>IF(O45=O44,Q44+S44,Q45)</f>
        <v>40322.560616000002</v>
      </c>
      <c r="T45">
        <f>IF(O45=O44,T44+1,1)</f>
        <v>3</v>
      </c>
      <c r="U45">
        <f>IF(O45=O46,"",S45/T45)</f>
        <v>13440.853538666668</v>
      </c>
      <c r="V45" t="str">
        <f>IF(U45="","",IF(ABS(Q45-U45)&gt;V$1,"error",""))</f>
        <v/>
      </c>
    </row>
    <row r="46" spans="1:22" x14ac:dyDescent="0.55000000000000004">
      <c r="A46">
        <v>13634.53</v>
      </c>
      <c r="B46" s="1">
        <v>2.581E-2</v>
      </c>
      <c r="C46" s="1">
        <v>2.581E-2</v>
      </c>
      <c r="D46" s="2" t="s">
        <v>1121</v>
      </c>
      <c r="E46">
        <v>2</v>
      </c>
      <c r="F46" s="2" t="s">
        <v>2</v>
      </c>
      <c r="G46">
        <v>0</v>
      </c>
      <c r="H46">
        <v>4.5</v>
      </c>
      <c r="I46" s="2" t="s">
        <v>0</v>
      </c>
      <c r="J46">
        <v>1</v>
      </c>
      <c r="K46" s="2" t="s">
        <v>2</v>
      </c>
      <c r="L46">
        <v>0</v>
      </c>
      <c r="M46">
        <v>5.5</v>
      </c>
      <c r="N46" s="2" t="s">
        <v>1161</v>
      </c>
      <c r="O46" t="str">
        <f>D46&amp;"-"&amp;E46&amp;"-"&amp;F46&amp;"-"&amp;G46&amp;"-"&amp;H46</f>
        <v>A-2-e-0-4.5</v>
      </c>
      <c r="P46" t="str">
        <f>I46&amp;"-"&amp;J46&amp;"-"&amp;K46&amp;"-"&amp;L46&amp;"-"&amp;M46</f>
        <v>X-1-e-0-5.5</v>
      </c>
      <c r="Q46">
        <f>A46+R46</f>
        <v>13743.720175</v>
      </c>
      <c r="R46">
        <f>_xlfn.IFNA(VLOOKUP(P46,PGOPHER!A$2:G$181,7,FALSE),_xlfn.IFNA(VLOOKUP(P46,en!A$2:I$768,7,FALSE),-10000))</f>
        <v>109.190175</v>
      </c>
      <c r="S46">
        <f>IF(O46=O45,Q45+S45,Q46)</f>
        <v>13743.720175</v>
      </c>
      <c r="T46">
        <f>IF(O46=O45,T45+1,1)</f>
        <v>1</v>
      </c>
      <c r="U46" t="str">
        <f>IF(O46=O47,"",S46/T46)</f>
        <v/>
      </c>
      <c r="V46" t="str">
        <f>IF(U46="","",IF(ABS(Q46-U46)&gt;V$1,"error",""))</f>
        <v/>
      </c>
    </row>
    <row r="47" spans="1:22" x14ac:dyDescent="0.55000000000000004">
      <c r="A47">
        <v>13699.99</v>
      </c>
      <c r="B47" s="1">
        <v>6.6930000000000003E-2</v>
      </c>
      <c r="C47" s="1">
        <v>6.6930000000000003E-2</v>
      </c>
      <c r="D47" s="2" t="s">
        <v>1121</v>
      </c>
      <c r="E47">
        <v>2</v>
      </c>
      <c r="F47" s="2" t="s">
        <v>2</v>
      </c>
      <c r="G47">
        <v>0</v>
      </c>
      <c r="H47">
        <v>4.5</v>
      </c>
      <c r="I47" s="2" t="s">
        <v>0</v>
      </c>
      <c r="J47">
        <v>1</v>
      </c>
      <c r="K47" s="2" t="s">
        <v>2</v>
      </c>
      <c r="L47">
        <v>0</v>
      </c>
      <c r="M47">
        <v>3.5</v>
      </c>
      <c r="N47" s="2" t="s">
        <v>1165</v>
      </c>
      <c r="O47" t="str">
        <f>D47&amp;"-"&amp;E47&amp;"-"&amp;F47&amp;"-"&amp;G47&amp;"-"&amp;H47</f>
        <v>A-2-e-0-4.5</v>
      </c>
      <c r="P47" t="str">
        <f>I47&amp;"-"&amp;J47&amp;"-"&amp;K47&amp;"-"&amp;L47&amp;"-"&amp;M47</f>
        <v>X-1-e-0-3.5</v>
      </c>
      <c r="Q47">
        <f>A47+R47</f>
        <v>13743.757772999999</v>
      </c>
      <c r="R47">
        <f>_xlfn.IFNA(VLOOKUP(P47,PGOPHER!A$2:G$181,7,FALSE),_xlfn.IFNA(VLOOKUP(P47,en!A$2:I$768,7,FALSE),-10000))</f>
        <v>43.767772999999998</v>
      </c>
      <c r="S47">
        <f>IF(O47=O46,Q46+S46,Q47)</f>
        <v>27487.440350000001</v>
      </c>
      <c r="T47">
        <f>IF(O47=O46,T46+1,1)</f>
        <v>2</v>
      </c>
      <c r="U47" t="str">
        <f>IF(O47=O48,"",S47/T47)</f>
        <v/>
      </c>
      <c r="V47" t="str">
        <f>IF(U47="","",IF(ABS(Q47-U47)&gt;V$1,"error",""))</f>
        <v/>
      </c>
    </row>
    <row r="48" spans="1:22" x14ac:dyDescent="0.55000000000000004">
      <c r="A48">
        <v>13635.1</v>
      </c>
      <c r="B48" s="1">
        <v>0.1174</v>
      </c>
      <c r="C48" s="1">
        <v>0.1174</v>
      </c>
      <c r="D48" s="2" t="s">
        <v>1121</v>
      </c>
      <c r="E48">
        <v>2</v>
      </c>
      <c r="F48" s="2" t="s">
        <v>2</v>
      </c>
      <c r="G48">
        <v>0</v>
      </c>
      <c r="H48">
        <v>4.5</v>
      </c>
      <c r="I48" s="2" t="s">
        <v>0</v>
      </c>
      <c r="J48">
        <v>2</v>
      </c>
      <c r="K48" s="2" t="s">
        <v>1</v>
      </c>
      <c r="L48">
        <v>0</v>
      </c>
      <c r="M48">
        <v>4.5</v>
      </c>
      <c r="N48" s="2" t="s">
        <v>1162</v>
      </c>
      <c r="O48" t="str">
        <f>D48&amp;"-"&amp;E48&amp;"-"&amp;F48&amp;"-"&amp;G48&amp;"-"&amp;H48</f>
        <v>A-2-e-0-4.5</v>
      </c>
      <c r="P48" t="str">
        <f>I48&amp;"-"&amp;J48&amp;"-"&amp;K48&amp;"-"&amp;L48&amp;"-"&amp;M48</f>
        <v>X-2-f-0-4.5</v>
      </c>
      <c r="Q48">
        <f>A48+R48</f>
        <v>13743.611082000001</v>
      </c>
      <c r="R48">
        <f>_xlfn.IFNA(VLOOKUP(P48,PGOPHER!A$2:G$181,7,FALSE),_xlfn.IFNA(VLOOKUP(P48,en!A$2:I$768,7,FALSE),-10000))</f>
        <v>108.511082</v>
      </c>
      <c r="S48">
        <f>IF(O48=O47,Q47+S47,Q48)</f>
        <v>41231.198123000002</v>
      </c>
      <c r="T48">
        <f>IF(O48=O47,T47+1,1)</f>
        <v>3</v>
      </c>
      <c r="U48">
        <f>IF(O48=O49,"",S48/T48)</f>
        <v>13743.732707666668</v>
      </c>
      <c r="V48" t="str">
        <f>IF(U48="","",IF(ABS(Q48-U48)&gt;V$1,"error",""))</f>
        <v/>
      </c>
    </row>
    <row r="49" spans="1:22" x14ac:dyDescent="0.55000000000000004">
      <c r="A49">
        <v>13671.21</v>
      </c>
      <c r="B49" s="1">
        <v>0.01</v>
      </c>
      <c r="C49" s="1">
        <v>0.01</v>
      </c>
      <c r="D49" s="2" t="s">
        <v>1121</v>
      </c>
      <c r="E49">
        <v>2</v>
      </c>
      <c r="F49" s="2" t="s">
        <v>1</v>
      </c>
      <c r="G49">
        <v>0</v>
      </c>
      <c r="H49">
        <v>4.5</v>
      </c>
      <c r="I49" s="2" t="s">
        <v>0</v>
      </c>
      <c r="J49">
        <v>2</v>
      </c>
      <c r="K49" s="2" t="s">
        <v>1</v>
      </c>
      <c r="L49">
        <v>0</v>
      </c>
      <c r="M49">
        <v>3.5</v>
      </c>
      <c r="N49" s="2" t="s">
        <v>1164</v>
      </c>
      <c r="O49" t="str">
        <f>D49&amp;"-"&amp;E49&amp;"-"&amp;F49&amp;"-"&amp;G49&amp;"-"&amp;H49</f>
        <v>A-2-f-0-4.5</v>
      </c>
      <c r="P49" t="str">
        <f>I49&amp;"-"&amp;J49&amp;"-"&amp;K49&amp;"-"&amp;L49&amp;"-"&amp;M49</f>
        <v>X-2-f-0-3.5</v>
      </c>
      <c r="Q49">
        <f>A49+R49</f>
        <v>13743.514555999998</v>
      </c>
      <c r="R49">
        <f>_xlfn.IFNA(VLOOKUP(P49,PGOPHER!A$2:G$181,7,FALSE),_xlfn.IFNA(VLOOKUP(P49,en!A$2:I$768,7,FALSE),-10000))</f>
        <v>72.304556000000005</v>
      </c>
      <c r="S49">
        <f>IF(O49=O48,Q48+S48,Q49)</f>
        <v>13743.514555999998</v>
      </c>
      <c r="T49">
        <f>IF(O49=O48,T48+1,1)</f>
        <v>1</v>
      </c>
      <c r="U49" t="str">
        <f>IF(O49=O50,"",S49/T49)</f>
        <v/>
      </c>
      <c r="V49" t="str">
        <f>IF(U49="","",IF(ABS(Q49-U49)&gt;V$1,"error",""))</f>
        <v/>
      </c>
    </row>
    <row r="50" spans="1:22" x14ac:dyDescent="0.55000000000000004">
      <c r="A50">
        <v>13670.68</v>
      </c>
      <c r="B50" s="1">
        <v>3.8109999999999998E-2</v>
      </c>
      <c r="C50" s="1">
        <v>3.8109999999999998E-2</v>
      </c>
      <c r="D50" s="2" t="s">
        <v>1121</v>
      </c>
      <c r="E50">
        <v>2</v>
      </c>
      <c r="F50" s="2" t="s">
        <v>1</v>
      </c>
      <c r="G50">
        <v>0</v>
      </c>
      <c r="H50">
        <v>4.5</v>
      </c>
      <c r="I50" s="2" t="s">
        <v>0</v>
      </c>
      <c r="J50">
        <v>1</v>
      </c>
      <c r="K50" s="2" t="s">
        <v>2</v>
      </c>
      <c r="L50">
        <v>0</v>
      </c>
      <c r="M50">
        <v>4.5</v>
      </c>
      <c r="N50" s="2" t="s">
        <v>1163</v>
      </c>
      <c r="O50" t="str">
        <f>D50&amp;"-"&amp;E50&amp;"-"&amp;F50&amp;"-"&amp;G50&amp;"-"&amp;H50</f>
        <v>A-2-f-0-4.5</v>
      </c>
      <c r="P50" t="str">
        <f>I50&amp;"-"&amp;J50&amp;"-"&amp;K50&amp;"-"&amp;L50&amp;"-"&amp;M50</f>
        <v>X-1-e-0-4.5</v>
      </c>
      <c r="Q50">
        <f>A50+R50</f>
        <v>13743.541504000001</v>
      </c>
      <c r="R50">
        <f>_xlfn.IFNA(VLOOKUP(P50,PGOPHER!A$2:G$181,7,FALSE),_xlfn.IFNA(VLOOKUP(P50,en!A$2:I$768,7,FALSE),-10000))</f>
        <v>72.861503999999996</v>
      </c>
      <c r="S50">
        <f>IF(O50=O49,Q49+S49,Q50)</f>
        <v>27487.029111999997</v>
      </c>
      <c r="T50">
        <f>IF(O50=O49,T49+1,1)</f>
        <v>2</v>
      </c>
      <c r="U50" t="str">
        <f>IF(O50=O51,"",S50/T50)</f>
        <v/>
      </c>
      <c r="V50" t="str">
        <f>IF(U50="","",IF(ABS(Q50-U50)&gt;V$1,"error",""))</f>
        <v/>
      </c>
    </row>
    <row r="51" spans="1:22" x14ac:dyDescent="0.55000000000000004">
      <c r="A51">
        <v>13591.53</v>
      </c>
      <c r="B51" s="1">
        <v>5.5620000000000003E-2</v>
      </c>
      <c r="C51" s="1">
        <v>5.5620000000000003E-2</v>
      </c>
      <c r="D51" s="2" t="s">
        <v>1121</v>
      </c>
      <c r="E51">
        <v>2</v>
      </c>
      <c r="F51" s="2" t="s">
        <v>1</v>
      </c>
      <c r="G51">
        <v>0</v>
      </c>
      <c r="H51">
        <v>4.5</v>
      </c>
      <c r="I51" s="2" t="s">
        <v>0</v>
      </c>
      <c r="J51">
        <v>2</v>
      </c>
      <c r="K51" s="2" t="s">
        <v>1</v>
      </c>
      <c r="L51">
        <v>0</v>
      </c>
      <c r="M51">
        <v>5.5</v>
      </c>
      <c r="N51" s="2" t="s">
        <v>1160</v>
      </c>
      <c r="O51" t="str">
        <f>D51&amp;"-"&amp;E51&amp;"-"&amp;F51&amp;"-"&amp;G51&amp;"-"&amp;H51</f>
        <v>A-2-f-0-4.5</v>
      </c>
      <c r="P51" t="str">
        <f>I51&amp;"-"&amp;J51&amp;"-"&amp;K51&amp;"-"&amp;L51&amp;"-"&amp;M51</f>
        <v>X-2-f-0-5.5</v>
      </c>
      <c r="Q51">
        <f>A51+R51</f>
        <v>13743.463565</v>
      </c>
      <c r="R51">
        <f>_xlfn.IFNA(VLOOKUP(P51,PGOPHER!A$2:G$181,7,FALSE),_xlfn.IFNA(VLOOKUP(P51,en!A$2:I$768,7,FALSE),-10000))</f>
        <v>151.93356499999999</v>
      </c>
      <c r="S51">
        <f>IF(O51=O50,Q50+S50,Q51)</f>
        <v>41230.570615999997</v>
      </c>
      <c r="T51">
        <f>IF(O51=O50,T50+1,1)</f>
        <v>3</v>
      </c>
      <c r="U51">
        <f>IF(O51=O52,"",S51/T51)</f>
        <v>13743.523538666666</v>
      </c>
      <c r="V51" t="str">
        <f>IF(U51="","",IF(ABS(Q51-U51)&gt;V$1,"error",""))</f>
        <v/>
      </c>
    </row>
    <row r="52" spans="1:22" x14ac:dyDescent="0.55000000000000004">
      <c r="A52">
        <v>13350.44</v>
      </c>
      <c r="B52" s="1">
        <v>2.733E-2</v>
      </c>
      <c r="C52" s="1">
        <v>2.733E-2</v>
      </c>
      <c r="D52" s="2" t="s">
        <v>1121</v>
      </c>
      <c r="E52">
        <v>1</v>
      </c>
      <c r="F52" s="2" t="s">
        <v>2</v>
      </c>
      <c r="G52">
        <v>0</v>
      </c>
      <c r="H52">
        <v>5.5</v>
      </c>
      <c r="I52" s="2" t="s">
        <v>0</v>
      </c>
      <c r="J52">
        <v>1</v>
      </c>
      <c r="K52" s="2" t="s">
        <v>2</v>
      </c>
      <c r="L52">
        <v>0</v>
      </c>
      <c r="M52">
        <v>6.5</v>
      </c>
      <c r="N52" s="2" t="s">
        <v>1179</v>
      </c>
      <c r="O52" t="str">
        <f>D52&amp;"-"&amp;E52&amp;"-"&amp;F52&amp;"-"&amp;G52&amp;"-"&amp;H52</f>
        <v>A-1-e-0-5.5</v>
      </c>
      <c r="P52" t="str">
        <f>I52&amp;"-"&amp;J52&amp;"-"&amp;K52&amp;"-"&amp;L52&amp;"-"&amp;M52</f>
        <v>X-1-e-0-6.5</v>
      </c>
      <c r="Q52">
        <f>A52+R52</f>
        <v>13503.175627000001</v>
      </c>
      <c r="R52">
        <f>_xlfn.IFNA(VLOOKUP(P52,PGOPHER!A$2:G$181,7,FALSE),_xlfn.IFNA(VLOOKUP(P52,en!A$2:I$768,7,FALSE),-10000))</f>
        <v>152.73562699999999</v>
      </c>
      <c r="S52">
        <f>IF(O52=O51,Q51+S51,Q52)</f>
        <v>13503.175627000001</v>
      </c>
      <c r="T52">
        <f>IF(O52=O51,T51+1,1)</f>
        <v>1</v>
      </c>
      <c r="U52" t="str">
        <f>IF(O52=O53,"",S52/T52)</f>
        <v/>
      </c>
      <c r="V52" t="str">
        <f>IF(U52="","",IF(ABS(Q52-U52)&gt;V$1,"error",""))</f>
        <v/>
      </c>
    </row>
    <row r="53" spans="1:22" x14ac:dyDescent="0.55000000000000004">
      <c r="A53">
        <v>13430.25</v>
      </c>
      <c r="B53" s="1">
        <v>5.5059999999999998E-2</v>
      </c>
      <c r="C53" s="1">
        <v>5.5059999999999998E-2</v>
      </c>
      <c r="D53" s="2" t="s">
        <v>1121</v>
      </c>
      <c r="E53">
        <v>1</v>
      </c>
      <c r="F53" s="2" t="s">
        <v>2</v>
      </c>
      <c r="G53">
        <v>0</v>
      </c>
      <c r="H53">
        <v>5.5</v>
      </c>
      <c r="I53" s="2" t="s">
        <v>0</v>
      </c>
      <c r="J53">
        <v>1</v>
      </c>
      <c r="K53" s="2" t="s">
        <v>2</v>
      </c>
      <c r="L53">
        <v>0</v>
      </c>
      <c r="M53">
        <v>4.5</v>
      </c>
      <c r="N53" s="2" t="s">
        <v>1183</v>
      </c>
      <c r="O53" t="str">
        <f>D53&amp;"-"&amp;E53&amp;"-"&amp;F53&amp;"-"&amp;G53&amp;"-"&amp;H53</f>
        <v>A-1-e-0-5.5</v>
      </c>
      <c r="P53" t="str">
        <f>I53&amp;"-"&amp;J53&amp;"-"&amp;K53&amp;"-"&amp;L53&amp;"-"&amp;M53</f>
        <v>X-1-e-0-4.5</v>
      </c>
      <c r="Q53">
        <f>A53+R53</f>
        <v>13503.111504</v>
      </c>
      <c r="R53">
        <f>_xlfn.IFNA(VLOOKUP(P53,PGOPHER!A$2:G$181,7,FALSE),_xlfn.IFNA(VLOOKUP(P53,en!A$2:I$768,7,FALSE),-10000))</f>
        <v>72.861503999999996</v>
      </c>
      <c r="S53">
        <f>IF(O53=O52,Q52+S52,Q53)</f>
        <v>27006.351254000001</v>
      </c>
      <c r="T53">
        <f>IF(O53=O52,T52+1,1)</f>
        <v>2</v>
      </c>
      <c r="U53" t="str">
        <f>IF(O53=O54,"",S53/T53)</f>
        <v/>
      </c>
      <c r="V53" t="str">
        <f>IF(U53="","",IF(ABS(Q53-U53)&gt;V$1,"error",""))</f>
        <v/>
      </c>
    </row>
    <row r="54" spans="1:22" x14ac:dyDescent="0.55000000000000004">
      <c r="A54">
        <v>13351.23</v>
      </c>
      <c r="B54" s="1">
        <v>1.5310000000000001E-2</v>
      </c>
      <c r="C54" s="1">
        <v>1.5310000000000001E-2</v>
      </c>
      <c r="D54" s="2" t="s">
        <v>1121</v>
      </c>
      <c r="E54">
        <v>1</v>
      </c>
      <c r="F54" s="2" t="s">
        <v>2</v>
      </c>
      <c r="G54">
        <v>0</v>
      </c>
      <c r="H54">
        <v>5.5</v>
      </c>
      <c r="I54" s="2" t="s">
        <v>0</v>
      </c>
      <c r="J54">
        <v>2</v>
      </c>
      <c r="K54" s="2" t="s">
        <v>1</v>
      </c>
      <c r="L54">
        <v>0</v>
      </c>
      <c r="M54">
        <v>5.5</v>
      </c>
      <c r="N54" s="2" t="s">
        <v>1180</v>
      </c>
      <c r="O54" t="str">
        <f>D54&amp;"-"&amp;E54&amp;"-"&amp;F54&amp;"-"&amp;G54&amp;"-"&amp;H54</f>
        <v>A-1-e-0-5.5</v>
      </c>
      <c r="P54" t="str">
        <f>I54&amp;"-"&amp;J54&amp;"-"&amp;K54&amp;"-"&amp;L54&amp;"-"&amp;M54</f>
        <v>X-2-f-0-5.5</v>
      </c>
      <c r="Q54">
        <f>A54+R54</f>
        <v>13503.163564999999</v>
      </c>
      <c r="R54">
        <f>_xlfn.IFNA(VLOOKUP(P54,PGOPHER!A$2:G$181,7,FALSE),_xlfn.IFNA(VLOOKUP(P54,en!A$2:I$768,7,FALSE),-10000))</f>
        <v>151.93356499999999</v>
      </c>
      <c r="S54">
        <f>IF(O54=O53,Q53+S53,Q54)</f>
        <v>40509.462758000001</v>
      </c>
      <c r="T54">
        <f>IF(O54=O53,T53+1,1)</f>
        <v>3</v>
      </c>
      <c r="U54">
        <f>IF(O54=O55,"",S54/T54)</f>
        <v>13503.154252666667</v>
      </c>
      <c r="V54" t="str">
        <f>IF(U54="","",IF(ABS(Q54-U54)&gt;V$1,"error",""))</f>
        <v/>
      </c>
    </row>
    <row r="55" spans="1:22" x14ac:dyDescent="0.55000000000000004">
      <c r="A55">
        <v>13370.66</v>
      </c>
      <c r="B55" s="1">
        <v>3.7420000000000002E-2</v>
      </c>
      <c r="C55" s="1">
        <v>3.7420000000000002E-2</v>
      </c>
      <c r="D55" s="2" t="s">
        <v>1121</v>
      </c>
      <c r="E55">
        <v>1</v>
      </c>
      <c r="F55" s="2" t="s">
        <v>1</v>
      </c>
      <c r="G55">
        <v>0</v>
      </c>
      <c r="H55">
        <v>5.5</v>
      </c>
      <c r="I55" s="2" t="s">
        <v>0</v>
      </c>
      <c r="J55">
        <v>2</v>
      </c>
      <c r="K55" s="2" t="s">
        <v>1</v>
      </c>
      <c r="L55">
        <v>0</v>
      </c>
      <c r="M55">
        <v>4.5</v>
      </c>
      <c r="N55" s="2" t="s">
        <v>1182</v>
      </c>
      <c r="O55" t="str">
        <f>D55&amp;"-"&amp;E55&amp;"-"&amp;F55&amp;"-"&amp;G55&amp;"-"&amp;H55</f>
        <v>A-1-f-0-5.5</v>
      </c>
      <c r="P55" t="str">
        <f>I55&amp;"-"&amp;J55&amp;"-"&amp;K55&amp;"-"&amp;L55&amp;"-"&amp;M55</f>
        <v>X-2-f-0-4.5</v>
      </c>
      <c r="Q55">
        <f>A55+R55</f>
        <v>13479.171082000001</v>
      </c>
      <c r="R55">
        <f>_xlfn.IFNA(VLOOKUP(P55,PGOPHER!A$2:G$181,7,FALSE),_xlfn.IFNA(VLOOKUP(P55,en!A$2:I$768,7,FALSE),-10000))</f>
        <v>108.511082</v>
      </c>
      <c r="S55">
        <f>IF(O55=O54,Q54+S54,Q55)</f>
        <v>13479.171082000001</v>
      </c>
      <c r="T55">
        <f>IF(O55=O54,T54+1,1)</f>
        <v>1</v>
      </c>
      <c r="U55" t="str">
        <f>IF(O55=O56,"",S55/T55)</f>
        <v/>
      </c>
      <c r="V55" t="str">
        <f>IF(U55="","",IF(ABS(Q55-U55)&gt;V$1,"error",""))</f>
        <v/>
      </c>
    </row>
    <row r="56" spans="1:22" x14ac:dyDescent="0.55000000000000004">
      <c r="A56">
        <v>13370.05</v>
      </c>
      <c r="B56" s="1">
        <v>3.7139999999999999E-2</v>
      </c>
      <c r="C56" s="1">
        <v>3.7139999999999999E-2</v>
      </c>
      <c r="D56" s="2" t="s">
        <v>1121</v>
      </c>
      <c r="E56">
        <v>1</v>
      </c>
      <c r="F56" s="2" t="s">
        <v>1</v>
      </c>
      <c r="G56">
        <v>0</v>
      </c>
      <c r="H56">
        <v>5.5</v>
      </c>
      <c r="I56" s="2" t="s">
        <v>0</v>
      </c>
      <c r="J56">
        <v>1</v>
      </c>
      <c r="K56" s="2" t="s">
        <v>2</v>
      </c>
      <c r="L56">
        <v>0</v>
      </c>
      <c r="M56">
        <v>5.5</v>
      </c>
      <c r="N56" s="2" t="s">
        <v>1181</v>
      </c>
      <c r="O56" t="str">
        <f>D56&amp;"-"&amp;E56&amp;"-"&amp;F56&amp;"-"&amp;G56&amp;"-"&amp;H56</f>
        <v>A-1-f-0-5.5</v>
      </c>
      <c r="P56" t="str">
        <f>I56&amp;"-"&amp;J56&amp;"-"&amp;K56&amp;"-"&amp;L56&amp;"-"&amp;M56</f>
        <v>X-1-e-0-5.5</v>
      </c>
      <c r="Q56">
        <f>A56+R56</f>
        <v>13479.240174999999</v>
      </c>
      <c r="R56">
        <f>_xlfn.IFNA(VLOOKUP(P56,PGOPHER!A$2:G$181,7,FALSE),_xlfn.IFNA(VLOOKUP(P56,en!A$2:I$768,7,FALSE),-10000))</f>
        <v>109.190175</v>
      </c>
      <c r="S56">
        <f>IF(O56=O55,Q55+S55,Q56)</f>
        <v>26958.342164000002</v>
      </c>
      <c r="T56">
        <f>IF(O56=O55,T55+1,1)</f>
        <v>2</v>
      </c>
      <c r="U56" t="str">
        <f>IF(O56=O57,"",S56/T56)</f>
        <v/>
      </c>
      <c r="V56" t="str">
        <f>IF(U56="","",IF(ABS(Q56-U56)&gt;V$1,"error",""))</f>
        <v/>
      </c>
    </row>
    <row r="57" spans="1:22" x14ac:dyDescent="0.55000000000000004">
      <c r="A57">
        <v>13276.65</v>
      </c>
      <c r="B57" s="1">
        <v>0.01</v>
      </c>
      <c r="C57" s="1">
        <v>0.01</v>
      </c>
      <c r="D57" s="2" t="s">
        <v>1121</v>
      </c>
      <c r="E57">
        <v>1</v>
      </c>
      <c r="F57" s="2" t="s">
        <v>1</v>
      </c>
      <c r="G57">
        <v>0</v>
      </c>
      <c r="H57">
        <v>5.5</v>
      </c>
      <c r="I57" s="2" t="s">
        <v>0</v>
      </c>
      <c r="J57">
        <v>2</v>
      </c>
      <c r="K57" s="2" t="s">
        <v>1</v>
      </c>
      <c r="L57">
        <v>0</v>
      </c>
      <c r="M57">
        <v>6.5</v>
      </c>
      <c r="N57" s="2" t="s">
        <v>1178</v>
      </c>
      <c r="O57" t="str">
        <f>D57&amp;"-"&amp;E57&amp;"-"&amp;F57&amp;"-"&amp;G57&amp;"-"&amp;H57</f>
        <v>A-1-f-0-5.5</v>
      </c>
      <c r="P57" t="str">
        <f>I57&amp;"-"&amp;J57&amp;"-"&amp;K57&amp;"-"&amp;L57&amp;"-"&amp;M57</f>
        <v>X-2-f-0-6.5</v>
      </c>
      <c r="Q57">
        <f>A57+R57</f>
        <v>13479.205610999999</v>
      </c>
      <c r="R57">
        <f>_xlfn.IFNA(VLOOKUP(P57,PGOPHER!A$2:G$181,7,FALSE),_xlfn.IFNA(VLOOKUP(P57,en!A$2:I$768,7,FALSE),-10000))</f>
        <v>202.555611</v>
      </c>
      <c r="S57">
        <f>IF(O57=O56,Q56+S56,Q57)</f>
        <v>40437.582339000001</v>
      </c>
      <c r="T57">
        <f>IF(O57=O56,T56+1,1)</f>
        <v>3</v>
      </c>
      <c r="U57">
        <f>IF(O57=O58,"",S57/T57)</f>
        <v>13479.194113</v>
      </c>
      <c r="V57" t="str">
        <f>IF(U57="","",IF(ABS(Q57-U57)&gt;V$1,"error",""))</f>
        <v/>
      </c>
    </row>
    <row r="58" spans="1:22" x14ac:dyDescent="0.55000000000000004">
      <c r="A58">
        <v>13631.26</v>
      </c>
      <c r="B58" s="1">
        <v>6.0670000000000002E-2</v>
      </c>
      <c r="C58" s="1">
        <v>6.0670000000000002E-2</v>
      </c>
      <c r="D58" s="2" t="s">
        <v>1121</v>
      </c>
      <c r="E58">
        <v>2</v>
      </c>
      <c r="F58" s="2" t="s">
        <v>2</v>
      </c>
      <c r="G58">
        <v>0</v>
      </c>
      <c r="H58">
        <v>5.5</v>
      </c>
      <c r="I58" s="2" t="s">
        <v>0</v>
      </c>
      <c r="J58">
        <v>1</v>
      </c>
      <c r="K58" s="2" t="s">
        <v>2</v>
      </c>
      <c r="L58">
        <v>0</v>
      </c>
      <c r="M58">
        <v>6.5</v>
      </c>
      <c r="N58" s="2" t="s">
        <v>1173</v>
      </c>
      <c r="O58" t="str">
        <f>D58&amp;"-"&amp;E58&amp;"-"&amp;F58&amp;"-"&amp;G58&amp;"-"&amp;H58</f>
        <v>A-2-e-0-5.5</v>
      </c>
      <c r="P58" t="str">
        <f>I58&amp;"-"&amp;J58&amp;"-"&amp;K58&amp;"-"&amp;L58&amp;"-"&amp;M58</f>
        <v>X-1-e-0-6.5</v>
      </c>
      <c r="Q58">
        <f>A58+R58</f>
        <v>13783.995627</v>
      </c>
      <c r="R58">
        <f>_xlfn.IFNA(VLOOKUP(P58,PGOPHER!A$2:G$181,7,FALSE),_xlfn.IFNA(VLOOKUP(P58,en!A$2:I$768,7,FALSE),-10000))</f>
        <v>152.73562699999999</v>
      </c>
      <c r="S58">
        <f>IF(O58=O57,Q57+S57,Q58)</f>
        <v>13783.995627</v>
      </c>
      <c r="T58">
        <f>IF(O58=O57,T57+1,1)</f>
        <v>1</v>
      </c>
      <c r="U58" t="str">
        <f>IF(O58=O59,"",S58/T58)</f>
        <v/>
      </c>
      <c r="V58" t="str">
        <f>IF(U58="","",IF(ABS(Q58-U58)&gt;V$1,"error",""))</f>
        <v/>
      </c>
    </row>
    <row r="59" spans="1:22" x14ac:dyDescent="0.55000000000000004">
      <c r="A59">
        <v>13711.26</v>
      </c>
      <c r="B59" s="1">
        <v>9.5490000000000005E-2</v>
      </c>
      <c r="C59" s="1">
        <v>9.5490000000000005E-2</v>
      </c>
      <c r="D59" s="2" t="s">
        <v>1121</v>
      </c>
      <c r="E59">
        <v>2</v>
      </c>
      <c r="F59" s="2" t="s">
        <v>2</v>
      </c>
      <c r="G59">
        <v>0</v>
      </c>
      <c r="H59">
        <v>5.5</v>
      </c>
      <c r="I59" s="2" t="s">
        <v>0</v>
      </c>
      <c r="J59">
        <v>1</v>
      </c>
      <c r="K59" s="2" t="s">
        <v>2</v>
      </c>
      <c r="L59">
        <v>0</v>
      </c>
      <c r="M59">
        <v>4.5</v>
      </c>
      <c r="N59" s="2" t="s">
        <v>1177</v>
      </c>
      <c r="O59" t="str">
        <f>D59&amp;"-"&amp;E59&amp;"-"&amp;F59&amp;"-"&amp;G59&amp;"-"&amp;H59</f>
        <v>A-2-e-0-5.5</v>
      </c>
      <c r="P59" t="str">
        <f>I59&amp;"-"&amp;J59&amp;"-"&amp;K59&amp;"-"&amp;L59&amp;"-"&amp;M59</f>
        <v>X-1-e-0-4.5</v>
      </c>
      <c r="Q59">
        <f>A59+R59</f>
        <v>13784.121504000001</v>
      </c>
      <c r="R59">
        <f>_xlfn.IFNA(VLOOKUP(P59,PGOPHER!A$2:G$181,7,FALSE),_xlfn.IFNA(VLOOKUP(P59,en!A$2:I$768,7,FALSE),-10000))</f>
        <v>72.861503999999996</v>
      </c>
      <c r="S59">
        <f>IF(O59=O58,Q58+S58,Q59)</f>
        <v>27567.991254</v>
      </c>
      <c r="T59">
        <f>IF(O59=O58,T58+1,1)</f>
        <v>2</v>
      </c>
      <c r="U59" t="str">
        <f>IF(O59=O60,"",S59/T59)</f>
        <v/>
      </c>
      <c r="V59" t="str">
        <f>IF(U59="","",IF(ABS(Q59-U59)&gt;V$1,"error",""))</f>
        <v/>
      </c>
    </row>
    <row r="60" spans="1:22" x14ac:dyDescent="0.55000000000000004">
      <c r="A60">
        <v>13632.1</v>
      </c>
      <c r="B60" s="1">
        <v>1.7690000000000001E-2</v>
      </c>
      <c r="C60" s="1">
        <v>1.7690000000000001E-2</v>
      </c>
      <c r="D60" s="2" t="s">
        <v>1121</v>
      </c>
      <c r="E60">
        <v>2</v>
      </c>
      <c r="F60" s="2" t="s">
        <v>2</v>
      </c>
      <c r="G60">
        <v>0</v>
      </c>
      <c r="H60">
        <v>5.5</v>
      </c>
      <c r="I60" s="2" t="s">
        <v>0</v>
      </c>
      <c r="J60">
        <v>2</v>
      </c>
      <c r="K60" s="2" t="s">
        <v>1</v>
      </c>
      <c r="L60">
        <v>0</v>
      </c>
      <c r="M60">
        <v>5.5</v>
      </c>
      <c r="N60" s="2" t="s">
        <v>1174</v>
      </c>
      <c r="O60" t="str">
        <f>D60&amp;"-"&amp;E60&amp;"-"&amp;F60&amp;"-"&amp;G60&amp;"-"&amp;H60</f>
        <v>A-2-e-0-5.5</v>
      </c>
      <c r="P60" t="str">
        <f>I60&amp;"-"&amp;J60&amp;"-"&amp;K60&amp;"-"&amp;L60&amp;"-"&amp;M60</f>
        <v>X-2-f-0-5.5</v>
      </c>
      <c r="Q60">
        <f>A60+R60</f>
        <v>13784.033565</v>
      </c>
      <c r="R60">
        <f>_xlfn.IFNA(VLOOKUP(P60,PGOPHER!A$2:G$181,7,FALSE),_xlfn.IFNA(VLOOKUP(P60,en!A$2:I$768,7,FALSE),-10000))</f>
        <v>151.93356499999999</v>
      </c>
      <c r="S60">
        <f>IF(O60=O59,Q59+S59,Q60)</f>
        <v>41352.112758000003</v>
      </c>
      <c r="T60">
        <f>IF(O60=O59,T59+1,1)</f>
        <v>3</v>
      </c>
      <c r="U60">
        <f>IF(O60=O61,"",S60/T60)</f>
        <v>13784.037586</v>
      </c>
      <c r="V60" t="str">
        <f>IF(U60="","",IF(ABS(Q60-U60)&gt;V$1,"error",""))</f>
        <v/>
      </c>
    </row>
    <row r="61" spans="1:22" x14ac:dyDescent="0.55000000000000004">
      <c r="A61">
        <v>13675.32</v>
      </c>
      <c r="B61" s="1">
        <v>7.6369999999999993E-2</v>
      </c>
      <c r="C61" s="1">
        <v>7.6369999999999993E-2</v>
      </c>
      <c r="D61" s="2" t="s">
        <v>1121</v>
      </c>
      <c r="E61">
        <v>2</v>
      </c>
      <c r="F61" s="2" t="s">
        <v>1</v>
      </c>
      <c r="G61">
        <v>0</v>
      </c>
      <c r="H61">
        <v>5.5</v>
      </c>
      <c r="I61" s="2" t="s">
        <v>0</v>
      </c>
      <c r="J61">
        <v>2</v>
      </c>
      <c r="K61" s="2" t="s">
        <v>1</v>
      </c>
      <c r="L61">
        <v>0</v>
      </c>
      <c r="M61">
        <v>4.5</v>
      </c>
      <c r="N61" s="2" t="s">
        <v>1176</v>
      </c>
      <c r="O61" t="str">
        <f>D61&amp;"-"&amp;E61&amp;"-"&amp;F61&amp;"-"&amp;G61&amp;"-"&amp;H61</f>
        <v>A-2-f-0-5.5</v>
      </c>
      <c r="P61" t="str">
        <f>I61&amp;"-"&amp;J61&amp;"-"&amp;K61&amp;"-"&amp;L61&amp;"-"&amp;M61</f>
        <v>X-2-f-0-4.5</v>
      </c>
      <c r="Q61">
        <f>A61+R61</f>
        <v>13783.831082000001</v>
      </c>
      <c r="R61">
        <f>_xlfn.IFNA(VLOOKUP(P61,PGOPHER!A$2:G$181,7,FALSE),_xlfn.IFNA(VLOOKUP(P61,en!A$2:I$768,7,FALSE),-10000))</f>
        <v>108.511082</v>
      </c>
      <c r="S61">
        <f>IF(O61=O60,Q60+S60,Q61)</f>
        <v>13783.831082000001</v>
      </c>
      <c r="T61">
        <f>IF(O61=O60,T60+1,1)</f>
        <v>1</v>
      </c>
      <c r="U61" t="str">
        <f>IF(O61=O62,"",S61/T61)</f>
        <v/>
      </c>
      <c r="V61" t="str">
        <f>IF(U61="","",IF(ABS(Q61-U61)&gt;V$1,"error",""))</f>
        <v/>
      </c>
    </row>
    <row r="62" spans="1:22" x14ac:dyDescent="0.55000000000000004">
      <c r="A62">
        <v>13674.57</v>
      </c>
      <c r="B62" s="1">
        <v>1.7860000000000001E-2</v>
      </c>
      <c r="C62" s="1">
        <v>1.7860000000000001E-2</v>
      </c>
      <c r="D62" s="2" t="s">
        <v>1121</v>
      </c>
      <c r="E62">
        <v>2</v>
      </c>
      <c r="F62" s="2" t="s">
        <v>1</v>
      </c>
      <c r="G62">
        <v>0</v>
      </c>
      <c r="H62">
        <v>5.5</v>
      </c>
      <c r="I62" s="2" t="s">
        <v>0</v>
      </c>
      <c r="J62">
        <v>1</v>
      </c>
      <c r="K62" s="2" t="s">
        <v>2</v>
      </c>
      <c r="L62">
        <v>0</v>
      </c>
      <c r="M62">
        <v>5.5</v>
      </c>
      <c r="N62" s="2" t="s">
        <v>1175</v>
      </c>
      <c r="O62" t="str">
        <f>D62&amp;"-"&amp;E62&amp;"-"&amp;F62&amp;"-"&amp;G62&amp;"-"&amp;H62</f>
        <v>A-2-f-0-5.5</v>
      </c>
      <c r="P62" t="str">
        <f>I62&amp;"-"&amp;J62&amp;"-"&amp;K62&amp;"-"&amp;L62&amp;"-"&amp;M62</f>
        <v>X-1-e-0-5.5</v>
      </c>
      <c r="Q62">
        <f>A62+R62</f>
        <v>13783.760174999999</v>
      </c>
      <c r="R62">
        <f>_xlfn.IFNA(VLOOKUP(P62,PGOPHER!A$2:G$181,7,FALSE),_xlfn.IFNA(VLOOKUP(P62,en!A$2:I$768,7,FALSE),-10000))</f>
        <v>109.190175</v>
      </c>
      <c r="S62">
        <f>IF(O62=O61,Q61+S61,Q62)</f>
        <v>27567.662164000001</v>
      </c>
      <c r="T62">
        <f>IF(O62=O61,T61+1,1)</f>
        <v>2</v>
      </c>
      <c r="U62" t="str">
        <f>IF(O62=O63,"",S62/T62)</f>
        <v/>
      </c>
      <c r="V62" t="str">
        <f>IF(U62="","",IF(ABS(Q62-U62)&gt;V$1,"error",""))</f>
        <v/>
      </c>
    </row>
    <row r="63" spans="1:22" x14ac:dyDescent="0.55000000000000004">
      <c r="A63">
        <v>13581.18</v>
      </c>
      <c r="B63" s="1">
        <v>4.3720000000000002E-2</v>
      </c>
      <c r="C63" s="1">
        <v>4.3720000000000002E-2</v>
      </c>
      <c r="D63" s="2" t="s">
        <v>1121</v>
      </c>
      <c r="E63">
        <v>2</v>
      </c>
      <c r="F63" s="2" t="s">
        <v>1</v>
      </c>
      <c r="G63">
        <v>0</v>
      </c>
      <c r="H63">
        <v>5.5</v>
      </c>
      <c r="I63" s="2" t="s">
        <v>0</v>
      </c>
      <c r="J63">
        <v>2</v>
      </c>
      <c r="K63" s="2" t="s">
        <v>1</v>
      </c>
      <c r="L63">
        <v>0</v>
      </c>
      <c r="M63">
        <v>6.5</v>
      </c>
      <c r="N63" s="2" t="s">
        <v>1172</v>
      </c>
      <c r="O63" t="str">
        <f>D63&amp;"-"&amp;E63&amp;"-"&amp;F63&amp;"-"&amp;G63&amp;"-"&amp;H63</f>
        <v>A-2-f-0-5.5</v>
      </c>
      <c r="P63" t="str">
        <f>I63&amp;"-"&amp;J63&amp;"-"&amp;K63&amp;"-"&amp;L63&amp;"-"&amp;M63</f>
        <v>X-2-f-0-6.5</v>
      </c>
      <c r="Q63">
        <f>A63+R63</f>
        <v>13783.735611</v>
      </c>
      <c r="R63">
        <f>_xlfn.IFNA(VLOOKUP(P63,PGOPHER!A$2:G$181,7,FALSE),_xlfn.IFNA(VLOOKUP(P63,en!A$2:I$768,7,FALSE),-10000))</f>
        <v>202.555611</v>
      </c>
      <c r="S63">
        <f>IF(O63=O62,Q62+S62,Q63)</f>
        <v>41351.422338999997</v>
      </c>
      <c r="T63">
        <f>IF(O63=O62,T62+1,1)</f>
        <v>3</v>
      </c>
      <c r="U63">
        <f>IF(O63=O64,"",S63/T63)</f>
        <v>13783.807446333332</v>
      </c>
      <c r="V63" t="str">
        <f>IF(U63="","",IF(ABS(Q63-U63)&gt;V$1,"error",""))</f>
        <v/>
      </c>
    </row>
    <row r="64" spans="1:22" x14ac:dyDescent="0.55000000000000004">
      <c r="A64">
        <v>13349.1</v>
      </c>
      <c r="B64" s="1">
        <v>4.6330000000000003E-2</v>
      </c>
      <c r="C64" s="1">
        <v>4.6330000000000003E-2</v>
      </c>
      <c r="D64" s="2" t="s">
        <v>1121</v>
      </c>
      <c r="E64">
        <v>1</v>
      </c>
      <c r="F64" s="2" t="s">
        <v>2</v>
      </c>
      <c r="G64">
        <v>0</v>
      </c>
      <c r="H64">
        <v>6.5</v>
      </c>
      <c r="I64" s="2" t="s">
        <v>0</v>
      </c>
      <c r="J64">
        <v>1</v>
      </c>
      <c r="K64" s="2" t="s">
        <v>2</v>
      </c>
      <c r="L64">
        <v>0</v>
      </c>
      <c r="M64">
        <v>7.5</v>
      </c>
      <c r="N64" s="2" t="s">
        <v>1191</v>
      </c>
      <c r="O64" t="str">
        <f>D64&amp;"-"&amp;E64&amp;"-"&amp;F64&amp;"-"&amp;G64&amp;"-"&amp;H64</f>
        <v>A-1-e-0-6.5</v>
      </c>
      <c r="P64" t="str">
        <f>I64&amp;"-"&amp;J64&amp;"-"&amp;K64&amp;"-"&amp;L64&amp;"-"&amp;M64</f>
        <v>X-1-e-0-7.5</v>
      </c>
      <c r="Q64">
        <f>A64+R64</f>
        <v>13552.579523</v>
      </c>
      <c r="R64">
        <f>_xlfn.IFNA(VLOOKUP(P64,PGOPHER!A$2:G$181,7,FALSE),_xlfn.IFNA(VLOOKUP(P64,en!A$2:I$768,7,FALSE),-10000))</f>
        <v>203.479523</v>
      </c>
      <c r="S64">
        <f>IF(O64=O63,Q63+S63,Q64)</f>
        <v>13552.579523</v>
      </c>
      <c r="T64">
        <f>IF(O64=O63,T63+1,1)</f>
        <v>1</v>
      </c>
      <c r="U64" t="str">
        <f>IF(O64=O65,"",S64/T64)</f>
        <v/>
      </c>
      <c r="V64" t="str">
        <f>IF(U64="","",IF(ABS(Q64-U64)&gt;V$1,"error",""))</f>
        <v/>
      </c>
    </row>
    <row r="65" spans="1:22" x14ac:dyDescent="0.55000000000000004">
      <c r="A65">
        <v>13443.47</v>
      </c>
      <c r="B65" s="1">
        <v>4.1590000000000002E-2</v>
      </c>
      <c r="C65" s="1">
        <v>4.1590000000000002E-2</v>
      </c>
      <c r="D65" s="2" t="s">
        <v>1121</v>
      </c>
      <c r="E65">
        <v>1</v>
      </c>
      <c r="F65" s="2" t="s">
        <v>2</v>
      </c>
      <c r="G65">
        <v>0</v>
      </c>
      <c r="H65">
        <v>6.5</v>
      </c>
      <c r="I65" s="2" t="s">
        <v>0</v>
      </c>
      <c r="J65">
        <v>1</v>
      </c>
      <c r="K65" s="2" t="s">
        <v>2</v>
      </c>
      <c r="L65">
        <v>0</v>
      </c>
      <c r="M65">
        <v>5.5</v>
      </c>
      <c r="N65" s="2" t="s">
        <v>1195</v>
      </c>
      <c r="O65" t="str">
        <f>D65&amp;"-"&amp;E65&amp;"-"&amp;F65&amp;"-"&amp;G65&amp;"-"&amp;H65</f>
        <v>A-1-e-0-6.5</v>
      </c>
      <c r="P65" t="str">
        <f>I65&amp;"-"&amp;J65&amp;"-"&amp;K65&amp;"-"&amp;L65&amp;"-"&amp;M65</f>
        <v>X-1-e-0-5.5</v>
      </c>
      <c r="Q65">
        <f>A65+R65</f>
        <v>13552.660174999999</v>
      </c>
      <c r="R65">
        <f>_xlfn.IFNA(VLOOKUP(P65,PGOPHER!A$2:G$181,7,FALSE),_xlfn.IFNA(VLOOKUP(P65,en!A$2:I$768,7,FALSE),-10000))</f>
        <v>109.190175</v>
      </c>
      <c r="S65">
        <f>IF(O65=O64,Q64+S64,Q65)</f>
        <v>27105.159046000001</v>
      </c>
      <c r="T65">
        <f>IF(O65=O64,T64+1,1)</f>
        <v>2</v>
      </c>
      <c r="U65" t="str">
        <f>IF(O65=O66,"",S65/T65)</f>
        <v/>
      </c>
      <c r="V65" t="str">
        <f>IF(U65="","",IF(ABS(Q65-U65)&gt;V$1,"error",""))</f>
        <v/>
      </c>
    </row>
    <row r="66" spans="1:22" x14ac:dyDescent="0.55000000000000004">
      <c r="A66">
        <v>13350.07</v>
      </c>
      <c r="B66" s="1">
        <v>0.01</v>
      </c>
      <c r="C66" s="1">
        <v>0.01</v>
      </c>
      <c r="D66" s="2" t="s">
        <v>1121</v>
      </c>
      <c r="E66">
        <v>1</v>
      </c>
      <c r="F66" s="2" t="s">
        <v>2</v>
      </c>
      <c r="G66">
        <v>0</v>
      </c>
      <c r="H66">
        <v>6.5</v>
      </c>
      <c r="I66" s="2" t="s">
        <v>0</v>
      </c>
      <c r="J66">
        <v>2</v>
      </c>
      <c r="K66" s="2" t="s">
        <v>1</v>
      </c>
      <c r="L66">
        <v>0</v>
      </c>
      <c r="M66">
        <v>6.5</v>
      </c>
      <c r="N66" s="2" t="s">
        <v>1192</v>
      </c>
      <c r="O66" t="str">
        <f>D66&amp;"-"&amp;E66&amp;"-"&amp;F66&amp;"-"&amp;G66&amp;"-"&amp;H66</f>
        <v>A-1-e-0-6.5</v>
      </c>
      <c r="P66" t="str">
        <f>I66&amp;"-"&amp;J66&amp;"-"&amp;K66&amp;"-"&amp;L66&amp;"-"&amp;M66</f>
        <v>X-2-f-0-6.5</v>
      </c>
      <c r="Q66">
        <f>A66+R66</f>
        <v>13552.625610999999</v>
      </c>
      <c r="R66">
        <f>_xlfn.IFNA(VLOOKUP(P66,PGOPHER!A$2:G$181,7,FALSE),_xlfn.IFNA(VLOOKUP(P66,en!A$2:I$768,7,FALSE),-10000))</f>
        <v>202.555611</v>
      </c>
      <c r="S66">
        <f>IF(O66=O65,Q65+S65,Q66)</f>
        <v>40657.819220999998</v>
      </c>
      <c r="T66">
        <f>IF(O66=O65,T65+1,1)</f>
        <v>3</v>
      </c>
      <c r="U66">
        <f>IF(O66=O67,"",S66/T66)</f>
        <v>13552.606406999999</v>
      </c>
      <c r="V66" t="str">
        <f>IF(U66="","",IF(ABS(Q66-U66)&gt;V$1,"error",""))</f>
        <v/>
      </c>
    </row>
    <row r="67" spans="1:22" x14ac:dyDescent="0.55000000000000004">
      <c r="A67">
        <v>13373.03</v>
      </c>
      <c r="B67" s="1">
        <v>6.3490000000000005E-2</v>
      </c>
      <c r="C67" s="1">
        <v>6.3490000000000005E-2</v>
      </c>
      <c r="D67" s="2" t="s">
        <v>1121</v>
      </c>
      <c r="E67">
        <v>1</v>
      </c>
      <c r="F67" s="2" t="s">
        <v>1</v>
      </c>
      <c r="G67">
        <v>0</v>
      </c>
      <c r="H67">
        <v>6.5</v>
      </c>
      <c r="I67" s="2" t="s">
        <v>0</v>
      </c>
      <c r="J67">
        <v>2</v>
      </c>
      <c r="K67" s="2" t="s">
        <v>1</v>
      </c>
      <c r="L67">
        <v>0</v>
      </c>
      <c r="M67">
        <v>5.5</v>
      </c>
      <c r="N67" s="2" t="s">
        <v>1194</v>
      </c>
      <c r="O67" t="str">
        <f>D67&amp;"-"&amp;E67&amp;"-"&amp;F67&amp;"-"&amp;G67&amp;"-"&amp;H67</f>
        <v>A-1-f-0-6.5</v>
      </c>
      <c r="P67" t="str">
        <f>I67&amp;"-"&amp;J67&amp;"-"&amp;K67&amp;"-"&amp;L67&amp;"-"&amp;M67</f>
        <v>X-2-f-0-5.5</v>
      </c>
      <c r="Q67">
        <f>A67+R67</f>
        <v>13524.963565</v>
      </c>
      <c r="R67">
        <f>_xlfn.IFNA(VLOOKUP(P67,PGOPHER!A$2:G$181,7,FALSE),_xlfn.IFNA(VLOOKUP(P67,en!A$2:I$768,7,FALSE),-10000))</f>
        <v>151.93356499999999</v>
      </c>
      <c r="S67">
        <f>IF(O67=O66,Q66+S66,Q67)</f>
        <v>13524.963565</v>
      </c>
      <c r="T67">
        <f>IF(O67=O66,T66+1,1)</f>
        <v>1</v>
      </c>
      <c r="U67" t="str">
        <f>IF(O67=O68,"",S67/T67)</f>
        <v/>
      </c>
      <c r="V67" t="str">
        <f>IF(U67="","",IF(ABS(Q67-U67)&gt;V$1,"error",""))</f>
        <v/>
      </c>
    </row>
    <row r="68" spans="1:22" x14ac:dyDescent="0.55000000000000004">
      <c r="A68">
        <v>13372.17</v>
      </c>
      <c r="B68" s="1">
        <v>0.01</v>
      </c>
      <c r="C68" s="1">
        <v>0.01</v>
      </c>
      <c r="D68" s="2" t="s">
        <v>1121</v>
      </c>
      <c r="E68">
        <v>1</v>
      </c>
      <c r="F68" s="2" t="s">
        <v>1</v>
      </c>
      <c r="G68">
        <v>0</v>
      </c>
      <c r="H68">
        <v>6.5</v>
      </c>
      <c r="I68" s="2" t="s">
        <v>0</v>
      </c>
      <c r="J68">
        <v>1</v>
      </c>
      <c r="K68" s="2" t="s">
        <v>2</v>
      </c>
      <c r="L68">
        <v>0</v>
      </c>
      <c r="M68">
        <v>6.5</v>
      </c>
      <c r="N68" s="2" t="s">
        <v>1193</v>
      </c>
      <c r="O68" t="str">
        <f>D68&amp;"-"&amp;E68&amp;"-"&amp;F68&amp;"-"&amp;G68&amp;"-"&amp;H68</f>
        <v>A-1-f-0-6.5</v>
      </c>
      <c r="P68" t="str">
        <f>I68&amp;"-"&amp;J68&amp;"-"&amp;K68&amp;"-"&amp;L68&amp;"-"&amp;M68</f>
        <v>X-1-e-0-6.5</v>
      </c>
      <c r="Q68">
        <f>A68+R68</f>
        <v>13524.905627</v>
      </c>
      <c r="R68">
        <f>_xlfn.IFNA(VLOOKUP(P68,PGOPHER!A$2:G$181,7,FALSE),_xlfn.IFNA(VLOOKUP(P68,en!A$2:I$768,7,FALSE),-10000))</f>
        <v>152.73562699999999</v>
      </c>
      <c r="S68">
        <f>IF(O68=O67,Q67+S67,Q68)</f>
        <v>27049.92713</v>
      </c>
      <c r="T68">
        <f>IF(O68=O67,T67+1,1)</f>
        <v>2</v>
      </c>
      <c r="U68" t="str">
        <f>IF(O68=O69,"",S68/T68)</f>
        <v/>
      </c>
      <c r="V68" t="str">
        <f>IF(U68="","",IF(ABS(Q68-U68)&gt;V$1,"error",""))</f>
        <v/>
      </c>
    </row>
    <row r="69" spans="1:22" x14ac:dyDescent="0.55000000000000004">
      <c r="A69">
        <v>13264.52</v>
      </c>
      <c r="B69" s="1">
        <v>4.5170000000000002E-2</v>
      </c>
      <c r="C69" s="1">
        <v>4.5170000000000002E-2</v>
      </c>
      <c r="D69" s="2" t="s">
        <v>1121</v>
      </c>
      <c r="E69">
        <v>1</v>
      </c>
      <c r="F69" s="2" t="s">
        <v>1</v>
      </c>
      <c r="G69">
        <v>0</v>
      </c>
      <c r="H69">
        <v>6.5</v>
      </c>
      <c r="I69" s="2" t="s">
        <v>0</v>
      </c>
      <c r="J69">
        <v>2</v>
      </c>
      <c r="K69" s="2" t="s">
        <v>1</v>
      </c>
      <c r="L69">
        <v>0</v>
      </c>
      <c r="M69">
        <v>7.5</v>
      </c>
      <c r="N69" s="2" t="s">
        <v>1190</v>
      </c>
      <c r="O69" t="str">
        <f>D69&amp;"-"&amp;E69&amp;"-"&amp;F69&amp;"-"&amp;G69&amp;"-"&amp;H69</f>
        <v>A-1-f-0-6.5</v>
      </c>
      <c r="P69" t="str">
        <f>I69&amp;"-"&amp;J69&amp;"-"&amp;K69&amp;"-"&amp;L69&amp;"-"&amp;M69</f>
        <v>X-2-f-0-7.5</v>
      </c>
      <c r="Q69">
        <f>A69+R69</f>
        <v>13524.872131</v>
      </c>
      <c r="R69">
        <f>_xlfn.IFNA(VLOOKUP(P69,PGOPHER!A$2:G$181,7,FALSE),_xlfn.IFNA(VLOOKUP(P69,en!A$2:I$768,7,FALSE),-10000))</f>
        <v>260.35213099999999</v>
      </c>
      <c r="S69">
        <f>IF(O69=O68,Q68+S68,Q69)</f>
        <v>40574.832756999996</v>
      </c>
      <c r="T69">
        <f>IF(O69=O68,T68+1,1)</f>
        <v>3</v>
      </c>
      <c r="U69">
        <f>IF(O69=O70,"",S69/T69)</f>
        <v>13524.944252333333</v>
      </c>
      <c r="V69" t="str">
        <f>IF(U69="","",IF(ABS(Q69-U69)&gt;V$1,"error",""))</f>
        <v/>
      </c>
    </row>
    <row r="70" spans="1:22" x14ac:dyDescent="0.55000000000000004">
      <c r="A70">
        <v>13628.2</v>
      </c>
      <c r="B70" s="1">
        <v>5.3699999999999998E-2</v>
      </c>
      <c r="C70" s="1">
        <v>5.3699999999999998E-2</v>
      </c>
      <c r="D70" s="2" t="s">
        <v>1121</v>
      </c>
      <c r="E70">
        <v>2</v>
      </c>
      <c r="F70" s="2" t="s">
        <v>2</v>
      </c>
      <c r="G70">
        <v>0</v>
      </c>
      <c r="H70">
        <v>6.5</v>
      </c>
      <c r="I70" s="2" t="s">
        <v>0</v>
      </c>
      <c r="J70">
        <v>1</v>
      </c>
      <c r="K70" s="2" t="s">
        <v>2</v>
      </c>
      <c r="L70">
        <v>0</v>
      </c>
      <c r="M70">
        <v>7.5</v>
      </c>
      <c r="N70" s="2" t="s">
        <v>1185</v>
      </c>
      <c r="O70" t="str">
        <f>D70&amp;"-"&amp;E70&amp;"-"&amp;F70&amp;"-"&amp;G70&amp;"-"&amp;H70</f>
        <v>A-2-e-0-6.5</v>
      </c>
      <c r="P70" t="str">
        <f>I70&amp;"-"&amp;J70&amp;"-"&amp;K70&amp;"-"&amp;L70&amp;"-"&amp;M70</f>
        <v>X-1-e-0-7.5</v>
      </c>
      <c r="Q70">
        <f>A70+R70</f>
        <v>13831.679523000001</v>
      </c>
      <c r="R70">
        <f>_xlfn.IFNA(VLOOKUP(P70,PGOPHER!A$2:G$181,7,FALSE),_xlfn.IFNA(VLOOKUP(P70,en!A$2:I$768,7,FALSE),-10000))</f>
        <v>203.479523</v>
      </c>
      <c r="S70">
        <f>IF(O70=O69,Q69+S69,Q70)</f>
        <v>13831.679523000001</v>
      </c>
      <c r="T70">
        <f>IF(O70=O69,T69+1,1)</f>
        <v>1</v>
      </c>
      <c r="U70" t="str">
        <f>IF(O70=O71,"",S70/T70)</f>
        <v/>
      </c>
      <c r="V70" t="str">
        <f>IF(U70="","",IF(ABS(Q70-U70)&gt;V$1,"error",""))</f>
        <v/>
      </c>
    </row>
    <row r="71" spans="1:22" x14ac:dyDescent="0.55000000000000004">
      <c r="A71">
        <v>13722.67</v>
      </c>
      <c r="B71" s="1">
        <v>0.15509999999999999</v>
      </c>
      <c r="C71" s="1">
        <v>0.15509999999999999</v>
      </c>
      <c r="D71" s="2" t="s">
        <v>1121</v>
      </c>
      <c r="E71">
        <v>2</v>
      </c>
      <c r="F71" s="2" t="s">
        <v>2</v>
      </c>
      <c r="G71">
        <v>0</v>
      </c>
      <c r="H71">
        <v>6.5</v>
      </c>
      <c r="I71" s="2" t="s">
        <v>0</v>
      </c>
      <c r="J71">
        <v>1</v>
      </c>
      <c r="K71" s="2" t="s">
        <v>2</v>
      </c>
      <c r="L71">
        <v>0</v>
      </c>
      <c r="M71">
        <v>5.5</v>
      </c>
      <c r="N71" s="2" t="s">
        <v>1189</v>
      </c>
      <c r="O71" t="str">
        <f>D71&amp;"-"&amp;E71&amp;"-"&amp;F71&amp;"-"&amp;G71&amp;"-"&amp;H71</f>
        <v>A-2-e-0-6.5</v>
      </c>
      <c r="P71" t="str">
        <f>I71&amp;"-"&amp;J71&amp;"-"&amp;K71&amp;"-"&amp;L71&amp;"-"&amp;M71</f>
        <v>X-1-e-0-5.5</v>
      </c>
      <c r="Q71">
        <f>A71+R71</f>
        <v>13831.860175</v>
      </c>
      <c r="R71">
        <f>_xlfn.IFNA(VLOOKUP(P71,PGOPHER!A$2:G$181,7,FALSE),_xlfn.IFNA(VLOOKUP(P71,en!A$2:I$768,7,FALSE),-10000))</f>
        <v>109.190175</v>
      </c>
      <c r="S71">
        <f>IF(O71=O70,Q70+S70,Q71)</f>
        <v>27663.359046000001</v>
      </c>
      <c r="T71">
        <f>IF(O71=O70,T70+1,1)</f>
        <v>2</v>
      </c>
      <c r="U71" t="str">
        <f>IF(O71=O72,"",S71/T71)</f>
        <v/>
      </c>
      <c r="V71" t="str">
        <f>IF(U71="","",IF(ABS(Q71-U71)&gt;V$1,"error",""))</f>
        <v/>
      </c>
    </row>
    <row r="72" spans="1:22" x14ac:dyDescent="0.55000000000000004">
      <c r="A72">
        <v>13629.2</v>
      </c>
      <c r="B72" s="1">
        <v>4.1709999999999997E-2</v>
      </c>
      <c r="C72" s="1">
        <v>4.1709999999999997E-2</v>
      </c>
      <c r="D72" s="2" t="s">
        <v>1121</v>
      </c>
      <c r="E72">
        <v>2</v>
      </c>
      <c r="F72" s="2" t="s">
        <v>2</v>
      </c>
      <c r="G72">
        <v>0</v>
      </c>
      <c r="H72">
        <v>6.5</v>
      </c>
      <c r="I72" s="2" t="s">
        <v>0</v>
      </c>
      <c r="J72">
        <v>2</v>
      </c>
      <c r="K72" s="2" t="s">
        <v>1</v>
      </c>
      <c r="L72">
        <v>0</v>
      </c>
      <c r="M72">
        <v>6.5</v>
      </c>
      <c r="N72" s="2" t="s">
        <v>1186</v>
      </c>
      <c r="O72" t="str">
        <f>D72&amp;"-"&amp;E72&amp;"-"&amp;F72&amp;"-"&amp;G72&amp;"-"&amp;H72</f>
        <v>A-2-e-0-6.5</v>
      </c>
      <c r="P72" t="str">
        <f>I72&amp;"-"&amp;J72&amp;"-"&amp;K72&amp;"-"&amp;L72&amp;"-"&amp;M72</f>
        <v>X-2-f-0-6.5</v>
      </c>
      <c r="Q72">
        <f>A72+R72</f>
        <v>13831.755611</v>
      </c>
      <c r="R72">
        <f>_xlfn.IFNA(VLOOKUP(P72,PGOPHER!A$2:G$181,7,FALSE),_xlfn.IFNA(VLOOKUP(P72,en!A$2:I$768,7,FALSE),-10000))</f>
        <v>202.555611</v>
      </c>
      <c r="S72">
        <f>IF(O72=O71,Q71+S71,Q72)</f>
        <v>41495.219220999999</v>
      </c>
      <c r="T72">
        <f>IF(O72=O71,T71+1,1)</f>
        <v>3</v>
      </c>
      <c r="U72">
        <f>IF(O72=O73,"",S72/T72)</f>
        <v>13831.739740333333</v>
      </c>
      <c r="V72" t="str">
        <f>IF(U72="","",IF(ABS(Q72-U72)&gt;V$1,"error",""))</f>
        <v/>
      </c>
    </row>
    <row r="73" spans="1:22" x14ac:dyDescent="0.55000000000000004">
      <c r="A73">
        <v>13679.52</v>
      </c>
      <c r="B73" s="1">
        <v>4.0410000000000001E-2</v>
      </c>
      <c r="C73" s="1">
        <v>4.0410000000000001E-2</v>
      </c>
      <c r="D73" s="2" t="s">
        <v>1121</v>
      </c>
      <c r="E73">
        <v>2</v>
      </c>
      <c r="F73" s="2" t="s">
        <v>1</v>
      </c>
      <c r="G73">
        <v>0</v>
      </c>
      <c r="H73">
        <v>6.5</v>
      </c>
      <c r="I73" s="2" t="s">
        <v>0</v>
      </c>
      <c r="J73">
        <v>2</v>
      </c>
      <c r="K73" s="2" t="s">
        <v>1</v>
      </c>
      <c r="L73">
        <v>0</v>
      </c>
      <c r="M73">
        <v>5.5</v>
      </c>
      <c r="N73" s="2" t="s">
        <v>1188</v>
      </c>
      <c r="O73" t="str">
        <f>D73&amp;"-"&amp;E73&amp;"-"&amp;F73&amp;"-"&amp;G73&amp;"-"&amp;H73</f>
        <v>A-2-f-0-6.5</v>
      </c>
      <c r="P73" t="str">
        <f>I73&amp;"-"&amp;J73&amp;"-"&amp;K73&amp;"-"&amp;L73&amp;"-"&amp;M73</f>
        <v>X-2-f-0-5.5</v>
      </c>
      <c r="Q73">
        <f>A73+R73</f>
        <v>13831.453565</v>
      </c>
      <c r="R73">
        <f>_xlfn.IFNA(VLOOKUP(P73,PGOPHER!A$2:G$181,7,FALSE),_xlfn.IFNA(VLOOKUP(P73,en!A$2:I$768,7,FALSE),-10000))</f>
        <v>151.93356499999999</v>
      </c>
      <c r="S73">
        <f>IF(O73=O72,Q72+S72,Q73)</f>
        <v>13831.453565</v>
      </c>
      <c r="T73">
        <f>IF(O73=O72,T72+1,1)</f>
        <v>1</v>
      </c>
      <c r="U73" t="str">
        <f>IF(O73=O74,"",S73/T73)</f>
        <v/>
      </c>
      <c r="V73" t="str">
        <f>IF(U73="","",IF(ABS(Q73-U73)&gt;V$1,"error",""))</f>
        <v/>
      </c>
    </row>
    <row r="74" spans="1:22" x14ac:dyDescent="0.55000000000000004">
      <c r="A74">
        <v>13678.73</v>
      </c>
      <c r="B74" s="1">
        <v>5.2429999999999997E-2</v>
      </c>
      <c r="C74" s="1">
        <v>5.2429999999999997E-2</v>
      </c>
      <c r="D74" s="2" t="s">
        <v>1121</v>
      </c>
      <c r="E74">
        <v>2</v>
      </c>
      <c r="F74" s="2" t="s">
        <v>1</v>
      </c>
      <c r="G74">
        <v>0</v>
      </c>
      <c r="H74">
        <v>6.5</v>
      </c>
      <c r="I74" s="2" t="s">
        <v>0</v>
      </c>
      <c r="J74">
        <v>1</v>
      </c>
      <c r="K74" s="2" t="s">
        <v>2</v>
      </c>
      <c r="L74">
        <v>0</v>
      </c>
      <c r="M74">
        <v>6.5</v>
      </c>
      <c r="N74" s="2" t="s">
        <v>1187</v>
      </c>
      <c r="O74" t="str">
        <f>D74&amp;"-"&amp;E74&amp;"-"&amp;F74&amp;"-"&amp;G74&amp;"-"&amp;H74</f>
        <v>A-2-f-0-6.5</v>
      </c>
      <c r="P74" t="str">
        <f>I74&amp;"-"&amp;J74&amp;"-"&amp;K74&amp;"-"&amp;L74&amp;"-"&amp;M74</f>
        <v>X-1-e-0-6.5</v>
      </c>
      <c r="Q74">
        <f>A74+R74</f>
        <v>13831.465627</v>
      </c>
      <c r="R74">
        <f>_xlfn.IFNA(VLOOKUP(P74,PGOPHER!A$2:G$181,7,FALSE),_xlfn.IFNA(VLOOKUP(P74,en!A$2:I$768,7,FALSE),-10000))</f>
        <v>152.73562699999999</v>
      </c>
      <c r="S74">
        <f>IF(O74=O73,Q73+S73,Q74)</f>
        <v>27662.90713</v>
      </c>
      <c r="T74">
        <f>IF(O74=O73,T73+1,1)</f>
        <v>2</v>
      </c>
      <c r="U74" t="str">
        <f>IF(O74=O75,"",S74/T74)</f>
        <v/>
      </c>
      <c r="V74" t="str">
        <f>IF(U74="","",IF(ABS(Q74-U74)&gt;V$1,"error",""))</f>
        <v/>
      </c>
    </row>
    <row r="75" spans="1:22" x14ac:dyDescent="0.55000000000000004">
      <c r="A75">
        <v>13570.98</v>
      </c>
      <c r="B75" s="1">
        <v>0.12379999999999999</v>
      </c>
      <c r="C75" s="1">
        <v>0.12379999999999999</v>
      </c>
      <c r="D75" s="2" t="s">
        <v>1121</v>
      </c>
      <c r="E75">
        <v>2</v>
      </c>
      <c r="F75" s="2" t="s">
        <v>1</v>
      </c>
      <c r="G75">
        <v>0</v>
      </c>
      <c r="H75">
        <v>6.5</v>
      </c>
      <c r="I75" s="2" t="s">
        <v>0</v>
      </c>
      <c r="J75">
        <v>2</v>
      </c>
      <c r="K75" s="2" t="s">
        <v>1</v>
      </c>
      <c r="L75">
        <v>0</v>
      </c>
      <c r="M75">
        <v>7.5</v>
      </c>
      <c r="N75" s="2" t="s">
        <v>1184</v>
      </c>
      <c r="O75" t="str">
        <f>D75&amp;"-"&amp;E75&amp;"-"&amp;F75&amp;"-"&amp;G75&amp;"-"&amp;H75</f>
        <v>A-2-f-0-6.5</v>
      </c>
      <c r="P75" t="str">
        <f>I75&amp;"-"&amp;J75&amp;"-"&amp;K75&amp;"-"&amp;L75&amp;"-"&amp;M75</f>
        <v>X-2-f-0-7.5</v>
      </c>
      <c r="Q75">
        <f>A75+R75</f>
        <v>13831.332130999999</v>
      </c>
      <c r="R75">
        <f>_xlfn.IFNA(VLOOKUP(P75,PGOPHER!A$2:G$181,7,FALSE),_xlfn.IFNA(VLOOKUP(P75,en!A$2:I$768,7,FALSE),-10000))</f>
        <v>260.35213099999999</v>
      </c>
      <c r="S75">
        <f>IF(O75=O74,Q74+S74,Q75)</f>
        <v>41494.372756999997</v>
      </c>
      <c r="T75">
        <f>IF(O75=O74,T74+1,1)</f>
        <v>3</v>
      </c>
      <c r="U75">
        <f>IF(O75=O76,"",S75/T75)</f>
        <v>13831.457585666665</v>
      </c>
      <c r="V75" t="str">
        <f>IF(U75="","",IF(ABS(Q75-U75)&gt;V$1,"error",""))</f>
        <v/>
      </c>
    </row>
    <row r="76" spans="1:22" x14ac:dyDescent="0.55000000000000004">
      <c r="A76">
        <v>13347.85</v>
      </c>
      <c r="B76" s="1">
        <v>4.4659999999999998E-2</v>
      </c>
      <c r="C76" s="1">
        <v>4.4659999999999998E-2</v>
      </c>
      <c r="D76" s="2" t="s">
        <v>1121</v>
      </c>
      <c r="E76">
        <v>1</v>
      </c>
      <c r="F76" s="2" t="s">
        <v>2</v>
      </c>
      <c r="G76">
        <v>0</v>
      </c>
      <c r="H76">
        <v>7.5</v>
      </c>
      <c r="I76" s="2" t="s">
        <v>0</v>
      </c>
      <c r="J76">
        <v>1</v>
      </c>
      <c r="K76" s="2" t="s">
        <v>2</v>
      </c>
      <c r="L76">
        <v>0</v>
      </c>
      <c r="M76">
        <v>8.5</v>
      </c>
      <c r="N76" s="2" t="s">
        <v>1203</v>
      </c>
      <c r="O76" t="str">
        <f>D76&amp;"-"&amp;E76&amp;"-"&amp;F76&amp;"-"&amp;G76&amp;"-"&amp;H76</f>
        <v>A-1-e-0-7.5</v>
      </c>
      <c r="P76" t="str">
        <f>I76&amp;"-"&amp;J76&amp;"-"&amp;K76&amp;"-"&amp;L76&amp;"-"&amp;M76</f>
        <v>X-1-e-0-8.5</v>
      </c>
      <c r="Q76">
        <f>A76+R76</f>
        <v>13609.248057000001</v>
      </c>
      <c r="R76">
        <f>_xlfn.IFNA(VLOOKUP(P76,PGOPHER!A$2:G$181,7,FALSE),_xlfn.IFNA(VLOOKUP(P76,en!A$2:I$768,7,FALSE),-10000))</f>
        <v>261.39805699999999</v>
      </c>
      <c r="S76">
        <f>IF(O76=O75,Q75+S75,Q76)</f>
        <v>13609.248057000001</v>
      </c>
      <c r="T76">
        <f>IF(O76=O75,T75+1,1)</f>
        <v>1</v>
      </c>
      <c r="U76" t="str">
        <f>IF(O76=O77,"",S76/T76)</f>
        <v/>
      </c>
      <c r="V76" t="str">
        <f>IF(U76="","",IF(ABS(Q76-U76)&gt;V$1,"error",""))</f>
        <v/>
      </c>
    </row>
    <row r="77" spans="1:22" x14ac:dyDescent="0.55000000000000004">
      <c r="A77">
        <v>13456.56</v>
      </c>
      <c r="B77" s="1">
        <v>1.8089999999999998E-2</v>
      </c>
      <c r="C77" s="1">
        <v>1.8089999999999998E-2</v>
      </c>
      <c r="D77" s="2" t="s">
        <v>1121</v>
      </c>
      <c r="E77">
        <v>1</v>
      </c>
      <c r="F77" s="2" t="s">
        <v>2</v>
      </c>
      <c r="G77">
        <v>0</v>
      </c>
      <c r="H77">
        <v>7.5</v>
      </c>
      <c r="I77" s="2" t="s">
        <v>0</v>
      </c>
      <c r="J77">
        <v>1</v>
      </c>
      <c r="K77" s="2" t="s">
        <v>2</v>
      </c>
      <c r="L77">
        <v>0</v>
      </c>
      <c r="M77">
        <v>6.5</v>
      </c>
      <c r="N77" s="2" t="s">
        <v>1207</v>
      </c>
      <c r="O77" t="str">
        <f>D77&amp;"-"&amp;E77&amp;"-"&amp;F77&amp;"-"&amp;G77&amp;"-"&amp;H77</f>
        <v>A-1-e-0-7.5</v>
      </c>
      <c r="P77" t="str">
        <f>I77&amp;"-"&amp;J77&amp;"-"&amp;K77&amp;"-"&amp;L77&amp;"-"&amp;M77</f>
        <v>X-1-e-0-6.5</v>
      </c>
      <c r="Q77">
        <f>A77+R77</f>
        <v>13609.295627</v>
      </c>
      <c r="R77">
        <f>_xlfn.IFNA(VLOOKUP(P77,PGOPHER!A$2:G$181,7,FALSE),_xlfn.IFNA(VLOOKUP(P77,en!A$2:I$768,7,FALSE),-10000))</f>
        <v>152.73562699999999</v>
      </c>
      <c r="S77">
        <f>IF(O77=O76,Q76+S76,Q77)</f>
        <v>27218.496114000001</v>
      </c>
      <c r="T77">
        <f>IF(O77=O76,T76+1,1)</f>
        <v>2</v>
      </c>
      <c r="U77" t="str">
        <f>IF(O77=O78,"",S77/T77)</f>
        <v/>
      </c>
      <c r="V77" t="str">
        <f>IF(U77="","",IF(ABS(Q77-U77)&gt;V$1,"error",""))</f>
        <v/>
      </c>
    </row>
    <row r="78" spans="1:22" x14ac:dyDescent="0.55000000000000004">
      <c r="A78">
        <v>13348.94</v>
      </c>
      <c r="B78" s="1">
        <v>1.5820000000000001E-2</v>
      </c>
      <c r="C78" s="1">
        <v>1.5820000000000001E-2</v>
      </c>
      <c r="D78" s="2" t="s">
        <v>1121</v>
      </c>
      <c r="E78">
        <v>1</v>
      </c>
      <c r="F78" s="2" t="s">
        <v>2</v>
      </c>
      <c r="G78">
        <v>0</v>
      </c>
      <c r="H78">
        <v>7.5</v>
      </c>
      <c r="I78" s="2" t="s">
        <v>0</v>
      </c>
      <c r="J78">
        <v>2</v>
      </c>
      <c r="K78" s="2" t="s">
        <v>1</v>
      </c>
      <c r="L78">
        <v>0</v>
      </c>
      <c r="M78">
        <v>7.5</v>
      </c>
      <c r="N78" s="2" t="s">
        <v>1204</v>
      </c>
      <c r="O78" t="str">
        <f>D78&amp;"-"&amp;E78&amp;"-"&amp;F78&amp;"-"&amp;G78&amp;"-"&amp;H78</f>
        <v>A-1-e-0-7.5</v>
      </c>
      <c r="P78" t="str">
        <f>I78&amp;"-"&amp;J78&amp;"-"&amp;K78&amp;"-"&amp;L78&amp;"-"&amp;M78</f>
        <v>X-2-f-0-7.5</v>
      </c>
      <c r="Q78">
        <f>A78+R78</f>
        <v>13609.292131</v>
      </c>
      <c r="R78">
        <f>_xlfn.IFNA(VLOOKUP(P78,PGOPHER!A$2:G$181,7,FALSE),_xlfn.IFNA(VLOOKUP(P78,en!A$2:I$768,7,FALSE),-10000))</f>
        <v>260.35213099999999</v>
      </c>
      <c r="S78">
        <f>IF(O78=O77,Q77+S77,Q78)</f>
        <v>40827.791741000001</v>
      </c>
      <c r="T78">
        <f>IF(O78=O77,T77+1,1)</f>
        <v>3</v>
      </c>
      <c r="U78">
        <f>IF(O78=O79,"",S78/T78)</f>
        <v>13609.263913666668</v>
      </c>
      <c r="V78" t="str">
        <f>IF(U78="","",IF(ABS(Q78-U78)&gt;V$1,"error",""))</f>
        <v/>
      </c>
    </row>
    <row r="79" spans="1:22" x14ac:dyDescent="0.55000000000000004">
      <c r="A79">
        <v>13375.33</v>
      </c>
      <c r="B79" s="1">
        <v>0.01</v>
      </c>
      <c r="C79" s="1">
        <v>0.01</v>
      </c>
      <c r="D79" s="2" t="s">
        <v>1121</v>
      </c>
      <c r="E79">
        <v>1</v>
      </c>
      <c r="F79" s="2" t="s">
        <v>1</v>
      </c>
      <c r="G79">
        <v>0</v>
      </c>
      <c r="H79">
        <v>7.5</v>
      </c>
      <c r="I79" s="2" t="s">
        <v>0</v>
      </c>
      <c r="J79">
        <v>2</v>
      </c>
      <c r="K79" s="2" t="s">
        <v>1</v>
      </c>
      <c r="L79">
        <v>0</v>
      </c>
      <c r="M79">
        <v>6.5</v>
      </c>
      <c r="N79" s="2" t="s">
        <v>1206</v>
      </c>
      <c r="O79" t="str">
        <f>D79&amp;"-"&amp;E79&amp;"-"&amp;F79&amp;"-"&amp;G79&amp;"-"&amp;H79</f>
        <v>A-1-f-0-7.5</v>
      </c>
      <c r="P79" t="str">
        <f>I79&amp;"-"&amp;J79&amp;"-"&amp;K79&amp;"-"&amp;L79&amp;"-"&amp;M79</f>
        <v>X-2-f-0-6.5</v>
      </c>
      <c r="Q79">
        <f>A79+R79</f>
        <v>13577.885611</v>
      </c>
      <c r="R79">
        <f>_xlfn.IFNA(VLOOKUP(P79,PGOPHER!A$2:G$181,7,FALSE),_xlfn.IFNA(VLOOKUP(P79,en!A$2:I$768,7,FALSE),-10000))</f>
        <v>202.555611</v>
      </c>
      <c r="S79">
        <f>IF(O79=O78,Q78+S78,Q79)</f>
        <v>13577.885611</v>
      </c>
      <c r="T79">
        <f>IF(O79=O78,T78+1,1)</f>
        <v>1</v>
      </c>
      <c r="U79" t="str">
        <f>IF(O79=O80,"",S79/T79)</f>
        <v/>
      </c>
      <c r="V79" t="str">
        <f>IF(U79="","",IF(ABS(Q79-U79)&gt;V$1,"error",""))</f>
        <v/>
      </c>
    </row>
    <row r="80" spans="1:22" x14ac:dyDescent="0.55000000000000004">
      <c r="A80">
        <v>13374.42</v>
      </c>
      <c r="B80" s="1">
        <v>1.3169999999999999E-2</v>
      </c>
      <c r="C80" s="1">
        <v>1.3169999999999999E-2</v>
      </c>
      <c r="D80" s="2" t="s">
        <v>1121</v>
      </c>
      <c r="E80">
        <v>1</v>
      </c>
      <c r="F80" s="2" t="s">
        <v>1</v>
      </c>
      <c r="G80">
        <v>0</v>
      </c>
      <c r="H80">
        <v>7.5</v>
      </c>
      <c r="I80" s="2" t="s">
        <v>0</v>
      </c>
      <c r="J80">
        <v>1</v>
      </c>
      <c r="K80" s="2" t="s">
        <v>2</v>
      </c>
      <c r="L80">
        <v>0</v>
      </c>
      <c r="M80">
        <v>7.5</v>
      </c>
      <c r="N80" s="2" t="s">
        <v>1205</v>
      </c>
      <c r="O80" t="str">
        <f>D80&amp;"-"&amp;E80&amp;"-"&amp;F80&amp;"-"&amp;G80&amp;"-"&amp;H80</f>
        <v>A-1-f-0-7.5</v>
      </c>
      <c r="P80" t="str">
        <f>I80&amp;"-"&amp;J80&amp;"-"&amp;K80&amp;"-"&amp;L80&amp;"-"&amp;M80</f>
        <v>X-1-e-0-7.5</v>
      </c>
      <c r="Q80">
        <f>A80+R80</f>
        <v>13577.899523</v>
      </c>
      <c r="R80">
        <f>_xlfn.IFNA(VLOOKUP(P80,PGOPHER!A$2:G$181,7,FALSE),_xlfn.IFNA(VLOOKUP(P80,en!A$2:I$768,7,FALSE),-10000))</f>
        <v>203.479523</v>
      </c>
      <c r="S80">
        <f>IF(O80=O79,Q79+S79,Q80)</f>
        <v>27155.771221999999</v>
      </c>
      <c r="T80">
        <f>IF(O80=O79,T79+1,1)</f>
        <v>2</v>
      </c>
      <c r="U80" t="str">
        <f>IF(O80=O81,"",S80/T80)</f>
        <v/>
      </c>
      <c r="V80" t="str">
        <f>IF(U80="","",IF(ABS(Q80-U80)&gt;V$1,"error",""))</f>
        <v/>
      </c>
    </row>
    <row r="81" spans="1:22" x14ac:dyDescent="0.55000000000000004">
      <c r="A81">
        <v>13252.58</v>
      </c>
      <c r="B81" s="1">
        <v>0.01</v>
      </c>
      <c r="C81" s="1">
        <v>0.01</v>
      </c>
      <c r="D81" s="2" t="s">
        <v>1121</v>
      </c>
      <c r="E81">
        <v>1</v>
      </c>
      <c r="F81" s="2" t="s">
        <v>1</v>
      </c>
      <c r="G81">
        <v>0</v>
      </c>
      <c r="H81">
        <v>7.5</v>
      </c>
      <c r="I81" s="2" t="s">
        <v>0</v>
      </c>
      <c r="J81">
        <v>2</v>
      </c>
      <c r="K81" s="2" t="s">
        <v>1</v>
      </c>
      <c r="L81">
        <v>0</v>
      </c>
      <c r="M81">
        <v>8.5</v>
      </c>
      <c r="N81" s="2" t="s">
        <v>1202</v>
      </c>
      <c r="O81" t="str">
        <f>D81&amp;"-"&amp;E81&amp;"-"&amp;F81&amp;"-"&amp;G81&amp;"-"&amp;H81</f>
        <v>A-1-f-0-7.5</v>
      </c>
      <c r="P81" t="str">
        <f>I81&amp;"-"&amp;J81&amp;"-"&amp;K81&amp;"-"&amp;L81&amp;"-"&amp;M81</f>
        <v>X-2-f-0-8.5</v>
      </c>
      <c r="Q81">
        <f>A81+R81</f>
        <v>13577.880725999999</v>
      </c>
      <c r="R81">
        <f>_xlfn.IFNA(VLOOKUP(P81,PGOPHER!A$2:G$181,7,FALSE),_xlfn.IFNA(VLOOKUP(P81,en!A$2:I$768,7,FALSE),-10000))</f>
        <v>325.300726</v>
      </c>
      <c r="S81">
        <f>IF(O81=O80,Q80+S80,Q81)</f>
        <v>40733.670744999996</v>
      </c>
      <c r="T81">
        <f>IF(O81=O80,T80+1,1)</f>
        <v>3</v>
      </c>
      <c r="U81">
        <f>IF(O81=O82,"",S81/T81)</f>
        <v>13577.890248333331</v>
      </c>
      <c r="V81" t="str">
        <f>IF(U81="","",IF(ABS(Q81-U81)&gt;V$1,"error",""))</f>
        <v/>
      </c>
    </row>
    <row r="82" spans="1:22" x14ac:dyDescent="0.55000000000000004">
      <c r="A82">
        <v>13625.36</v>
      </c>
      <c r="B82" s="1">
        <v>5.5899999999999998E-2</v>
      </c>
      <c r="C82" s="1">
        <v>5.5899999999999998E-2</v>
      </c>
      <c r="D82" s="2" t="s">
        <v>1121</v>
      </c>
      <c r="E82">
        <v>2</v>
      </c>
      <c r="F82" s="2" t="s">
        <v>2</v>
      </c>
      <c r="G82">
        <v>0</v>
      </c>
      <c r="H82">
        <v>7.5</v>
      </c>
      <c r="I82" s="2" t="s">
        <v>0</v>
      </c>
      <c r="J82">
        <v>1</v>
      </c>
      <c r="K82" s="2" t="s">
        <v>2</v>
      </c>
      <c r="L82">
        <v>0</v>
      </c>
      <c r="M82">
        <v>8.5</v>
      </c>
      <c r="N82" s="2" t="s">
        <v>1197</v>
      </c>
      <c r="O82" t="str">
        <f>D82&amp;"-"&amp;E82&amp;"-"&amp;F82&amp;"-"&amp;G82&amp;"-"&amp;H82</f>
        <v>A-2-e-0-7.5</v>
      </c>
      <c r="P82" t="str">
        <f>I82&amp;"-"&amp;J82&amp;"-"&amp;K82&amp;"-"&amp;L82&amp;"-"&amp;M82</f>
        <v>X-1-e-0-8.5</v>
      </c>
      <c r="Q82">
        <f>A82+R82</f>
        <v>13886.758057000001</v>
      </c>
      <c r="R82">
        <f>_xlfn.IFNA(VLOOKUP(P82,PGOPHER!A$2:G$181,7,FALSE),_xlfn.IFNA(VLOOKUP(P82,en!A$2:I$768,7,FALSE),-10000))</f>
        <v>261.39805699999999</v>
      </c>
      <c r="S82">
        <f>IF(O82=O81,Q81+S81,Q82)</f>
        <v>13886.758057000001</v>
      </c>
      <c r="T82">
        <f>IF(O82=O81,T81+1,1)</f>
        <v>1</v>
      </c>
      <c r="U82" t="str">
        <f>IF(O82=O83,"",S82/T82)</f>
        <v/>
      </c>
      <c r="V82" t="str">
        <f>IF(U82="","",IF(ABS(Q82-U82)&gt;V$1,"error",""))</f>
        <v/>
      </c>
    </row>
    <row r="83" spans="1:22" x14ac:dyDescent="0.55000000000000004">
      <c r="A83">
        <v>13734.14</v>
      </c>
      <c r="B83" s="1">
        <v>9.0469999999999995E-2</v>
      </c>
      <c r="C83" s="1">
        <v>9.0469999999999995E-2</v>
      </c>
      <c r="D83" s="2" t="s">
        <v>1121</v>
      </c>
      <c r="E83">
        <v>2</v>
      </c>
      <c r="F83" s="2" t="s">
        <v>2</v>
      </c>
      <c r="G83">
        <v>0</v>
      </c>
      <c r="H83">
        <v>7.5</v>
      </c>
      <c r="I83" s="2" t="s">
        <v>0</v>
      </c>
      <c r="J83">
        <v>1</v>
      </c>
      <c r="K83" s="2" t="s">
        <v>2</v>
      </c>
      <c r="L83">
        <v>0</v>
      </c>
      <c r="M83">
        <v>6.5</v>
      </c>
      <c r="N83" s="2" t="s">
        <v>1201</v>
      </c>
      <c r="O83" t="str">
        <f>D83&amp;"-"&amp;E83&amp;"-"&amp;F83&amp;"-"&amp;G83&amp;"-"&amp;H83</f>
        <v>A-2-e-0-7.5</v>
      </c>
      <c r="P83" t="str">
        <f>I83&amp;"-"&amp;J83&amp;"-"&amp;K83&amp;"-"&amp;L83&amp;"-"&amp;M83</f>
        <v>X-1-e-0-6.5</v>
      </c>
      <c r="Q83">
        <f>A83+R83</f>
        <v>13886.875626999999</v>
      </c>
      <c r="R83">
        <f>_xlfn.IFNA(VLOOKUP(P83,PGOPHER!A$2:G$181,7,FALSE),_xlfn.IFNA(VLOOKUP(P83,en!A$2:I$768,7,FALSE),-10000))</f>
        <v>152.73562699999999</v>
      </c>
      <c r="S83">
        <f>IF(O83=O82,Q82+S82,Q83)</f>
        <v>27773.516114000002</v>
      </c>
      <c r="T83">
        <f>IF(O83=O82,T82+1,1)</f>
        <v>2</v>
      </c>
      <c r="U83" t="str">
        <f>IF(O83=O84,"",S83/T83)</f>
        <v/>
      </c>
      <c r="V83" t="str">
        <f>IF(U83="","",IF(ABS(Q83-U83)&gt;V$1,"error",""))</f>
        <v/>
      </c>
    </row>
    <row r="84" spans="1:22" x14ac:dyDescent="0.55000000000000004">
      <c r="A84">
        <v>13626.44</v>
      </c>
      <c r="B84" s="1">
        <v>1.7180000000000001E-2</v>
      </c>
      <c r="C84" s="1">
        <v>1.7180000000000001E-2</v>
      </c>
      <c r="D84" s="2" t="s">
        <v>1121</v>
      </c>
      <c r="E84">
        <v>2</v>
      </c>
      <c r="F84" s="2" t="s">
        <v>2</v>
      </c>
      <c r="G84">
        <v>0</v>
      </c>
      <c r="H84">
        <v>7.5</v>
      </c>
      <c r="I84" s="2" t="s">
        <v>0</v>
      </c>
      <c r="J84">
        <v>2</v>
      </c>
      <c r="K84" s="2" t="s">
        <v>1</v>
      </c>
      <c r="L84">
        <v>0</v>
      </c>
      <c r="M84">
        <v>7.5</v>
      </c>
      <c r="N84" s="2" t="s">
        <v>1198</v>
      </c>
      <c r="O84" t="str">
        <f>D84&amp;"-"&amp;E84&amp;"-"&amp;F84&amp;"-"&amp;G84&amp;"-"&amp;H84</f>
        <v>A-2-e-0-7.5</v>
      </c>
      <c r="P84" t="str">
        <f>I84&amp;"-"&amp;J84&amp;"-"&amp;K84&amp;"-"&amp;L84&amp;"-"&amp;M84</f>
        <v>X-2-f-0-7.5</v>
      </c>
      <c r="Q84">
        <f>A84+R84</f>
        <v>13886.792131</v>
      </c>
      <c r="R84">
        <f>_xlfn.IFNA(VLOOKUP(P84,PGOPHER!A$2:G$181,7,FALSE),_xlfn.IFNA(VLOOKUP(P84,en!A$2:I$768,7,FALSE),-10000))</f>
        <v>260.35213099999999</v>
      </c>
      <c r="S84">
        <f>IF(O84=O83,Q83+S83,Q84)</f>
        <v>41660.391740999999</v>
      </c>
      <c r="T84">
        <f>IF(O84=O83,T83+1,1)</f>
        <v>3</v>
      </c>
      <c r="U84">
        <f>IF(O84=O85,"",S84/T84)</f>
        <v>13886.797247</v>
      </c>
      <c r="V84" t="str">
        <f>IF(U84="","",IF(ABS(Q84-U84)&gt;V$1,"error",""))</f>
        <v/>
      </c>
    </row>
    <row r="85" spans="1:22" x14ac:dyDescent="0.55000000000000004">
      <c r="A85">
        <v>13683.75</v>
      </c>
      <c r="B85" s="1">
        <v>2.9780000000000001E-2</v>
      </c>
      <c r="C85" s="1">
        <v>2.9780000000000001E-2</v>
      </c>
      <c r="D85" s="2" t="s">
        <v>1121</v>
      </c>
      <c r="E85">
        <v>2</v>
      </c>
      <c r="F85" s="2" t="s">
        <v>1</v>
      </c>
      <c r="G85">
        <v>0</v>
      </c>
      <c r="H85">
        <v>7.5</v>
      </c>
      <c r="I85" s="2" t="s">
        <v>0</v>
      </c>
      <c r="J85">
        <v>2</v>
      </c>
      <c r="K85" s="2" t="s">
        <v>1</v>
      </c>
      <c r="L85">
        <v>0</v>
      </c>
      <c r="M85">
        <v>6.5</v>
      </c>
      <c r="N85" s="2" t="s">
        <v>1200</v>
      </c>
      <c r="O85" t="str">
        <f>D85&amp;"-"&amp;E85&amp;"-"&amp;F85&amp;"-"&amp;G85&amp;"-"&amp;H85</f>
        <v>A-2-f-0-7.5</v>
      </c>
      <c r="P85" t="str">
        <f>I85&amp;"-"&amp;J85&amp;"-"&amp;K85&amp;"-"&amp;L85&amp;"-"&amp;M85</f>
        <v>X-2-f-0-6.5</v>
      </c>
      <c r="Q85">
        <f>A85+R85</f>
        <v>13886.305611</v>
      </c>
      <c r="R85">
        <f>_xlfn.IFNA(VLOOKUP(P85,PGOPHER!A$2:G$181,7,FALSE),_xlfn.IFNA(VLOOKUP(P85,en!A$2:I$768,7,FALSE),-10000))</f>
        <v>202.555611</v>
      </c>
      <c r="S85">
        <f>IF(O85=O84,Q84+S84,Q85)</f>
        <v>13886.305611</v>
      </c>
      <c r="T85">
        <f>IF(O85=O84,T84+1,1)</f>
        <v>1</v>
      </c>
      <c r="U85" t="str">
        <f>IF(O85=O86,"",S85/T85)</f>
        <v/>
      </c>
      <c r="V85" t="str">
        <f>IF(U85="","",IF(ABS(Q85-U85)&gt;V$1,"error",""))</f>
        <v/>
      </c>
    </row>
    <row r="86" spans="1:22" x14ac:dyDescent="0.55000000000000004">
      <c r="A86">
        <v>13682.84</v>
      </c>
      <c r="B86" s="1">
        <v>4.4720000000000003E-2</v>
      </c>
      <c r="C86" s="1">
        <v>4.4720000000000003E-2</v>
      </c>
      <c r="D86" s="2" t="s">
        <v>1121</v>
      </c>
      <c r="E86">
        <v>2</v>
      </c>
      <c r="F86" s="2" t="s">
        <v>1</v>
      </c>
      <c r="G86">
        <v>0</v>
      </c>
      <c r="H86">
        <v>7.5</v>
      </c>
      <c r="I86" s="2" t="s">
        <v>0</v>
      </c>
      <c r="J86">
        <v>1</v>
      </c>
      <c r="K86" s="2" t="s">
        <v>2</v>
      </c>
      <c r="L86">
        <v>0</v>
      </c>
      <c r="M86">
        <v>7.5</v>
      </c>
      <c r="N86" s="2" t="s">
        <v>1199</v>
      </c>
      <c r="O86" t="str">
        <f>D86&amp;"-"&amp;E86&amp;"-"&amp;F86&amp;"-"&amp;G86&amp;"-"&amp;H86</f>
        <v>A-2-f-0-7.5</v>
      </c>
      <c r="P86" t="str">
        <f>I86&amp;"-"&amp;J86&amp;"-"&amp;K86&amp;"-"&amp;L86&amp;"-"&amp;M86</f>
        <v>X-1-e-0-7.5</v>
      </c>
      <c r="Q86">
        <f>A86+R86</f>
        <v>13886.319523</v>
      </c>
      <c r="R86">
        <f>_xlfn.IFNA(VLOOKUP(P86,PGOPHER!A$2:G$181,7,FALSE),_xlfn.IFNA(VLOOKUP(P86,en!A$2:I$768,7,FALSE),-10000))</f>
        <v>203.479523</v>
      </c>
      <c r="S86">
        <f>IF(O86=O85,Q85+S85,Q86)</f>
        <v>27772.611222</v>
      </c>
      <c r="T86">
        <f>IF(O86=O85,T85+1,1)</f>
        <v>2</v>
      </c>
      <c r="U86" t="str">
        <f>IF(O86=O87,"",S86/T86)</f>
        <v/>
      </c>
      <c r="V86" t="str">
        <f>IF(U86="","",IF(ABS(Q86-U86)&gt;V$1,"error",""))</f>
        <v/>
      </c>
    </row>
    <row r="87" spans="1:22" x14ac:dyDescent="0.55000000000000004">
      <c r="A87">
        <v>13560.91</v>
      </c>
      <c r="B87" s="1">
        <v>9.819E-2</v>
      </c>
      <c r="C87" s="1">
        <v>9.819E-2</v>
      </c>
      <c r="D87" s="2" t="s">
        <v>1121</v>
      </c>
      <c r="E87">
        <v>2</v>
      </c>
      <c r="F87" s="2" t="s">
        <v>1</v>
      </c>
      <c r="G87">
        <v>0</v>
      </c>
      <c r="H87">
        <v>7.5</v>
      </c>
      <c r="I87" s="2" t="s">
        <v>0</v>
      </c>
      <c r="J87">
        <v>2</v>
      </c>
      <c r="K87" s="2" t="s">
        <v>1</v>
      </c>
      <c r="L87">
        <v>0</v>
      </c>
      <c r="M87">
        <v>8.5</v>
      </c>
      <c r="N87" s="2" t="s">
        <v>1196</v>
      </c>
      <c r="O87" t="str">
        <f>D87&amp;"-"&amp;E87&amp;"-"&amp;F87&amp;"-"&amp;G87&amp;"-"&amp;H87</f>
        <v>A-2-f-0-7.5</v>
      </c>
      <c r="P87" t="str">
        <f>I87&amp;"-"&amp;J87&amp;"-"&amp;K87&amp;"-"&amp;L87&amp;"-"&amp;M87</f>
        <v>X-2-f-0-8.5</v>
      </c>
      <c r="Q87">
        <f>A87+R87</f>
        <v>13886.210725999999</v>
      </c>
      <c r="R87">
        <f>_xlfn.IFNA(VLOOKUP(P87,PGOPHER!A$2:G$181,7,FALSE),_xlfn.IFNA(VLOOKUP(P87,en!A$2:I$768,7,FALSE),-10000))</f>
        <v>325.300726</v>
      </c>
      <c r="S87">
        <f>IF(O87=O86,Q86+S86,Q87)</f>
        <v>41658.930744999998</v>
      </c>
      <c r="T87">
        <f>IF(O87=O86,T86+1,1)</f>
        <v>3</v>
      </c>
      <c r="U87">
        <f>IF(O87=O88,"",S87/T87)</f>
        <v>13886.310248333333</v>
      </c>
      <c r="V87" t="str">
        <f>IF(U87="","",IF(ABS(Q87-U87)&gt;V$1,"error",""))</f>
        <v/>
      </c>
    </row>
    <row r="88" spans="1:22" x14ac:dyDescent="0.55000000000000004">
      <c r="A88">
        <v>13346.64</v>
      </c>
      <c r="B88" s="1">
        <v>2.027E-2</v>
      </c>
      <c r="C88" s="1">
        <v>2.027E-2</v>
      </c>
      <c r="D88" s="2" t="s">
        <v>1121</v>
      </c>
      <c r="E88">
        <v>1</v>
      </c>
      <c r="F88" s="2" t="s">
        <v>2</v>
      </c>
      <c r="G88">
        <v>0</v>
      </c>
      <c r="H88">
        <v>8.5</v>
      </c>
      <c r="I88" s="2" t="s">
        <v>0</v>
      </c>
      <c r="J88">
        <v>1</v>
      </c>
      <c r="K88" s="2" t="s">
        <v>2</v>
      </c>
      <c r="L88">
        <v>0</v>
      </c>
      <c r="M88">
        <v>9.5</v>
      </c>
      <c r="N88" s="2" t="s">
        <v>1215</v>
      </c>
      <c r="O88" t="str">
        <f>D88&amp;"-"&amp;E88&amp;"-"&amp;F88&amp;"-"&amp;G88&amp;"-"&amp;H88</f>
        <v>A-1-e-0-8.5</v>
      </c>
      <c r="P88" t="str">
        <f>I88&amp;"-"&amp;J88&amp;"-"&amp;K88&amp;"-"&amp;L88&amp;"-"&amp;M88</f>
        <v>X-1-e-0-9.5</v>
      </c>
      <c r="Q88">
        <f>A88+R88</f>
        <v>13673.107618</v>
      </c>
      <c r="R88">
        <f>_xlfn.IFNA(VLOOKUP(P88,PGOPHER!A$2:G$181,7,FALSE),_xlfn.IFNA(VLOOKUP(P88,en!A$2:I$768,7,FALSE),-10000))</f>
        <v>326.46761800000002</v>
      </c>
      <c r="S88">
        <f>IF(O88=O87,Q87+S87,Q88)</f>
        <v>13673.107618</v>
      </c>
      <c r="T88">
        <f>IF(O88=O87,T87+1,1)</f>
        <v>1</v>
      </c>
      <c r="U88" t="str">
        <f>IF(O88=O89,"",S88/T88)</f>
        <v/>
      </c>
      <c r="V88" t="str">
        <f>IF(U88="","",IF(ABS(Q88-U88)&gt;V$1,"error",""))</f>
        <v/>
      </c>
    </row>
    <row r="89" spans="1:22" x14ac:dyDescent="0.55000000000000004">
      <c r="A89">
        <v>13469.64</v>
      </c>
      <c r="B89" s="1">
        <v>0.01</v>
      </c>
      <c r="C89" s="1">
        <v>0.01</v>
      </c>
      <c r="D89" s="2" t="s">
        <v>1121</v>
      </c>
      <c r="E89">
        <v>1</v>
      </c>
      <c r="F89" s="2" t="s">
        <v>2</v>
      </c>
      <c r="G89">
        <v>0</v>
      </c>
      <c r="H89">
        <v>8.5</v>
      </c>
      <c r="I89" s="2" t="s">
        <v>0</v>
      </c>
      <c r="J89">
        <v>1</v>
      </c>
      <c r="K89" s="2" t="s">
        <v>2</v>
      </c>
      <c r="L89">
        <v>0</v>
      </c>
      <c r="M89">
        <v>7.5</v>
      </c>
      <c r="N89" s="2" t="s">
        <v>1219</v>
      </c>
      <c r="O89" t="str">
        <f>D89&amp;"-"&amp;E89&amp;"-"&amp;F89&amp;"-"&amp;G89&amp;"-"&amp;H89</f>
        <v>A-1-e-0-8.5</v>
      </c>
      <c r="P89" t="str">
        <f>I89&amp;"-"&amp;J89&amp;"-"&amp;K89&amp;"-"&amp;L89&amp;"-"&amp;M89</f>
        <v>X-1-e-0-7.5</v>
      </c>
      <c r="Q89">
        <f>A89+R89</f>
        <v>13673.119522999999</v>
      </c>
      <c r="R89">
        <f>_xlfn.IFNA(VLOOKUP(P89,PGOPHER!A$2:G$181,7,FALSE),_xlfn.IFNA(VLOOKUP(P89,en!A$2:I$768,7,FALSE),-10000))</f>
        <v>203.479523</v>
      </c>
      <c r="S89">
        <f>IF(O89=O88,Q88+S88,Q89)</f>
        <v>27346.215236</v>
      </c>
      <c r="T89">
        <f>IF(O89=O88,T88+1,1)</f>
        <v>2</v>
      </c>
      <c r="U89" t="str">
        <f>IF(O89=O90,"",S89/T89)</f>
        <v/>
      </c>
      <c r="V89" t="str">
        <f>IF(U89="","",IF(ABS(Q89-U89)&gt;V$1,"error",""))</f>
        <v/>
      </c>
    </row>
    <row r="90" spans="1:22" x14ac:dyDescent="0.55000000000000004">
      <c r="A90">
        <v>13347.85</v>
      </c>
      <c r="B90" s="1">
        <v>3.338E-2</v>
      </c>
      <c r="C90" s="1">
        <v>3.338E-2</v>
      </c>
      <c r="D90" s="2" t="s">
        <v>1121</v>
      </c>
      <c r="E90">
        <v>1</v>
      </c>
      <c r="F90" s="2" t="s">
        <v>2</v>
      </c>
      <c r="G90">
        <v>0</v>
      </c>
      <c r="H90">
        <v>8.5</v>
      </c>
      <c r="I90" s="2" t="s">
        <v>0</v>
      </c>
      <c r="J90">
        <v>2</v>
      </c>
      <c r="K90" s="2" t="s">
        <v>1</v>
      </c>
      <c r="L90">
        <v>0</v>
      </c>
      <c r="M90">
        <v>8.5</v>
      </c>
      <c r="N90" s="2" t="s">
        <v>1216</v>
      </c>
      <c r="O90" t="str">
        <f>D90&amp;"-"&amp;E90&amp;"-"&amp;F90&amp;"-"&amp;G90&amp;"-"&amp;H90</f>
        <v>A-1-e-0-8.5</v>
      </c>
      <c r="P90" t="str">
        <f>I90&amp;"-"&amp;J90&amp;"-"&amp;K90&amp;"-"&amp;L90&amp;"-"&amp;M90</f>
        <v>X-2-f-0-8.5</v>
      </c>
      <c r="Q90">
        <f>A90+R90</f>
        <v>13673.150726</v>
      </c>
      <c r="R90">
        <f>_xlfn.IFNA(VLOOKUP(P90,PGOPHER!A$2:G$181,7,FALSE),_xlfn.IFNA(VLOOKUP(P90,en!A$2:I$768,7,FALSE),-10000))</f>
        <v>325.300726</v>
      </c>
      <c r="S90">
        <f>IF(O90=O89,Q89+S89,Q90)</f>
        <v>41019.334758999998</v>
      </c>
      <c r="T90">
        <f>IF(O90=O89,T89+1,1)</f>
        <v>3</v>
      </c>
      <c r="U90">
        <f>IF(O90=O91,"",S90/T90)</f>
        <v>13673.111586333333</v>
      </c>
      <c r="V90" t="str">
        <f>IF(U90="","",IF(ABS(Q90-U90)&gt;V$1,"error",""))</f>
        <v/>
      </c>
    </row>
    <row r="91" spans="1:22" x14ac:dyDescent="0.55000000000000004">
      <c r="A91">
        <v>13377.83</v>
      </c>
      <c r="B91" s="1">
        <v>3.6069999999999998E-2</v>
      </c>
      <c r="C91" s="1">
        <v>3.6069999999999998E-2</v>
      </c>
      <c r="D91" s="2" t="s">
        <v>1121</v>
      </c>
      <c r="E91">
        <v>1</v>
      </c>
      <c r="F91" s="2" t="s">
        <v>1</v>
      </c>
      <c r="G91">
        <v>0</v>
      </c>
      <c r="H91">
        <v>8.5</v>
      </c>
      <c r="I91" s="2" t="s">
        <v>0</v>
      </c>
      <c r="J91">
        <v>2</v>
      </c>
      <c r="K91" s="2" t="s">
        <v>1</v>
      </c>
      <c r="L91">
        <v>0</v>
      </c>
      <c r="M91">
        <v>7.5</v>
      </c>
      <c r="N91" s="2" t="s">
        <v>1218</v>
      </c>
      <c r="O91" t="str">
        <f>D91&amp;"-"&amp;E91&amp;"-"&amp;F91&amp;"-"&amp;G91&amp;"-"&amp;H91</f>
        <v>A-1-f-0-8.5</v>
      </c>
      <c r="P91" t="str">
        <f>I91&amp;"-"&amp;J91&amp;"-"&amp;K91&amp;"-"&amp;L91&amp;"-"&amp;M91</f>
        <v>X-2-f-0-7.5</v>
      </c>
      <c r="Q91">
        <f>A91+R91</f>
        <v>13638.182131</v>
      </c>
      <c r="R91">
        <f>_xlfn.IFNA(VLOOKUP(P91,PGOPHER!A$2:G$181,7,FALSE),_xlfn.IFNA(VLOOKUP(P91,en!A$2:I$768,7,FALSE),-10000))</f>
        <v>260.35213099999999</v>
      </c>
      <c r="S91">
        <f>IF(O91=O90,Q90+S90,Q91)</f>
        <v>13638.182131</v>
      </c>
      <c r="T91">
        <f>IF(O91=O90,T90+1,1)</f>
        <v>1</v>
      </c>
      <c r="U91" t="str">
        <f>IF(O91=O92,"",S91/T91)</f>
        <v/>
      </c>
      <c r="V91" t="str">
        <f>IF(U91="","",IF(ABS(Q91-U91)&gt;V$1,"error",""))</f>
        <v/>
      </c>
    </row>
    <row r="92" spans="1:22" x14ac:dyDescent="0.55000000000000004">
      <c r="A92">
        <v>13376.77</v>
      </c>
      <c r="B92" s="1">
        <v>1.9349999999999999E-2</v>
      </c>
      <c r="C92" s="1">
        <v>1.9349999999999999E-2</v>
      </c>
      <c r="D92" s="2" t="s">
        <v>1121</v>
      </c>
      <c r="E92">
        <v>1</v>
      </c>
      <c r="F92" s="2" t="s">
        <v>1</v>
      </c>
      <c r="G92">
        <v>0</v>
      </c>
      <c r="H92">
        <v>8.5</v>
      </c>
      <c r="I92" s="2" t="s">
        <v>0</v>
      </c>
      <c r="J92">
        <v>1</v>
      </c>
      <c r="K92" s="2" t="s">
        <v>2</v>
      </c>
      <c r="L92">
        <v>0</v>
      </c>
      <c r="M92">
        <v>8.5</v>
      </c>
      <c r="N92" s="2" t="s">
        <v>1217</v>
      </c>
      <c r="O92" t="str">
        <f>D92&amp;"-"&amp;E92&amp;"-"&amp;F92&amp;"-"&amp;G92&amp;"-"&amp;H92</f>
        <v>A-1-f-0-8.5</v>
      </c>
      <c r="P92" t="str">
        <f>I92&amp;"-"&amp;J92&amp;"-"&amp;K92&amp;"-"&amp;L92&amp;"-"&amp;M92</f>
        <v>X-1-e-0-8.5</v>
      </c>
      <c r="Q92">
        <f>A92+R92</f>
        <v>13638.168057000001</v>
      </c>
      <c r="R92">
        <f>_xlfn.IFNA(VLOOKUP(P92,PGOPHER!A$2:G$181,7,FALSE),_xlfn.IFNA(VLOOKUP(P92,en!A$2:I$768,7,FALSE),-10000))</f>
        <v>261.39805699999999</v>
      </c>
      <c r="S92">
        <f>IF(O92=O91,Q91+S91,Q92)</f>
        <v>27276.364261999999</v>
      </c>
      <c r="T92">
        <f>IF(O92=O91,T91+1,1)</f>
        <v>2</v>
      </c>
      <c r="U92" t="str">
        <f>IF(O92=O93,"",S92/T92)</f>
        <v/>
      </c>
      <c r="V92" t="str">
        <f>IF(U92="","",IF(ABS(Q92-U92)&gt;V$1,"error",""))</f>
        <v/>
      </c>
    </row>
    <row r="93" spans="1:22" x14ac:dyDescent="0.55000000000000004">
      <c r="A93">
        <v>13240.73</v>
      </c>
      <c r="B93" s="1">
        <v>7.2900000000000006E-2</v>
      </c>
      <c r="C93" s="1">
        <v>7.2900000000000006E-2</v>
      </c>
      <c r="D93" s="2" t="s">
        <v>1121</v>
      </c>
      <c r="E93">
        <v>1</v>
      </c>
      <c r="F93" s="2" t="s">
        <v>1</v>
      </c>
      <c r="G93">
        <v>0</v>
      </c>
      <c r="H93">
        <v>8.5</v>
      </c>
      <c r="I93" s="2" t="s">
        <v>0</v>
      </c>
      <c r="J93">
        <v>2</v>
      </c>
      <c r="K93" s="2" t="s">
        <v>1</v>
      </c>
      <c r="L93">
        <v>0</v>
      </c>
      <c r="M93">
        <v>9.5</v>
      </c>
      <c r="N93" s="2" t="s">
        <v>1214</v>
      </c>
      <c r="O93" t="str">
        <f>D93&amp;"-"&amp;E93&amp;"-"&amp;F93&amp;"-"&amp;G93&amp;"-"&amp;H93</f>
        <v>A-1-f-0-8.5</v>
      </c>
      <c r="P93" t="str">
        <f>I93&amp;"-"&amp;J93&amp;"-"&amp;K93&amp;"-"&amp;L93&amp;"-"&amp;M93</f>
        <v>X-2-f-0-9.5</v>
      </c>
      <c r="Q93">
        <f>A93+R93</f>
        <v>13638.098603999999</v>
      </c>
      <c r="R93">
        <f>_xlfn.IFNA(VLOOKUP(P93,PGOPHER!A$2:G$181,7,FALSE),_xlfn.IFNA(VLOOKUP(P93,en!A$2:I$768,7,FALSE),-10000))</f>
        <v>397.368604</v>
      </c>
      <c r="S93">
        <f>IF(O93=O92,Q92+S92,Q93)</f>
        <v>40914.532318999998</v>
      </c>
      <c r="T93">
        <f>IF(O93=O92,T92+1,1)</f>
        <v>3</v>
      </c>
      <c r="U93">
        <f>IF(O93=O94,"",S93/T93)</f>
        <v>13638.177439666666</v>
      </c>
      <c r="V93" t="str">
        <f>IF(U93="","",IF(ABS(Q93-U93)&gt;V$1,"error",""))</f>
        <v/>
      </c>
    </row>
    <row r="94" spans="1:22" x14ac:dyDescent="0.55000000000000004">
      <c r="A94">
        <v>13622.66</v>
      </c>
      <c r="B94" s="1">
        <v>0.01</v>
      </c>
      <c r="C94" s="1">
        <v>0.01</v>
      </c>
      <c r="D94" s="2" t="s">
        <v>1121</v>
      </c>
      <c r="E94">
        <v>2</v>
      </c>
      <c r="F94" s="2" t="s">
        <v>2</v>
      </c>
      <c r="G94">
        <v>0</v>
      </c>
      <c r="H94">
        <v>8.5</v>
      </c>
      <c r="I94" s="2" t="s">
        <v>0</v>
      </c>
      <c r="J94">
        <v>1</v>
      </c>
      <c r="K94" s="2" t="s">
        <v>2</v>
      </c>
      <c r="L94">
        <v>0</v>
      </c>
      <c r="M94">
        <v>9.5</v>
      </c>
      <c r="N94" s="2" t="s">
        <v>1209</v>
      </c>
      <c r="O94" t="str">
        <f>D94&amp;"-"&amp;E94&amp;"-"&amp;F94&amp;"-"&amp;G94&amp;"-"&amp;H94</f>
        <v>A-2-e-0-8.5</v>
      </c>
      <c r="P94" t="str">
        <f>I94&amp;"-"&amp;J94&amp;"-"&amp;K94&amp;"-"&amp;L94&amp;"-"&amp;M94</f>
        <v>X-1-e-0-9.5</v>
      </c>
      <c r="Q94">
        <f>A94+R94</f>
        <v>13949.127618</v>
      </c>
      <c r="R94">
        <f>_xlfn.IFNA(VLOOKUP(P94,PGOPHER!A$2:G$181,7,FALSE),_xlfn.IFNA(VLOOKUP(P94,en!A$2:I$768,7,FALSE),-10000))</f>
        <v>326.46761800000002</v>
      </c>
      <c r="S94">
        <f>IF(O94=O93,Q93+S93,Q94)</f>
        <v>13949.127618</v>
      </c>
      <c r="T94">
        <f>IF(O94=O93,T93+1,1)</f>
        <v>1</v>
      </c>
      <c r="U94" t="str">
        <f>IF(O94=O95,"",S94/T94)</f>
        <v/>
      </c>
      <c r="V94" t="str">
        <f>IF(U94="","",IF(ABS(Q94-U94)&gt;V$1,"error",""))</f>
        <v/>
      </c>
    </row>
    <row r="95" spans="1:22" x14ac:dyDescent="0.55000000000000004">
      <c r="A95">
        <v>13745.59</v>
      </c>
      <c r="B95" s="1">
        <v>5.8590000000000003E-2</v>
      </c>
      <c r="C95" s="1">
        <v>5.8590000000000003E-2</v>
      </c>
      <c r="D95" s="2" t="s">
        <v>1121</v>
      </c>
      <c r="E95">
        <v>2</v>
      </c>
      <c r="F95" s="2" t="s">
        <v>2</v>
      </c>
      <c r="G95">
        <v>0</v>
      </c>
      <c r="H95">
        <v>8.5</v>
      </c>
      <c r="I95" s="2" t="s">
        <v>0</v>
      </c>
      <c r="J95">
        <v>1</v>
      </c>
      <c r="K95" s="2" t="s">
        <v>2</v>
      </c>
      <c r="L95">
        <v>0</v>
      </c>
      <c r="M95">
        <v>7.5</v>
      </c>
      <c r="N95" s="2" t="s">
        <v>1213</v>
      </c>
      <c r="O95" t="str">
        <f>D95&amp;"-"&amp;E95&amp;"-"&amp;F95&amp;"-"&amp;G95&amp;"-"&amp;H95</f>
        <v>A-2-e-0-8.5</v>
      </c>
      <c r="P95" t="str">
        <f>I95&amp;"-"&amp;J95&amp;"-"&amp;K95&amp;"-"&amp;L95&amp;"-"&amp;M95</f>
        <v>X-1-e-0-7.5</v>
      </c>
      <c r="Q95">
        <f>A95+R95</f>
        <v>13949.069523</v>
      </c>
      <c r="R95">
        <f>_xlfn.IFNA(VLOOKUP(P95,PGOPHER!A$2:G$181,7,FALSE),_xlfn.IFNA(VLOOKUP(P95,en!A$2:I$768,7,FALSE),-10000))</f>
        <v>203.479523</v>
      </c>
      <c r="S95">
        <f>IF(O95=O94,Q94+S94,Q95)</f>
        <v>27898.255236000001</v>
      </c>
      <c r="T95">
        <f>IF(O95=O94,T94+1,1)</f>
        <v>2</v>
      </c>
      <c r="U95" t="str">
        <f>IF(O95=O96,"",S95/T95)</f>
        <v/>
      </c>
      <c r="V95" t="str">
        <f>IF(U95="","",IF(ABS(Q95-U95)&gt;V$1,"error",""))</f>
        <v/>
      </c>
    </row>
    <row r="96" spans="1:22" x14ac:dyDescent="0.55000000000000004">
      <c r="A96">
        <v>13623.87</v>
      </c>
      <c r="B96" s="1">
        <v>5.3190000000000001E-2</v>
      </c>
      <c r="C96" s="1">
        <v>5.3190000000000001E-2</v>
      </c>
      <c r="D96" s="2" t="s">
        <v>1121</v>
      </c>
      <c r="E96">
        <v>2</v>
      </c>
      <c r="F96" s="2" t="s">
        <v>2</v>
      </c>
      <c r="G96">
        <v>0</v>
      </c>
      <c r="H96">
        <v>8.5</v>
      </c>
      <c r="I96" s="2" t="s">
        <v>0</v>
      </c>
      <c r="J96">
        <v>2</v>
      </c>
      <c r="K96" s="2" t="s">
        <v>1</v>
      </c>
      <c r="L96">
        <v>0</v>
      </c>
      <c r="M96">
        <v>8.5</v>
      </c>
      <c r="N96" s="2" t="s">
        <v>1210</v>
      </c>
      <c r="O96" t="str">
        <f>D96&amp;"-"&amp;E96&amp;"-"&amp;F96&amp;"-"&amp;G96&amp;"-"&amp;H96</f>
        <v>A-2-e-0-8.5</v>
      </c>
      <c r="P96" t="str">
        <f>I96&amp;"-"&amp;J96&amp;"-"&amp;K96&amp;"-"&amp;L96&amp;"-"&amp;M96</f>
        <v>X-2-f-0-8.5</v>
      </c>
      <c r="Q96">
        <f>A96+R96</f>
        <v>13949.170726</v>
      </c>
      <c r="R96">
        <f>_xlfn.IFNA(VLOOKUP(P96,PGOPHER!A$2:G$181,7,FALSE),_xlfn.IFNA(VLOOKUP(P96,en!A$2:I$768,7,FALSE),-10000))</f>
        <v>325.300726</v>
      </c>
      <c r="S96">
        <f>IF(O96=O95,Q95+S95,Q96)</f>
        <v>41847.324759000003</v>
      </c>
      <c r="T96">
        <f>IF(O96=O95,T95+1,1)</f>
        <v>3</v>
      </c>
      <c r="U96">
        <f>IF(O96=O97,"",S96/T96)</f>
        <v>13949.108253</v>
      </c>
      <c r="V96" t="str">
        <f>IF(U96="","",IF(ABS(Q96-U96)&gt;V$1,"error",""))</f>
        <v/>
      </c>
    </row>
    <row r="97" spans="1:22" x14ac:dyDescent="0.55000000000000004">
      <c r="A97">
        <v>13688.04</v>
      </c>
      <c r="B97" s="1">
        <v>1.5559999999999999E-2</v>
      </c>
      <c r="C97" s="1">
        <v>1.5559999999999999E-2</v>
      </c>
      <c r="D97" s="2" t="s">
        <v>1121</v>
      </c>
      <c r="E97">
        <v>2</v>
      </c>
      <c r="F97" s="2" t="s">
        <v>1</v>
      </c>
      <c r="G97">
        <v>0</v>
      </c>
      <c r="H97">
        <v>8.5</v>
      </c>
      <c r="I97" s="2" t="s">
        <v>0</v>
      </c>
      <c r="J97">
        <v>2</v>
      </c>
      <c r="K97" s="2" t="s">
        <v>1</v>
      </c>
      <c r="L97">
        <v>0</v>
      </c>
      <c r="M97">
        <v>7.5</v>
      </c>
      <c r="N97" s="2" t="s">
        <v>1212</v>
      </c>
      <c r="O97" t="str">
        <f>D97&amp;"-"&amp;E97&amp;"-"&amp;F97&amp;"-"&amp;G97&amp;"-"&amp;H97</f>
        <v>A-2-f-0-8.5</v>
      </c>
      <c r="P97" t="str">
        <f>I97&amp;"-"&amp;J97&amp;"-"&amp;K97&amp;"-"&amp;L97&amp;"-"&amp;M97</f>
        <v>X-2-f-0-7.5</v>
      </c>
      <c r="Q97">
        <f>A97+R97</f>
        <v>13948.392131000001</v>
      </c>
      <c r="R97">
        <f>_xlfn.IFNA(VLOOKUP(P97,PGOPHER!A$2:G$181,7,FALSE),_xlfn.IFNA(VLOOKUP(P97,en!A$2:I$768,7,FALSE),-10000))</f>
        <v>260.35213099999999</v>
      </c>
      <c r="S97">
        <f>IF(O97=O96,Q96+S96,Q97)</f>
        <v>13948.392131000001</v>
      </c>
      <c r="T97">
        <f>IF(O97=O96,T96+1,1)</f>
        <v>1</v>
      </c>
      <c r="U97" t="str">
        <f>IF(O97=O98,"",S97/T97)</f>
        <v/>
      </c>
      <c r="V97" t="str">
        <f>IF(U97="","",IF(ABS(Q97-U97)&gt;V$1,"error",""))</f>
        <v/>
      </c>
    </row>
    <row r="98" spans="1:22" x14ac:dyDescent="0.55000000000000004">
      <c r="A98">
        <v>13686.98</v>
      </c>
      <c r="B98" s="1">
        <v>0.01</v>
      </c>
      <c r="C98" s="1">
        <v>0.01</v>
      </c>
      <c r="D98" s="2" t="s">
        <v>1121</v>
      </c>
      <c r="E98">
        <v>2</v>
      </c>
      <c r="F98" s="2" t="s">
        <v>1</v>
      </c>
      <c r="G98">
        <v>0</v>
      </c>
      <c r="H98">
        <v>8.5</v>
      </c>
      <c r="I98" s="2" t="s">
        <v>0</v>
      </c>
      <c r="J98">
        <v>1</v>
      </c>
      <c r="K98" s="2" t="s">
        <v>2</v>
      </c>
      <c r="L98">
        <v>0</v>
      </c>
      <c r="M98">
        <v>8.5</v>
      </c>
      <c r="N98" s="2" t="s">
        <v>1211</v>
      </c>
      <c r="O98" t="str">
        <f>D98&amp;"-"&amp;E98&amp;"-"&amp;F98&amp;"-"&amp;G98&amp;"-"&amp;H98</f>
        <v>A-2-f-0-8.5</v>
      </c>
      <c r="P98" t="str">
        <f>I98&amp;"-"&amp;J98&amp;"-"&amp;K98&amp;"-"&amp;L98&amp;"-"&amp;M98</f>
        <v>X-1-e-0-8.5</v>
      </c>
      <c r="Q98">
        <f>A98+R98</f>
        <v>13948.378057</v>
      </c>
      <c r="R98">
        <f>_xlfn.IFNA(VLOOKUP(P98,PGOPHER!A$2:G$181,7,FALSE),_xlfn.IFNA(VLOOKUP(P98,en!A$2:I$768,7,FALSE),-10000))</f>
        <v>261.39805699999999</v>
      </c>
      <c r="S98">
        <f>IF(O98=O97,Q97+S97,Q98)</f>
        <v>27896.784262000001</v>
      </c>
      <c r="T98">
        <f>IF(O98=O97,T97+1,1)</f>
        <v>2</v>
      </c>
      <c r="U98" t="str">
        <f>IF(O98=O99,"",S98/T98)</f>
        <v/>
      </c>
      <c r="V98" t="str">
        <f>IF(U98="","",IF(ABS(Q98-U98)&gt;V$1,"error",""))</f>
        <v/>
      </c>
    </row>
    <row r="99" spans="1:22" x14ac:dyDescent="0.55000000000000004">
      <c r="A99">
        <v>13551</v>
      </c>
      <c r="B99" s="1">
        <v>1.142E-2</v>
      </c>
      <c r="C99" s="1">
        <v>1.142E-2</v>
      </c>
      <c r="D99" s="2" t="s">
        <v>1121</v>
      </c>
      <c r="E99">
        <v>2</v>
      </c>
      <c r="F99" s="2" t="s">
        <v>1</v>
      </c>
      <c r="G99">
        <v>0</v>
      </c>
      <c r="H99">
        <v>8.5</v>
      </c>
      <c r="I99" s="2" t="s">
        <v>0</v>
      </c>
      <c r="J99">
        <v>2</v>
      </c>
      <c r="K99" s="2" t="s">
        <v>1</v>
      </c>
      <c r="L99">
        <v>0</v>
      </c>
      <c r="M99">
        <v>9.5</v>
      </c>
      <c r="N99" s="2" t="s">
        <v>1208</v>
      </c>
      <c r="O99" t="str">
        <f>D99&amp;"-"&amp;E99&amp;"-"&amp;F99&amp;"-"&amp;G99&amp;"-"&amp;H99</f>
        <v>A-2-f-0-8.5</v>
      </c>
      <c r="P99" t="str">
        <f>I99&amp;"-"&amp;J99&amp;"-"&amp;K99&amp;"-"&amp;L99&amp;"-"&amp;M99</f>
        <v>X-2-f-0-9.5</v>
      </c>
      <c r="Q99">
        <f>A99+R99</f>
        <v>13948.368603999999</v>
      </c>
      <c r="R99">
        <f>_xlfn.IFNA(VLOOKUP(P99,PGOPHER!A$2:G$181,7,FALSE),_xlfn.IFNA(VLOOKUP(P99,en!A$2:I$768,7,FALSE),-10000))</f>
        <v>397.368604</v>
      </c>
      <c r="S99">
        <f>IF(O99=O98,Q98+S98,Q99)</f>
        <v>41845.162319000003</v>
      </c>
      <c r="T99">
        <f>IF(O99=O98,T98+1,1)</f>
        <v>3</v>
      </c>
      <c r="U99">
        <f>IF(O99=O100,"",S99/T99)</f>
        <v>13948.387439666667</v>
      </c>
      <c r="V99" t="str">
        <f>IF(U99="","",IF(ABS(Q99-U99)&gt;V$1,"error",""))</f>
        <v/>
      </c>
    </row>
    <row r="100" spans="1:22" x14ac:dyDescent="0.55000000000000004">
      <c r="A100">
        <v>13345.45</v>
      </c>
      <c r="B100" s="1">
        <v>5.289E-2</v>
      </c>
      <c r="C100" s="1">
        <v>5.289E-2</v>
      </c>
      <c r="D100" s="2" t="s">
        <v>1121</v>
      </c>
      <c r="E100">
        <v>1</v>
      </c>
      <c r="F100" s="2" t="s">
        <v>2</v>
      </c>
      <c r="G100">
        <v>0</v>
      </c>
      <c r="H100">
        <v>9.5</v>
      </c>
      <c r="I100" s="2" t="s">
        <v>0</v>
      </c>
      <c r="J100">
        <v>1</v>
      </c>
      <c r="K100" s="2" t="s">
        <v>2</v>
      </c>
      <c r="L100">
        <v>0</v>
      </c>
      <c r="M100">
        <v>10.5</v>
      </c>
      <c r="N100" s="2" t="s">
        <v>1227</v>
      </c>
      <c r="O100" t="str">
        <f>D100&amp;"-"&amp;E100&amp;"-"&amp;F100&amp;"-"&amp;G100&amp;"-"&amp;H100</f>
        <v>A-1-e-0-9.5</v>
      </c>
      <c r="P100" t="str">
        <f>I100&amp;"-"&amp;J100&amp;"-"&amp;K100&amp;"-"&amp;L100&amp;"-"&amp;M100</f>
        <v>X-1-e-0-10.5</v>
      </c>
      <c r="Q100">
        <f>A100+R100</f>
        <v>13744.10626</v>
      </c>
      <c r="R100">
        <f>_xlfn.IFNA(VLOOKUP(P100,PGOPHER!A$2:G$181,7,FALSE),_xlfn.IFNA(VLOOKUP(P100,en!A$2:I$768,7,FALSE),-10000))</f>
        <v>398.65625999999997</v>
      </c>
      <c r="S100">
        <f>IF(O100=O99,Q99+S99,Q100)</f>
        <v>13744.10626</v>
      </c>
      <c r="T100">
        <f>IF(O100=O99,T99+1,1)</f>
        <v>1</v>
      </c>
      <c r="U100" t="str">
        <f>IF(O100=O101,"",S100/T100)</f>
        <v/>
      </c>
      <c r="V100" t="str">
        <f>IF(U100="","",IF(ABS(Q100-U100)&gt;V$1,"error",""))</f>
        <v/>
      </c>
    </row>
    <row r="101" spans="1:22" x14ac:dyDescent="0.55000000000000004">
      <c r="A101">
        <v>13482.66</v>
      </c>
      <c r="B101" s="1">
        <v>0.01</v>
      </c>
      <c r="C101" s="1">
        <v>0.01</v>
      </c>
      <c r="D101" s="2" t="s">
        <v>1121</v>
      </c>
      <c r="E101">
        <v>1</v>
      </c>
      <c r="F101" s="2" t="s">
        <v>2</v>
      </c>
      <c r="G101">
        <v>0</v>
      </c>
      <c r="H101">
        <v>9.5</v>
      </c>
      <c r="I101" s="2" t="s">
        <v>0</v>
      </c>
      <c r="J101">
        <v>1</v>
      </c>
      <c r="K101" s="2" t="s">
        <v>2</v>
      </c>
      <c r="L101">
        <v>0</v>
      </c>
      <c r="M101">
        <v>8.5</v>
      </c>
      <c r="N101" s="2" t="s">
        <v>1231</v>
      </c>
      <c r="O101" t="str">
        <f>D101&amp;"-"&amp;E101&amp;"-"&amp;F101&amp;"-"&amp;G101&amp;"-"&amp;H101</f>
        <v>A-1-e-0-9.5</v>
      </c>
      <c r="P101" t="str">
        <f>I101&amp;"-"&amp;J101&amp;"-"&amp;K101&amp;"-"&amp;L101&amp;"-"&amp;M101</f>
        <v>X-1-e-0-8.5</v>
      </c>
      <c r="Q101">
        <f>A101+R101</f>
        <v>13744.058057</v>
      </c>
      <c r="R101">
        <f>_xlfn.IFNA(VLOOKUP(P101,PGOPHER!A$2:G$181,7,FALSE),_xlfn.IFNA(VLOOKUP(P101,en!A$2:I$768,7,FALSE),-10000))</f>
        <v>261.39805699999999</v>
      </c>
      <c r="S101">
        <f>IF(O101=O100,Q100+S100,Q101)</f>
        <v>27488.212520000001</v>
      </c>
      <c r="T101">
        <f>IF(O101=O100,T100+1,1)</f>
        <v>2</v>
      </c>
      <c r="U101" t="str">
        <f>IF(O101=O102,"",S101/T101)</f>
        <v/>
      </c>
      <c r="V101" t="str">
        <f>IF(U101="","",IF(ABS(Q101-U101)&gt;V$1,"error",""))</f>
        <v/>
      </c>
    </row>
    <row r="102" spans="1:22" x14ac:dyDescent="0.55000000000000004">
      <c r="A102">
        <v>13346.64</v>
      </c>
      <c r="B102" s="1">
        <v>5.2830000000000002E-2</v>
      </c>
      <c r="C102" s="1">
        <v>5.2830000000000002E-2</v>
      </c>
      <c r="D102" s="2" t="s">
        <v>1121</v>
      </c>
      <c r="E102">
        <v>1</v>
      </c>
      <c r="F102" s="2" t="s">
        <v>2</v>
      </c>
      <c r="G102">
        <v>0</v>
      </c>
      <c r="H102">
        <v>9.5</v>
      </c>
      <c r="I102" s="2" t="s">
        <v>0</v>
      </c>
      <c r="J102">
        <v>2</v>
      </c>
      <c r="K102" s="2" t="s">
        <v>1</v>
      </c>
      <c r="L102">
        <v>0</v>
      </c>
      <c r="M102">
        <v>9.5</v>
      </c>
      <c r="N102" s="2" t="s">
        <v>1228</v>
      </c>
      <c r="O102" t="str">
        <f>D102&amp;"-"&amp;E102&amp;"-"&amp;F102&amp;"-"&amp;G102&amp;"-"&amp;H102</f>
        <v>A-1-e-0-9.5</v>
      </c>
      <c r="P102" t="str">
        <f>I102&amp;"-"&amp;J102&amp;"-"&amp;K102&amp;"-"&amp;L102&amp;"-"&amp;M102</f>
        <v>X-2-f-0-9.5</v>
      </c>
      <c r="Q102">
        <f>A102+R102</f>
        <v>13744.008603999999</v>
      </c>
      <c r="R102">
        <f>_xlfn.IFNA(VLOOKUP(P102,PGOPHER!A$2:G$181,7,FALSE),_xlfn.IFNA(VLOOKUP(P102,en!A$2:I$768,7,FALSE),-10000))</f>
        <v>397.368604</v>
      </c>
      <c r="S102">
        <f>IF(O102=O101,Q101+S101,Q102)</f>
        <v>41232.270577000003</v>
      </c>
      <c r="T102">
        <f>IF(O102=O101,T101+1,1)</f>
        <v>3</v>
      </c>
      <c r="U102">
        <f>IF(O102=O103,"",S102/T102)</f>
        <v>13744.090192333335</v>
      </c>
      <c r="V102" t="str">
        <f>IF(U102="","",IF(ABS(Q102-U102)&gt;V$1,"error",""))</f>
        <v/>
      </c>
    </row>
    <row r="103" spans="1:22" x14ac:dyDescent="0.55000000000000004">
      <c r="A103">
        <v>13380.36</v>
      </c>
      <c r="B103" s="1">
        <v>0.01</v>
      </c>
      <c r="C103" s="1">
        <v>0.01</v>
      </c>
      <c r="D103" s="2" t="s">
        <v>1121</v>
      </c>
      <c r="E103">
        <v>1</v>
      </c>
      <c r="F103" s="2" t="s">
        <v>1</v>
      </c>
      <c r="G103">
        <v>0</v>
      </c>
      <c r="H103">
        <v>9.5</v>
      </c>
      <c r="I103" s="2" t="s">
        <v>0</v>
      </c>
      <c r="J103">
        <v>2</v>
      </c>
      <c r="K103" s="2" t="s">
        <v>1</v>
      </c>
      <c r="L103">
        <v>0</v>
      </c>
      <c r="M103">
        <v>8.5</v>
      </c>
      <c r="N103" s="2" t="s">
        <v>1230</v>
      </c>
      <c r="O103" t="str">
        <f>D103&amp;"-"&amp;E103&amp;"-"&amp;F103&amp;"-"&amp;G103&amp;"-"&amp;H103</f>
        <v>A-1-f-0-9.5</v>
      </c>
      <c r="P103" t="str">
        <f>I103&amp;"-"&amp;J103&amp;"-"&amp;K103&amp;"-"&amp;L103&amp;"-"&amp;M103</f>
        <v>X-2-f-0-8.5</v>
      </c>
      <c r="Q103">
        <f>A103+R103</f>
        <v>13705.660726</v>
      </c>
      <c r="R103">
        <f>_xlfn.IFNA(VLOOKUP(P103,PGOPHER!A$2:G$181,7,FALSE),_xlfn.IFNA(VLOOKUP(P103,en!A$2:I$768,7,FALSE),-10000))</f>
        <v>325.300726</v>
      </c>
      <c r="S103">
        <f>IF(O103=O102,Q102+S102,Q103)</f>
        <v>13705.660726</v>
      </c>
      <c r="T103">
        <f>IF(O103=O102,T102+1,1)</f>
        <v>1</v>
      </c>
      <c r="U103" t="str">
        <f>IF(O103=O104,"",S103/T103)</f>
        <v/>
      </c>
      <c r="V103" t="str">
        <f>IF(U103="","",IF(ABS(Q103-U103)&gt;V$1,"error",""))</f>
        <v/>
      </c>
    </row>
    <row r="104" spans="1:22" x14ac:dyDescent="0.55000000000000004">
      <c r="A104">
        <v>13379.24</v>
      </c>
      <c r="B104" s="1">
        <v>5.0990000000000001E-2</v>
      </c>
      <c r="C104" s="1">
        <v>5.0990000000000001E-2</v>
      </c>
      <c r="D104" s="2" t="s">
        <v>1121</v>
      </c>
      <c r="E104">
        <v>1</v>
      </c>
      <c r="F104" s="2" t="s">
        <v>1</v>
      </c>
      <c r="G104">
        <v>0</v>
      </c>
      <c r="H104">
        <v>9.5</v>
      </c>
      <c r="I104" s="2" t="s">
        <v>0</v>
      </c>
      <c r="J104">
        <v>1</v>
      </c>
      <c r="K104" s="2" t="s">
        <v>2</v>
      </c>
      <c r="L104">
        <v>0</v>
      </c>
      <c r="M104">
        <v>9.5</v>
      </c>
      <c r="N104" s="2" t="s">
        <v>1229</v>
      </c>
      <c r="O104" t="str">
        <f>D104&amp;"-"&amp;E104&amp;"-"&amp;F104&amp;"-"&amp;G104&amp;"-"&amp;H104</f>
        <v>A-1-f-0-9.5</v>
      </c>
      <c r="P104" t="str">
        <f>I104&amp;"-"&amp;J104&amp;"-"&amp;K104&amp;"-"&amp;L104&amp;"-"&amp;M104</f>
        <v>X-1-e-0-9.5</v>
      </c>
      <c r="Q104">
        <f>A104+R104</f>
        <v>13705.707618</v>
      </c>
      <c r="R104">
        <f>_xlfn.IFNA(VLOOKUP(P104,PGOPHER!A$2:G$181,7,FALSE),_xlfn.IFNA(VLOOKUP(P104,en!A$2:I$768,7,FALSE),-10000))</f>
        <v>326.46761800000002</v>
      </c>
      <c r="S104">
        <f>IF(O104=O103,Q103+S103,Q104)</f>
        <v>27411.321452</v>
      </c>
      <c r="T104">
        <f>IF(O104=O103,T103+1,1)</f>
        <v>2</v>
      </c>
      <c r="U104" t="str">
        <f>IF(O104=O105,"",S104/T104)</f>
        <v/>
      </c>
      <c r="V104" t="str">
        <f>IF(U104="","",IF(ABS(Q104-U104)&gt;V$1,"error",""))</f>
        <v/>
      </c>
    </row>
    <row r="105" spans="1:22" x14ac:dyDescent="0.55000000000000004">
      <c r="A105">
        <v>13229.11</v>
      </c>
      <c r="B105" s="1">
        <v>3.2840000000000001E-2</v>
      </c>
      <c r="C105" s="1">
        <v>3.2840000000000001E-2</v>
      </c>
      <c r="D105" s="2" t="s">
        <v>1121</v>
      </c>
      <c r="E105">
        <v>1</v>
      </c>
      <c r="F105" s="2" t="s">
        <v>1</v>
      </c>
      <c r="G105">
        <v>0</v>
      </c>
      <c r="H105">
        <v>9.5</v>
      </c>
      <c r="I105" s="2" t="s">
        <v>0</v>
      </c>
      <c r="J105">
        <v>2</v>
      </c>
      <c r="K105" s="2" t="s">
        <v>1</v>
      </c>
      <c r="L105">
        <v>0</v>
      </c>
      <c r="M105">
        <v>10.5</v>
      </c>
      <c r="N105" s="2" t="s">
        <v>1226</v>
      </c>
      <c r="O105" t="str">
        <f>D105&amp;"-"&amp;E105&amp;"-"&amp;F105&amp;"-"&amp;G105&amp;"-"&amp;H105</f>
        <v>A-1-f-0-9.5</v>
      </c>
      <c r="P105" t="str">
        <f>I105&amp;"-"&amp;J105&amp;"-"&amp;K105&amp;"-"&amp;L105&amp;"-"&amp;M105</f>
        <v>X-2-f-0-10.5</v>
      </c>
      <c r="Q105">
        <f>A105+R105</f>
        <v>13705.638315</v>
      </c>
      <c r="R105">
        <f>_xlfn.IFNA(VLOOKUP(P105,PGOPHER!A$2:G$181,7,FALSE),_xlfn.IFNA(VLOOKUP(P105,en!A$2:I$768,7,FALSE),-10000))</f>
        <v>476.52831500000002</v>
      </c>
      <c r="S105">
        <f>IF(O105=O104,Q104+S104,Q105)</f>
        <v>41117.029070000004</v>
      </c>
      <c r="T105">
        <f>IF(O105=O104,T104+1,1)</f>
        <v>3</v>
      </c>
      <c r="U105">
        <f>IF(O105=O106,"",S105/T105)</f>
        <v>13705.676356666669</v>
      </c>
      <c r="V105" t="str">
        <f>IF(U105="","",IF(ABS(Q105-U105)&gt;V$1,"error",""))</f>
        <v/>
      </c>
    </row>
    <row r="106" spans="1:22" x14ac:dyDescent="0.55000000000000004">
      <c r="A106">
        <v>13620.06</v>
      </c>
      <c r="B106" s="1">
        <v>0.13350000000000001</v>
      </c>
      <c r="C106" s="1">
        <v>0.13350000000000001</v>
      </c>
      <c r="D106" s="2" t="s">
        <v>1121</v>
      </c>
      <c r="E106">
        <v>2</v>
      </c>
      <c r="F106" s="2" t="s">
        <v>2</v>
      </c>
      <c r="G106">
        <v>0</v>
      </c>
      <c r="H106">
        <v>9.5</v>
      </c>
      <c r="I106" s="2" t="s">
        <v>0</v>
      </c>
      <c r="J106">
        <v>1</v>
      </c>
      <c r="K106" s="2" t="s">
        <v>2</v>
      </c>
      <c r="L106">
        <v>0</v>
      </c>
      <c r="M106">
        <v>10.5</v>
      </c>
      <c r="N106" s="2" t="s">
        <v>1221</v>
      </c>
      <c r="O106" t="str">
        <f>D106&amp;"-"&amp;E106&amp;"-"&amp;F106&amp;"-"&amp;G106&amp;"-"&amp;H106</f>
        <v>A-2-e-0-9.5</v>
      </c>
      <c r="P106" t="str">
        <f>I106&amp;"-"&amp;J106&amp;"-"&amp;K106&amp;"-"&amp;L106&amp;"-"&amp;M106</f>
        <v>X-1-e-0-10.5</v>
      </c>
      <c r="Q106">
        <f>A106+R106</f>
        <v>14018.716259999999</v>
      </c>
      <c r="R106">
        <f>_xlfn.IFNA(VLOOKUP(P106,PGOPHER!A$2:G$181,7,FALSE),_xlfn.IFNA(VLOOKUP(P106,en!A$2:I$768,7,FALSE),-10000))</f>
        <v>398.65625999999997</v>
      </c>
      <c r="S106">
        <f>IF(O106=O105,Q105+S105,Q106)</f>
        <v>14018.716259999999</v>
      </c>
      <c r="T106">
        <f>IF(O106=O105,T105+1,1)</f>
        <v>1</v>
      </c>
      <c r="U106" t="str">
        <f>IF(O106=O107,"",S106/T106)</f>
        <v/>
      </c>
      <c r="V106" t="str">
        <f>IF(U106="","",IF(ABS(Q106-U106)&gt;V$1,"error",""))</f>
        <v/>
      </c>
    </row>
    <row r="107" spans="1:22" x14ac:dyDescent="0.55000000000000004">
      <c r="A107">
        <v>13757.03</v>
      </c>
      <c r="B107" s="1">
        <v>0.24399999999999999</v>
      </c>
      <c r="C107" s="1">
        <v>0.24399999999999999</v>
      </c>
      <c r="D107" s="2" t="s">
        <v>1121</v>
      </c>
      <c r="E107">
        <v>2</v>
      </c>
      <c r="F107" s="2" t="s">
        <v>2</v>
      </c>
      <c r="G107">
        <v>0</v>
      </c>
      <c r="H107">
        <v>9.5</v>
      </c>
      <c r="I107" s="2" t="s">
        <v>0</v>
      </c>
      <c r="J107">
        <v>1</v>
      </c>
      <c r="K107" s="2" t="s">
        <v>2</v>
      </c>
      <c r="L107">
        <v>0</v>
      </c>
      <c r="M107">
        <v>8.5</v>
      </c>
      <c r="N107" s="2" t="s">
        <v>1225</v>
      </c>
      <c r="O107" t="str">
        <f>D107&amp;"-"&amp;E107&amp;"-"&amp;F107&amp;"-"&amp;G107&amp;"-"&amp;H107</f>
        <v>A-2-e-0-9.5</v>
      </c>
      <c r="P107" t="str">
        <f>I107&amp;"-"&amp;J107&amp;"-"&amp;K107&amp;"-"&amp;L107&amp;"-"&amp;M107</f>
        <v>X-1-e-0-8.5</v>
      </c>
      <c r="Q107">
        <f>A107+R107</f>
        <v>14018.428057000001</v>
      </c>
      <c r="R107">
        <f>_xlfn.IFNA(VLOOKUP(P107,PGOPHER!A$2:G$181,7,FALSE),_xlfn.IFNA(VLOOKUP(P107,en!A$2:I$768,7,FALSE),-10000))</f>
        <v>261.39805699999999</v>
      </c>
      <c r="S107">
        <f>IF(O107=O106,Q106+S106,Q107)</f>
        <v>28037.432519999998</v>
      </c>
      <c r="T107">
        <f>IF(O107=O106,T106+1,1)</f>
        <v>2</v>
      </c>
      <c r="U107" t="str">
        <f>IF(O107=O108,"",S107/T107)</f>
        <v/>
      </c>
      <c r="V107" t="str">
        <f>IF(U107="","",IF(ABS(Q107-U107)&gt;V$1,"error",""))</f>
        <v/>
      </c>
    </row>
    <row r="108" spans="1:22" x14ac:dyDescent="0.55000000000000004">
      <c r="A108">
        <v>13621.28</v>
      </c>
      <c r="B108" s="1">
        <v>0.01</v>
      </c>
      <c r="C108" s="1">
        <v>0.01</v>
      </c>
      <c r="D108" s="2" t="s">
        <v>1121</v>
      </c>
      <c r="E108">
        <v>2</v>
      </c>
      <c r="F108" s="2" t="s">
        <v>2</v>
      </c>
      <c r="G108">
        <v>0</v>
      </c>
      <c r="H108">
        <v>9.5</v>
      </c>
      <c r="I108" s="2" t="s">
        <v>0</v>
      </c>
      <c r="J108">
        <v>2</v>
      </c>
      <c r="K108" s="2" t="s">
        <v>1</v>
      </c>
      <c r="L108">
        <v>0</v>
      </c>
      <c r="M108">
        <v>9.5</v>
      </c>
      <c r="N108" s="2" t="s">
        <v>1222</v>
      </c>
      <c r="O108" t="str">
        <f>D108&amp;"-"&amp;E108&amp;"-"&amp;F108&amp;"-"&amp;G108&amp;"-"&amp;H108</f>
        <v>A-2-e-0-9.5</v>
      </c>
      <c r="P108" t="str">
        <f>I108&amp;"-"&amp;J108&amp;"-"&amp;K108&amp;"-"&amp;L108&amp;"-"&amp;M108</f>
        <v>X-2-f-0-9.5</v>
      </c>
      <c r="Q108">
        <f>A108+R108</f>
        <v>14018.648604</v>
      </c>
      <c r="R108">
        <f>_xlfn.IFNA(VLOOKUP(P108,PGOPHER!A$2:G$181,7,FALSE),_xlfn.IFNA(VLOOKUP(P108,en!A$2:I$768,7,FALSE),-10000))</f>
        <v>397.368604</v>
      </c>
      <c r="S108">
        <f>IF(O108=O107,Q107+S107,Q108)</f>
        <v>42055.860576999999</v>
      </c>
      <c r="T108">
        <f>IF(O108=O107,T107+1,1)</f>
        <v>3</v>
      </c>
      <c r="U108">
        <f>IF(O108=O109,"",S108/T108)</f>
        <v>14018.620192333334</v>
      </c>
      <c r="V108" t="str">
        <f>IF(U108="","",IF(ABS(Q108-U108)&gt;V$1,"error",""))</f>
        <v/>
      </c>
    </row>
    <row r="109" spans="1:22" x14ac:dyDescent="0.55000000000000004">
      <c r="A109">
        <v>13692.44</v>
      </c>
      <c r="B109" s="1">
        <v>6.0479999999999999E-2</v>
      </c>
      <c r="C109" s="1">
        <v>6.0479999999999999E-2</v>
      </c>
      <c r="D109" s="2" t="s">
        <v>1121</v>
      </c>
      <c r="E109">
        <v>2</v>
      </c>
      <c r="F109" s="2" t="s">
        <v>1</v>
      </c>
      <c r="G109">
        <v>0</v>
      </c>
      <c r="H109">
        <v>9.5</v>
      </c>
      <c r="I109" s="2" t="s">
        <v>0</v>
      </c>
      <c r="J109">
        <v>2</v>
      </c>
      <c r="K109" s="2" t="s">
        <v>1</v>
      </c>
      <c r="L109">
        <v>0</v>
      </c>
      <c r="M109">
        <v>8.5</v>
      </c>
      <c r="N109" s="2" t="s">
        <v>1224</v>
      </c>
      <c r="O109" t="str">
        <f>D109&amp;"-"&amp;E109&amp;"-"&amp;F109&amp;"-"&amp;G109&amp;"-"&amp;H109</f>
        <v>A-2-f-0-9.5</v>
      </c>
      <c r="P109" t="str">
        <f>I109&amp;"-"&amp;J109&amp;"-"&amp;K109&amp;"-"&amp;L109&amp;"-"&amp;M109</f>
        <v>X-2-f-0-8.5</v>
      </c>
      <c r="Q109">
        <f>A109+R109</f>
        <v>14017.740726</v>
      </c>
      <c r="R109">
        <f>_xlfn.IFNA(VLOOKUP(P109,PGOPHER!A$2:G$181,7,FALSE),_xlfn.IFNA(VLOOKUP(P109,en!A$2:I$768,7,FALSE),-10000))</f>
        <v>325.300726</v>
      </c>
      <c r="S109">
        <f>IF(O109=O108,Q108+S108,Q109)</f>
        <v>14017.740726</v>
      </c>
      <c r="T109">
        <f>IF(O109=O108,T108+1,1)</f>
        <v>1</v>
      </c>
      <c r="U109" t="str">
        <f>IF(O109=O110,"",S109/T109)</f>
        <v/>
      </c>
      <c r="V109" t="str">
        <f>IF(U109="","",IF(ABS(Q109-U109)&gt;V$1,"error",""))</f>
        <v/>
      </c>
    </row>
    <row r="110" spans="1:22" x14ac:dyDescent="0.55000000000000004">
      <c r="A110">
        <v>13691.23</v>
      </c>
      <c r="B110" s="1">
        <v>1.269E-2</v>
      </c>
      <c r="C110" s="1">
        <v>1.269E-2</v>
      </c>
      <c r="D110" s="2" t="s">
        <v>1121</v>
      </c>
      <c r="E110">
        <v>2</v>
      </c>
      <c r="F110" s="2" t="s">
        <v>1</v>
      </c>
      <c r="G110">
        <v>0</v>
      </c>
      <c r="H110">
        <v>9.5</v>
      </c>
      <c r="I110" s="2" t="s">
        <v>0</v>
      </c>
      <c r="J110">
        <v>1</v>
      </c>
      <c r="K110" s="2" t="s">
        <v>2</v>
      </c>
      <c r="L110">
        <v>0</v>
      </c>
      <c r="M110">
        <v>9.5</v>
      </c>
      <c r="N110" s="2" t="s">
        <v>1223</v>
      </c>
      <c r="O110" t="str">
        <f>D110&amp;"-"&amp;E110&amp;"-"&amp;F110&amp;"-"&amp;G110&amp;"-"&amp;H110</f>
        <v>A-2-f-0-9.5</v>
      </c>
      <c r="P110" t="str">
        <f>I110&amp;"-"&amp;J110&amp;"-"&amp;K110&amp;"-"&amp;L110&amp;"-"&amp;M110</f>
        <v>X-1-e-0-9.5</v>
      </c>
      <c r="Q110">
        <f>A110+R110</f>
        <v>14017.697618</v>
      </c>
      <c r="R110">
        <f>_xlfn.IFNA(VLOOKUP(P110,PGOPHER!A$2:G$181,7,FALSE),_xlfn.IFNA(VLOOKUP(P110,en!A$2:I$768,7,FALSE),-10000))</f>
        <v>326.46761800000002</v>
      </c>
      <c r="S110">
        <f>IF(O110=O109,Q109+S109,Q110)</f>
        <v>28035.481452</v>
      </c>
      <c r="T110">
        <f>IF(O110=O109,T109+1,1)</f>
        <v>2</v>
      </c>
      <c r="U110" t="str">
        <f>IF(O110=O111,"",S110/T110)</f>
        <v/>
      </c>
      <c r="V110" t="str">
        <f>IF(U110="","",IF(ABS(Q110-U110)&gt;V$1,"error",""))</f>
        <v/>
      </c>
    </row>
    <row r="111" spans="1:22" x14ac:dyDescent="0.55000000000000004">
      <c r="A111">
        <v>13541.09</v>
      </c>
      <c r="B111" s="1">
        <v>8.6679999999999993E-2</v>
      </c>
      <c r="C111" s="1">
        <v>8.6679999999999993E-2</v>
      </c>
      <c r="D111" s="2" t="s">
        <v>1121</v>
      </c>
      <c r="E111">
        <v>2</v>
      </c>
      <c r="F111" s="2" t="s">
        <v>1</v>
      </c>
      <c r="G111">
        <v>0</v>
      </c>
      <c r="H111">
        <v>9.5</v>
      </c>
      <c r="I111" s="2" t="s">
        <v>0</v>
      </c>
      <c r="J111">
        <v>2</v>
      </c>
      <c r="K111" s="2" t="s">
        <v>1</v>
      </c>
      <c r="L111">
        <v>0</v>
      </c>
      <c r="M111">
        <v>10.5</v>
      </c>
      <c r="N111" s="2" t="s">
        <v>1220</v>
      </c>
      <c r="O111" t="str">
        <f>D111&amp;"-"&amp;E111&amp;"-"&amp;F111&amp;"-"&amp;G111&amp;"-"&amp;H111</f>
        <v>A-2-f-0-9.5</v>
      </c>
      <c r="P111" t="str">
        <f>I111&amp;"-"&amp;J111&amp;"-"&amp;K111&amp;"-"&amp;L111&amp;"-"&amp;M111</f>
        <v>X-2-f-0-10.5</v>
      </c>
      <c r="Q111">
        <f>A111+R111</f>
        <v>14017.618315</v>
      </c>
      <c r="R111">
        <f>_xlfn.IFNA(VLOOKUP(P111,PGOPHER!A$2:G$181,7,FALSE),_xlfn.IFNA(VLOOKUP(P111,en!A$2:I$768,7,FALSE),-10000))</f>
        <v>476.52831500000002</v>
      </c>
      <c r="S111">
        <f>IF(O111=O110,Q110+S110,Q111)</f>
        <v>42053.179069999998</v>
      </c>
      <c r="T111">
        <f>IF(O111=O110,T110+1,1)</f>
        <v>3</v>
      </c>
      <c r="U111">
        <f>IF(O111=O112,"",S111/T111)</f>
        <v>14017.726356666666</v>
      </c>
      <c r="V111" t="str">
        <f>IF(U111="","",IF(ABS(Q111-U111)&gt;V$1,"error",""))</f>
        <v/>
      </c>
    </row>
    <row r="112" spans="1:22" x14ac:dyDescent="0.55000000000000004">
      <c r="A112">
        <v>13344.24</v>
      </c>
      <c r="B112" s="1">
        <v>1.8450000000000001E-2</v>
      </c>
      <c r="C112" s="1">
        <v>1.8450000000000001E-2</v>
      </c>
      <c r="D112" s="2" t="s">
        <v>1121</v>
      </c>
      <c r="E112">
        <v>1</v>
      </c>
      <c r="F112" s="2" t="s">
        <v>2</v>
      </c>
      <c r="G112">
        <v>0</v>
      </c>
      <c r="H112">
        <v>10.5</v>
      </c>
      <c r="I112" s="2" t="s">
        <v>0</v>
      </c>
      <c r="J112">
        <v>1</v>
      </c>
      <c r="K112" s="2" t="s">
        <v>2</v>
      </c>
      <c r="L112">
        <v>0</v>
      </c>
      <c r="M112">
        <v>11.5</v>
      </c>
      <c r="N112" s="2" t="s">
        <v>1239</v>
      </c>
      <c r="O112" t="str">
        <f>D112&amp;"-"&amp;E112&amp;"-"&amp;F112&amp;"-"&amp;G112&amp;"-"&amp;H112</f>
        <v>A-1-e-0-10.5</v>
      </c>
      <c r="P112" t="str">
        <f>I112&amp;"-"&amp;J112&amp;"-"&amp;K112&amp;"-"&amp;L112&amp;"-"&amp;M112</f>
        <v>X-1-e-0-11.5</v>
      </c>
      <c r="Q112">
        <f>A112+R112</f>
        <v>13822.173424000001</v>
      </c>
      <c r="R112">
        <f>_xlfn.IFNA(VLOOKUP(P112,PGOPHER!A$2:G$181,7,FALSE),_xlfn.IFNA(VLOOKUP(P112,en!A$2:I$768,7,FALSE),-10000))</f>
        <v>477.933424</v>
      </c>
      <c r="S112">
        <f>IF(O112=O111,Q111+S111,Q112)</f>
        <v>13822.173424000001</v>
      </c>
      <c r="T112">
        <f>IF(O112=O111,T111+1,1)</f>
        <v>1</v>
      </c>
      <c r="U112" t="str">
        <f>IF(O112=O113,"",S112/T112)</f>
        <v/>
      </c>
      <c r="V112" t="str">
        <f>IF(U112="","",IF(ABS(Q112-U112)&gt;V$1,"error",""))</f>
        <v/>
      </c>
    </row>
    <row r="113" spans="1:22" x14ac:dyDescent="0.55000000000000004">
      <c r="A113">
        <v>13495.69</v>
      </c>
      <c r="B113" s="1">
        <v>0.01</v>
      </c>
      <c r="C113" s="1">
        <v>0.01</v>
      </c>
      <c r="D113" s="2" t="s">
        <v>1121</v>
      </c>
      <c r="E113">
        <v>1</v>
      </c>
      <c r="F113" s="2" t="s">
        <v>2</v>
      </c>
      <c r="G113">
        <v>0</v>
      </c>
      <c r="H113">
        <v>10.5</v>
      </c>
      <c r="I113" s="2" t="s">
        <v>0</v>
      </c>
      <c r="J113">
        <v>1</v>
      </c>
      <c r="K113" s="2" t="s">
        <v>2</v>
      </c>
      <c r="L113">
        <v>0</v>
      </c>
      <c r="M113">
        <v>9.5</v>
      </c>
      <c r="N113" s="2" t="s">
        <v>1243</v>
      </c>
      <c r="O113" t="str">
        <f>D113&amp;"-"&amp;E113&amp;"-"&amp;F113&amp;"-"&amp;G113&amp;"-"&amp;H113</f>
        <v>A-1-e-0-10.5</v>
      </c>
      <c r="P113" t="str">
        <f>I113&amp;"-"&amp;J113&amp;"-"&amp;K113&amp;"-"&amp;L113&amp;"-"&amp;M113</f>
        <v>X-1-e-0-9.5</v>
      </c>
      <c r="Q113">
        <f>A113+R113</f>
        <v>13822.157618000001</v>
      </c>
      <c r="R113">
        <f>_xlfn.IFNA(VLOOKUP(P113,PGOPHER!A$2:G$181,7,FALSE),_xlfn.IFNA(VLOOKUP(P113,en!A$2:I$768,7,FALSE),-10000))</f>
        <v>326.46761800000002</v>
      </c>
      <c r="S113">
        <f>IF(O113=O112,Q112+S112,Q113)</f>
        <v>27644.346848000001</v>
      </c>
      <c r="T113">
        <f>IF(O113=O112,T112+1,1)</f>
        <v>2</v>
      </c>
      <c r="U113" t="str">
        <f>IF(O113=O114,"",S113/T113)</f>
        <v/>
      </c>
      <c r="V113" t="str">
        <f>IF(U113="","",IF(ABS(Q113-U113)&gt;V$1,"error",""))</f>
        <v/>
      </c>
    </row>
    <row r="114" spans="1:22" x14ac:dyDescent="0.55000000000000004">
      <c r="A114">
        <v>13345.61</v>
      </c>
      <c r="B114" s="1">
        <v>1.915E-2</v>
      </c>
      <c r="C114" s="1">
        <v>1.915E-2</v>
      </c>
      <c r="D114" s="2" t="s">
        <v>1121</v>
      </c>
      <c r="E114">
        <v>1</v>
      </c>
      <c r="F114" s="2" t="s">
        <v>2</v>
      </c>
      <c r="G114">
        <v>0</v>
      </c>
      <c r="H114">
        <v>10.5</v>
      </c>
      <c r="I114" s="2" t="s">
        <v>0</v>
      </c>
      <c r="J114">
        <v>2</v>
      </c>
      <c r="K114" s="2" t="s">
        <v>1</v>
      </c>
      <c r="L114">
        <v>0</v>
      </c>
      <c r="M114">
        <v>10.5</v>
      </c>
      <c r="N114" s="2" t="s">
        <v>1240</v>
      </c>
      <c r="O114" t="str">
        <f>D114&amp;"-"&amp;E114&amp;"-"&amp;F114&amp;"-"&amp;G114&amp;"-"&amp;H114</f>
        <v>A-1-e-0-10.5</v>
      </c>
      <c r="P114" t="str">
        <f>I114&amp;"-"&amp;J114&amp;"-"&amp;K114&amp;"-"&amp;L114&amp;"-"&amp;M114</f>
        <v>X-2-f-0-10.5</v>
      </c>
      <c r="Q114">
        <f>A114+R114</f>
        <v>13822.138315</v>
      </c>
      <c r="R114">
        <f>_xlfn.IFNA(VLOOKUP(P114,PGOPHER!A$2:G$181,7,FALSE),_xlfn.IFNA(VLOOKUP(P114,en!A$2:I$768,7,FALSE),-10000))</f>
        <v>476.52831500000002</v>
      </c>
      <c r="S114">
        <f>IF(O114=O113,Q113+S113,Q114)</f>
        <v>41466.504465999999</v>
      </c>
      <c r="T114">
        <f>IF(O114=O113,T113+1,1)</f>
        <v>3</v>
      </c>
      <c r="U114">
        <f>IF(O114=O115,"",S114/T114)</f>
        <v>13822.168155333333</v>
      </c>
      <c r="V114" t="str">
        <f>IF(U114="","",IF(ABS(Q114-U114)&gt;V$1,"error",""))</f>
        <v/>
      </c>
    </row>
    <row r="115" spans="1:22" x14ac:dyDescent="0.55000000000000004">
      <c r="A115">
        <v>13383.13</v>
      </c>
      <c r="B115" s="1">
        <v>4.4490000000000002E-2</v>
      </c>
      <c r="C115" s="1">
        <v>4.4490000000000002E-2</v>
      </c>
      <c r="D115" s="2" t="s">
        <v>1121</v>
      </c>
      <c r="E115">
        <v>1</v>
      </c>
      <c r="F115" s="2" t="s">
        <v>1</v>
      </c>
      <c r="G115">
        <v>0</v>
      </c>
      <c r="H115">
        <v>10.5</v>
      </c>
      <c r="I115" s="2" t="s">
        <v>0</v>
      </c>
      <c r="J115">
        <v>2</v>
      </c>
      <c r="K115" s="2" t="s">
        <v>1</v>
      </c>
      <c r="L115">
        <v>0</v>
      </c>
      <c r="M115">
        <v>9.5</v>
      </c>
      <c r="N115" s="2" t="s">
        <v>1242</v>
      </c>
      <c r="O115" t="str">
        <f>D115&amp;"-"&amp;E115&amp;"-"&amp;F115&amp;"-"&amp;G115&amp;"-"&amp;H115</f>
        <v>A-1-f-0-10.5</v>
      </c>
      <c r="P115" t="str">
        <f>I115&amp;"-"&amp;J115&amp;"-"&amp;K115&amp;"-"&amp;L115&amp;"-"&amp;M115</f>
        <v>X-2-f-0-9.5</v>
      </c>
      <c r="Q115">
        <f>A115+R115</f>
        <v>13780.498603999999</v>
      </c>
      <c r="R115">
        <f>_xlfn.IFNA(VLOOKUP(P115,PGOPHER!A$2:G$181,7,FALSE),_xlfn.IFNA(VLOOKUP(P115,en!A$2:I$768,7,FALSE),-10000))</f>
        <v>397.368604</v>
      </c>
      <c r="S115">
        <f>IF(O115=O114,Q114+S114,Q115)</f>
        <v>13780.498603999999</v>
      </c>
      <c r="T115">
        <f>IF(O115=O114,T114+1,1)</f>
        <v>1</v>
      </c>
      <c r="U115" t="str">
        <f>IF(O115=O116,"",S115/T115)</f>
        <v/>
      </c>
      <c r="V115" t="str">
        <f>IF(U115="","",IF(ABS(Q115-U115)&gt;V$1,"error",""))</f>
        <v/>
      </c>
    </row>
    <row r="116" spans="1:22" x14ac:dyDescent="0.55000000000000004">
      <c r="A116">
        <v>13381.8</v>
      </c>
      <c r="B116" s="1">
        <v>1.379E-2</v>
      </c>
      <c r="C116" s="1">
        <v>1.379E-2</v>
      </c>
      <c r="D116" s="2" t="s">
        <v>1121</v>
      </c>
      <c r="E116">
        <v>1</v>
      </c>
      <c r="F116" s="2" t="s">
        <v>1</v>
      </c>
      <c r="G116">
        <v>0</v>
      </c>
      <c r="H116">
        <v>10.5</v>
      </c>
      <c r="I116" s="2" t="s">
        <v>0</v>
      </c>
      <c r="J116">
        <v>1</v>
      </c>
      <c r="K116" s="2" t="s">
        <v>2</v>
      </c>
      <c r="L116">
        <v>0</v>
      </c>
      <c r="M116">
        <v>10.5</v>
      </c>
      <c r="N116" s="2" t="s">
        <v>1241</v>
      </c>
      <c r="O116" t="str">
        <f>D116&amp;"-"&amp;E116&amp;"-"&amp;F116&amp;"-"&amp;G116&amp;"-"&amp;H116</f>
        <v>A-1-f-0-10.5</v>
      </c>
      <c r="P116" t="str">
        <f>I116&amp;"-"&amp;J116&amp;"-"&amp;K116&amp;"-"&amp;L116&amp;"-"&amp;M116</f>
        <v>X-1-e-0-10.5</v>
      </c>
      <c r="Q116">
        <f>A116+R116</f>
        <v>13780.456259999999</v>
      </c>
      <c r="R116">
        <f>_xlfn.IFNA(VLOOKUP(P116,PGOPHER!A$2:G$181,7,FALSE),_xlfn.IFNA(VLOOKUP(P116,en!A$2:I$768,7,FALSE),-10000))</f>
        <v>398.65625999999997</v>
      </c>
      <c r="S116">
        <f>IF(O116=O115,Q115+S115,Q116)</f>
        <v>27560.997207999997</v>
      </c>
      <c r="T116">
        <f>IF(O116=O115,T115+1,1)</f>
        <v>2</v>
      </c>
      <c r="U116" t="str">
        <f>IF(O116=O117,"",S116/T116)</f>
        <v/>
      </c>
      <c r="V116" t="str">
        <f>IF(U116="","",IF(ABS(Q116-U116)&gt;V$1,"error",""))</f>
        <v/>
      </c>
    </row>
    <row r="117" spans="1:22" x14ac:dyDescent="0.55000000000000004">
      <c r="A117">
        <v>13217.71</v>
      </c>
      <c r="B117" s="1">
        <v>2.069E-2</v>
      </c>
      <c r="C117" s="1">
        <v>2.069E-2</v>
      </c>
      <c r="D117" s="2" t="s">
        <v>1121</v>
      </c>
      <c r="E117">
        <v>1</v>
      </c>
      <c r="F117" s="2" t="s">
        <v>1</v>
      </c>
      <c r="G117">
        <v>0</v>
      </c>
      <c r="H117">
        <v>10.5</v>
      </c>
      <c r="I117" s="2" t="s">
        <v>0</v>
      </c>
      <c r="J117">
        <v>2</v>
      </c>
      <c r="K117" s="2" t="s">
        <v>1</v>
      </c>
      <c r="L117">
        <v>0</v>
      </c>
      <c r="M117">
        <v>11.5</v>
      </c>
      <c r="N117" s="2" t="s">
        <v>1238</v>
      </c>
      <c r="O117" t="str">
        <f>D117&amp;"-"&amp;E117&amp;"-"&amp;F117&amp;"-"&amp;G117&amp;"-"&amp;H117</f>
        <v>A-1-f-0-10.5</v>
      </c>
      <c r="P117" t="str">
        <f>I117&amp;"-"&amp;J117&amp;"-"&amp;K117&amp;"-"&amp;L117&amp;"-"&amp;M117</f>
        <v>X-2-f-0-11.5</v>
      </c>
      <c r="Q117">
        <f>A117+R117</f>
        <v>13780.447865999999</v>
      </c>
      <c r="R117">
        <f>_xlfn.IFNA(VLOOKUP(P117,PGOPHER!A$2:G$181,7,FALSE),_xlfn.IFNA(VLOOKUP(P117,en!A$2:I$768,7,FALSE),-10000))</f>
        <v>562.73786600000005</v>
      </c>
      <c r="S117">
        <f>IF(O117=O116,Q116+S116,Q117)</f>
        <v>41341.453467999992</v>
      </c>
      <c r="T117">
        <f>IF(O117=O116,T116+1,1)</f>
        <v>3</v>
      </c>
      <c r="U117">
        <f>IF(O117=O118,"",S117/T117)</f>
        <v>13780.48448933333</v>
      </c>
      <c r="V117" t="str">
        <f>IF(U117="","",IF(ABS(Q117-U117)&gt;V$1,"error",""))</f>
        <v/>
      </c>
    </row>
    <row r="118" spans="1:22" x14ac:dyDescent="0.55000000000000004">
      <c r="A118">
        <v>13617.66</v>
      </c>
      <c r="B118" s="1">
        <v>1.822E-2</v>
      </c>
      <c r="C118" s="1">
        <v>1.822E-2</v>
      </c>
      <c r="D118" s="2" t="s">
        <v>1121</v>
      </c>
      <c r="E118">
        <v>2</v>
      </c>
      <c r="F118" s="2" t="s">
        <v>2</v>
      </c>
      <c r="G118">
        <v>0</v>
      </c>
      <c r="H118">
        <v>10.5</v>
      </c>
      <c r="I118" s="2" t="s">
        <v>0</v>
      </c>
      <c r="J118">
        <v>1</v>
      </c>
      <c r="K118" s="2" t="s">
        <v>2</v>
      </c>
      <c r="L118">
        <v>0</v>
      </c>
      <c r="M118">
        <v>11.5</v>
      </c>
      <c r="N118" s="2" t="s">
        <v>1233</v>
      </c>
      <c r="O118" t="str">
        <f>D118&amp;"-"&amp;E118&amp;"-"&amp;F118&amp;"-"&amp;G118&amp;"-"&amp;H118</f>
        <v>A-2-e-0-10.5</v>
      </c>
      <c r="P118" t="str">
        <f>I118&amp;"-"&amp;J118&amp;"-"&amp;K118&amp;"-"&amp;L118&amp;"-"&amp;M118</f>
        <v>X-1-e-0-11.5</v>
      </c>
      <c r="Q118">
        <f>A118+R118</f>
        <v>14095.593424000001</v>
      </c>
      <c r="R118">
        <f>_xlfn.IFNA(VLOOKUP(P118,PGOPHER!A$2:G$181,7,FALSE),_xlfn.IFNA(VLOOKUP(P118,en!A$2:I$768,7,FALSE),-10000))</f>
        <v>477.933424</v>
      </c>
      <c r="S118">
        <f>IF(O118=O117,Q117+S117,Q118)</f>
        <v>14095.593424000001</v>
      </c>
      <c r="T118">
        <f>IF(O118=O117,T117+1,1)</f>
        <v>1</v>
      </c>
      <c r="U118" t="str">
        <f>IF(O118=O119,"",S118/T118)</f>
        <v/>
      </c>
      <c r="V118" t="str">
        <f>IF(U118="","",IF(ABS(Q118-U118)&gt;V$1,"error",""))</f>
        <v/>
      </c>
    </row>
    <row r="119" spans="1:22" x14ac:dyDescent="0.55000000000000004">
      <c r="A119">
        <v>13769.18</v>
      </c>
      <c r="B119" s="1">
        <v>5.5140000000000002E-2</v>
      </c>
      <c r="C119" s="1">
        <v>5.5140000000000002E-2</v>
      </c>
      <c r="D119" s="2" t="s">
        <v>1121</v>
      </c>
      <c r="E119">
        <v>2</v>
      </c>
      <c r="F119" s="2" t="s">
        <v>2</v>
      </c>
      <c r="G119">
        <v>0</v>
      </c>
      <c r="H119">
        <v>10.5</v>
      </c>
      <c r="I119" s="2" t="s">
        <v>0</v>
      </c>
      <c r="J119">
        <v>1</v>
      </c>
      <c r="K119" s="2" t="s">
        <v>2</v>
      </c>
      <c r="L119">
        <v>0</v>
      </c>
      <c r="M119">
        <v>9.5</v>
      </c>
      <c r="N119" s="2" t="s">
        <v>1237</v>
      </c>
      <c r="O119" t="str">
        <f>D119&amp;"-"&amp;E119&amp;"-"&amp;F119&amp;"-"&amp;G119&amp;"-"&amp;H119</f>
        <v>A-2-e-0-10.5</v>
      </c>
      <c r="P119" t="str">
        <f>I119&amp;"-"&amp;J119&amp;"-"&amp;K119&amp;"-"&amp;L119&amp;"-"&amp;M119</f>
        <v>X-1-e-0-9.5</v>
      </c>
      <c r="Q119">
        <f>A119+R119</f>
        <v>14095.647618000001</v>
      </c>
      <c r="R119">
        <f>_xlfn.IFNA(VLOOKUP(P119,PGOPHER!A$2:G$181,7,FALSE),_xlfn.IFNA(VLOOKUP(P119,en!A$2:I$768,7,FALSE),-10000))</f>
        <v>326.46761800000002</v>
      </c>
      <c r="S119">
        <f>IF(O119=O118,Q118+S118,Q119)</f>
        <v>28191.186848000001</v>
      </c>
      <c r="T119">
        <f>IF(O119=O118,T118+1,1)</f>
        <v>2</v>
      </c>
      <c r="U119" t="str">
        <f>IF(O119=O120,"",S119/T119)</f>
        <v/>
      </c>
      <c r="V119" t="str">
        <f>IF(U119="","",IF(ABS(Q119-U119)&gt;V$1,"error",""))</f>
        <v/>
      </c>
    </row>
    <row r="120" spans="1:22" x14ac:dyDescent="0.55000000000000004">
      <c r="A120">
        <v>13619.06</v>
      </c>
      <c r="B120" s="1">
        <v>2.282E-2</v>
      </c>
      <c r="C120" s="1">
        <v>2.282E-2</v>
      </c>
      <c r="D120" s="2" t="s">
        <v>1121</v>
      </c>
      <c r="E120">
        <v>2</v>
      </c>
      <c r="F120" s="2" t="s">
        <v>2</v>
      </c>
      <c r="G120">
        <v>0</v>
      </c>
      <c r="H120">
        <v>10.5</v>
      </c>
      <c r="I120" s="2" t="s">
        <v>0</v>
      </c>
      <c r="J120">
        <v>2</v>
      </c>
      <c r="K120" s="2" t="s">
        <v>1</v>
      </c>
      <c r="L120">
        <v>0</v>
      </c>
      <c r="M120">
        <v>10.5</v>
      </c>
      <c r="N120" s="2" t="s">
        <v>1234</v>
      </c>
      <c r="O120" t="str">
        <f>D120&amp;"-"&amp;E120&amp;"-"&amp;F120&amp;"-"&amp;G120&amp;"-"&amp;H120</f>
        <v>A-2-e-0-10.5</v>
      </c>
      <c r="P120" t="str">
        <f>I120&amp;"-"&amp;J120&amp;"-"&amp;K120&amp;"-"&amp;L120&amp;"-"&amp;M120</f>
        <v>X-2-f-0-10.5</v>
      </c>
      <c r="Q120">
        <f>A120+R120</f>
        <v>14095.588314999999</v>
      </c>
      <c r="R120">
        <f>_xlfn.IFNA(VLOOKUP(P120,PGOPHER!A$2:G$181,7,FALSE),_xlfn.IFNA(VLOOKUP(P120,en!A$2:I$768,7,FALSE),-10000))</f>
        <v>476.52831500000002</v>
      </c>
      <c r="S120">
        <f>IF(O120=O119,Q119+S119,Q120)</f>
        <v>42286.834466</v>
      </c>
      <c r="T120">
        <f>IF(O120=O119,T119+1,1)</f>
        <v>3</v>
      </c>
      <c r="U120">
        <f>IF(O120=O121,"",S120/T120)</f>
        <v>14095.611488666667</v>
      </c>
      <c r="V120" t="str">
        <f>IF(U120="","",IF(ABS(Q120-U120)&gt;V$1,"error",""))</f>
        <v/>
      </c>
    </row>
    <row r="121" spans="1:22" x14ac:dyDescent="0.55000000000000004">
      <c r="A121">
        <v>13696.86</v>
      </c>
      <c r="B121" s="1">
        <v>3.082E-2</v>
      </c>
      <c r="C121" s="1">
        <v>3.082E-2</v>
      </c>
      <c r="D121" s="2" t="s">
        <v>1121</v>
      </c>
      <c r="E121">
        <v>2</v>
      </c>
      <c r="F121" s="2" t="s">
        <v>1</v>
      </c>
      <c r="G121">
        <v>0</v>
      </c>
      <c r="H121">
        <v>10.5</v>
      </c>
      <c r="I121" s="2" t="s">
        <v>0</v>
      </c>
      <c r="J121">
        <v>2</v>
      </c>
      <c r="K121" s="2" t="s">
        <v>1</v>
      </c>
      <c r="L121">
        <v>0</v>
      </c>
      <c r="M121">
        <v>9.5</v>
      </c>
      <c r="N121" s="2" t="s">
        <v>1236</v>
      </c>
      <c r="O121" t="str">
        <f>D121&amp;"-"&amp;E121&amp;"-"&amp;F121&amp;"-"&amp;G121&amp;"-"&amp;H121</f>
        <v>A-2-f-0-10.5</v>
      </c>
      <c r="P121" t="str">
        <f>I121&amp;"-"&amp;J121&amp;"-"&amp;K121&amp;"-"&amp;L121&amp;"-"&amp;M121</f>
        <v>X-2-f-0-9.5</v>
      </c>
      <c r="Q121">
        <f>A121+R121</f>
        <v>14094.228604</v>
      </c>
      <c r="R121">
        <f>_xlfn.IFNA(VLOOKUP(P121,PGOPHER!A$2:G$181,7,FALSE),_xlfn.IFNA(VLOOKUP(P121,en!A$2:I$768,7,FALSE),-10000))</f>
        <v>397.368604</v>
      </c>
      <c r="S121">
        <f>IF(O121=O120,Q120+S120,Q121)</f>
        <v>14094.228604</v>
      </c>
      <c r="T121">
        <f>IF(O121=O120,T120+1,1)</f>
        <v>1</v>
      </c>
      <c r="U121" t="str">
        <f>IF(O121=O122,"",S121/T121)</f>
        <v/>
      </c>
      <c r="V121" t="str">
        <f>IF(U121="","",IF(ABS(Q121-U121)&gt;V$1,"error",""))</f>
        <v/>
      </c>
    </row>
    <row r="122" spans="1:22" x14ac:dyDescent="0.55000000000000004">
      <c r="A122">
        <v>13695.57</v>
      </c>
      <c r="B122" s="1">
        <v>2.6540000000000001E-2</v>
      </c>
      <c r="C122" s="1">
        <v>2.6540000000000001E-2</v>
      </c>
      <c r="D122" s="2" t="s">
        <v>1121</v>
      </c>
      <c r="E122">
        <v>2</v>
      </c>
      <c r="F122" s="2" t="s">
        <v>1</v>
      </c>
      <c r="G122">
        <v>0</v>
      </c>
      <c r="H122">
        <v>10.5</v>
      </c>
      <c r="I122" s="2" t="s">
        <v>0</v>
      </c>
      <c r="J122">
        <v>1</v>
      </c>
      <c r="K122" s="2" t="s">
        <v>2</v>
      </c>
      <c r="L122">
        <v>0</v>
      </c>
      <c r="M122">
        <v>10.5</v>
      </c>
      <c r="N122" s="2" t="s">
        <v>1235</v>
      </c>
      <c r="O122" t="str">
        <f>D122&amp;"-"&amp;E122&amp;"-"&amp;F122&amp;"-"&amp;G122&amp;"-"&amp;H122</f>
        <v>A-2-f-0-10.5</v>
      </c>
      <c r="P122" t="str">
        <f>I122&amp;"-"&amp;J122&amp;"-"&amp;K122&amp;"-"&amp;L122&amp;"-"&amp;M122</f>
        <v>X-1-e-0-10.5</v>
      </c>
      <c r="Q122">
        <f>A122+R122</f>
        <v>14094.226259999999</v>
      </c>
      <c r="R122">
        <f>_xlfn.IFNA(VLOOKUP(P122,PGOPHER!A$2:G$181,7,FALSE),_xlfn.IFNA(VLOOKUP(P122,en!A$2:I$768,7,FALSE),-10000))</f>
        <v>398.65625999999997</v>
      </c>
      <c r="S122">
        <f>IF(O122=O121,Q121+S121,Q122)</f>
        <v>28188.457208</v>
      </c>
      <c r="T122">
        <f>IF(O122=O121,T121+1,1)</f>
        <v>2</v>
      </c>
      <c r="U122" t="str">
        <f>IF(O122=O123,"",S122/T122)</f>
        <v/>
      </c>
      <c r="V122" t="str">
        <f>IF(U122="","",IF(ABS(Q122-U122)&gt;V$1,"error",""))</f>
        <v/>
      </c>
    </row>
    <row r="123" spans="1:22" x14ac:dyDescent="0.55000000000000004">
      <c r="A123">
        <v>13531.41</v>
      </c>
      <c r="B123" s="1">
        <v>7.7560000000000004E-2</v>
      </c>
      <c r="C123" s="1">
        <v>7.7560000000000004E-2</v>
      </c>
      <c r="D123" s="2" t="s">
        <v>1121</v>
      </c>
      <c r="E123">
        <v>2</v>
      </c>
      <c r="F123" s="2" t="s">
        <v>1</v>
      </c>
      <c r="G123">
        <v>0</v>
      </c>
      <c r="H123">
        <v>10.5</v>
      </c>
      <c r="I123" s="2" t="s">
        <v>0</v>
      </c>
      <c r="J123">
        <v>2</v>
      </c>
      <c r="K123" s="2" t="s">
        <v>1</v>
      </c>
      <c r="L123">
        <v>0</v>
      </c>
      <c r="M123">
        <v>11.5</v>
      </c>
      <c r="N123" s="2" t="s">
        <v>1232</v>
      </c>
      <c r="O123" t="str">
        <f>D123&amp;"-"&amp;E123&amp;"-"&amp;F123&amp;"-"&amp;G123&amp;"-"&amp;H123</f>
        <v>A-2-f-0-10.5</v>
      </c>
      <c r="P123" t="str">
        <f>I123&amp;"-"&amp;J123&amp;"-"&amp;K123&amp;"-"&amp;L123&amp;"-"&amp;M123</f>
        <v>X-2-f-0-11.5</v>
      </c>
      <c r="Q123">
        <f>A123+R123</f>
        <v>14094.147865999999</v>
      </c>
      <c r="R123">
        <f>_xlfn.IFNA(VLOOKUP(P123,PGOPHER!A$2:G$181,7,FALSE),_xlfn.IFNA(VLOOKUP(P123,en!A$2:I$768,7,FALSE),-10000))</f>
        <v>562.73786600000005</v>
      </c>
      <c r="S123">
        <f>IF(O123=O122,Q122+S122,Q123)</f>
        <v>42282.683468000003</v>
      </c>
      <c r="T123">
        <f>IF(O123=O122,T122+1,1)</f>
        <v>3</v>
      </c>
      <c r="U123">
        <f>IF(O123=O124,"",S123/T123)</f>
        <v>14094.227822666668</v>
      </c>
      <c r="V123" t="str">
        <f>IF(U123="","",IF(ABS(Q123-U123)&gt;V$1,"error",""))</f>
        <v/>
      </c>
    </row>
    <row r="124" spans="1:22" x14ac:dyDescent="0.55000000000000004">
      <c r="A124">
        <v>13343.03</v>
      </c>
      <c r="B124" s="1">
        <v>1.704E-2</v>
      </c>
      <c r="C124" s="1">
        <v>1.704E-2</v>
      </c>
      <c r="D124" s="2" t="s">
        <v>1121</v>
      </c>
      <c r="E124">
        <v>1</v>
      </c>
      <c r="F124" s="2" t="s">
        <v>2</v>
      </c>
      <c r="G124">
        <v>0</v>
      </c>
      <c r="H124">
        <v>11.5</v>
      </c>
      <c r="I124" s="2" t="s">
        <v>0</v>
      </c>
      <c r="J124">
        <v>1</v>
      </c>
      <c r="K124" s="2" t="s">
        <v>2</v>
      </c>
      <c r="L124">
        <v>0</v>
      </c>
      <c r="M124">
        <v>12.5</v>
      </c>
      <c r="N124" s="2" t="s">
        <v>1251</v>
      </c>
      <c r="O124" t="str">
        <f>D124&amp;"-"&amp;E124&amp;"-"&amp;F124&amp;"-"&amp;G124&amp;"-"&amp;H124</f>
        <v>A-1-e-0-11.5</v>
      </c>
      <c r="P124" t="str">
        <f>I124&amp;"-"&amp;J124&amp;"-"&amp;K124&amp;"-"&amp;L124&amp;"-"&amp;M124</f>
        <v>X-1-e-0-12.5</v>
      </c>
      <c r="Q124">
        <f>A124+R124</f>
        <v>13907.294408000002</v>
      </c>
      <c r="R124">
        <f>_xlfn.IFNA(VLOOKUP(P124,PGOPHER!A$2:G$181,7,FALSE),_xlfn.IFNA(VLOOKUP(P124,en!A$2:I$768,7,FALSE),-10000))</f>
        <v>564.264408</v>
      </c>
      <c r="S124">
        <f>IF(O124=O123,Q123+S123,Q124)</f>
        <v>13907.294408000002</v>
      </c>
      <c r="T124">
        <f>IF(O124=O123,T123+1,1)</f>
        <v>1</v>
      </c>
      <c r="U124" t="str">
        <f>IF(O124=O125,"",S124/T124)</f>
        <v/>
      </c>
      <c r="V124" t="str">
        <f>IF(U124="","",IF(ABS(Q124-U124)&gt;V$1,"error",""))</f>
        <v/>
      </c>
    </row>
    <row r="125" spans="1:22" x14ac:dyDescent="0.55000000000000004">
      <c r="A125">
        <v>13508.67</v>
      </c>
      <c r="B125" s="1">
        <v>1.9300000000000001E-2</v>
      </c>
      <c r="C125" s="1">
        <v>1.9300000000000001E-2</v>
      </c>
      <c r="D125" s="2" t="s">
        <v>1121</v>
      </c>
      <c r="E125">
        <v>1</v>
      </c>
      <c r="F125" s="2" t="s">
        <v>2</v>
      </c>
      <c r="G125">
        <v>0</v>
      </c>
      <c r="H125">
        <v>11.5</v>
      </c>
      <c r="I125" s="2" t="s">
        <v>0</v>
      </c>
      <c r="J125">
        <v>1</v>
      </c>
      <c r="K125" s="2" t="s">
        <v>2</v>
      </c>
      <c r="L125">
        <v>0</v>
      </c>
      <c r="M125">
        <v>10.5</v>
      </c>
      <c r="N125" s="2" t="s">
        <v>1255</v>
      </c>
      <c r="O125" t="str">
        <f>D125&amp;"-"&amp;E125&amp;"-"&amp;F125&amp;"-"&amp;G125&amp;"-"&amp;H125</f>
        <v>A-1-e-0-11.5</v>
      </c>
      <c r="P125" t="str">
        <f>I125&amp;"-"&amp;J125&amp;"-"&amp;K125&amp;"-"&amp;L125&amp;"-"&amp;M125</f>
        <v>X-1-e-0-10.5</v>
      </c>
      <c r="Q125">
        <f>A125+R125</f>
        <v>13907.32626</v>
      </c>
      <c r="R125">
        <f>_xlfn.IFNA(VLOOKUP(P125,PGOPHER!A$2:G$181,7,FALSE),_xlfn.IFNA(VLOOKUP(P125,en!A$2:I$768,7,FALSE),-10000))</f>
        <v>398.65625999999997</v>
      </c>
      <c r="S125">
        <f>IF(O125=O124,Q124+S124,Q125)</f>
        <v>27814.588816000003</v>
      </c>
      <c r="T125">
        <f>IF(O125=O124,T124+1,1)</f>
        <v>2</v>
      </c>
      <c r="U125" t="str">
        <f>IF(O125=O126,"",S125/T125)</f>
        <v/>
      </c>
      <c r="V125" t="str">
        <f>IF(U125="","",IF(ABS(Q125-U125)&gt;V$1,"error",""))</f>
        <v/>
      </c>
    </row>
    <row r="126" spans="1:22" x14ac:dyDescent="0.55000000000000004">
      <c r="A126">
        <v>13344.57</v>
      </c>
      <c r="B126" s="1">
        <v>0.01</v>
      </c>
      <c r="C126" s="1">
        <v>0.01</v>
      </c>
      <c r="D126" s="2" t="s">
        <v>1121</v>
      </c>
      <c r="E126">
        <v>1</v>
      </c>
      <c r="F126" s="2" t="s">
        <v>2</v>
      </c>
      <c r="G126">
        <v>0</v>
      </c>
      <c r="H126">
        <v>11.5</v>
      </c>
      <c r="I126" s="2" t="s">
        <v>0</v>
      </c>
      <c r="J126">
        <v>2</v>
      </c>
      <c r="K126" s="2" t="s">
        <v>1</v>
      </c>
      <c r="L126">
        <v>0</v>
      </c>
      <c r="M126">
        <v>11.5</v>
      </c>
      <c r="N126" s="2" t="s">
        <v>1252</v>
      </c>
      <c r="O126" t="str">
        <f>D126&amp;"-"&amp;E126&amp;"-"&amp;F126&amp;"-"&amp;G126&amp;"-"&amp;H126</f>
        <v>A-1-e-0-11.5</v>
      </c>
      <c r="P126" t="str">
        <f>I126&amp;"-"&amp;J126&amp;"-"&amp;K126&amp;"-"&amp;L126&amp;"-"&amp;M126</f>
        <v>X-2-f-0-11.5</v>
      </c>
      <c r="Q126">
        <f>A126+R126</f>
        <v>13907.307865999999</v>
      </c>
      <c r="R126">
        <f>_xlfn.IFNA(VLOOKUP(P126,PGOPHER!A$2:G$181,7,FALSE),_xlfn.IFNA(VLOOKUP(P126,en!A$2:I$768,7,FALSE),-10000))</f>
        <v>562.73786600000005</v>
      </c>
      <c r="S126">
        <f>IF(O126=O125,Q125+S125,Q126)</f>
        <v>41721.915076000005</v>
      </c>
      <c r="T126">
        <f>IF(O126=O125,T125+1,1)</f>
        <v>3</v>
      </c>
      <c r="U126">
        <f>IF(O126=O127,"",S126/T126)</f>
        <v>13907.305025333335</v>
      </c>
      <c r="V126" t="str">
        <f>IF(U126="","",IF(ABS(Q126-U126)&gt;V$1,"error",""))</f>
        <v/>
      </c>
    </row>
    <row r="127" spans="1:22" x14ac:dyDescent="0.55000000000000004">
      <c r="A127">
        <v>13385.94</v>
      </c>
      <c r="B127" s="1">
        <v>2.0379999999999999E-2</v>
      </c>
      <c r="C127" s="1">
        <v>2.0379999999999999E-2</v>
      </c>
      <c r="D127" s="2" t="s">
        <v>1121</v>
      </c>
      <c r="E127">
        <v>1</v>
      </c>
      <c r="F127" s="2" t="s">
        <v>1</v>
      </c>
      <c r="G127">
        <v>0</v>
      </c>
      <c r="H127">
        <v>11.5</v>
      </c>
      <c r="I127" s="2" t="s">
        <v>0</v>
      </c>
      <c r="J127">
        <v>2</v>
      </c>
      <c r="K127" s="2" t="s">
        <v>1</v>
      </c>
      <c r="L127">
        <v>0</v>
      </c>
      <c r="M127">
        <v>10.5</v>
      </c>
      <c r="N127" s="2" t="s">
        <v>1254</v>
      </c>
      <c r="O127" t="str">
        <f>D127&amp;"-"&amp;E127&amp;"-"&amp;F127&amp;"-"&amp;G127&amp;"-"&amp;H127</f>
        <v>A-1-f-0-11.5</v>
      </c>
      <c r="P127" t="str">
        <f>I127&amp;"-"&amp;J127&amp;"-"&amp;K127&amp;"-"&amp;L127&amp;"-"&amp;M127</f>
        <v>X-2-f-0-10.5</v>
      </c>
      <c r="Q127">
        <f>A127+R127</f>
        <v>13862.468315</v>
      </c>
      <c r="R127">
        <f>_xlfn.IFNA(VLOOKUP(P127,PGOPHER!A$2:G$181,7,FALSE),_xlfn.IFNA(VLOOKUP(P127,en!A$2:I$768,7,FALSE),-10000))</f>
        <v>476.52831500000002</v>
      </c>
      <c r="S127">
        <f>IF(O127=O126,Q126+S126,Q127)</f>
        <v>13862.468315</v>
      </c>
      <c r="T127">
        <f>IF(O127=O126,T126+1,1)</f>
        <v>1</v>
      </c>
      <c r="U127" t="str">
        <f>IF(O127=O128,"",S127/T127)</f>
        <v/>
      </c>
      <c r="V127" t="str">
        <f>IF(U127="","",IF(ABS(Q127-U127)&gt;V$1,"error",""))</f>
        <v/>
      </c>
    </row>
    <row r="128" spans="1:22" x14ac:dyDescent="0.55000000000000004">
      <c r="A128">
        <v>13384.52</v>
      </c>
      <c r="B128" s="1">
        <v>0.01</v>
      </c>
      <c r="C128" s="1">
        <v>0.01</v>
      </c>
      <c r="D128" s="2" t="s">
        <v>1121</v>
      </c>
      <c r="E128">
        <v>1</v>
      </c>
      <c r="F128" s="2" t="s">
        <v>1</v>
      </c>
      <c r="G128">
        <v>0</v>
      </c>
      <c r="H128">
        <v>11.5</v>
      </c>
      <c r="I128" s="2" t="s">
        <v>0</v>
      </c>
      <c r="J128">
        <v>1</v>
      </c>
      <c r="K128" s="2" t="s">
        <v>2</v>
      </c>
      <c r="L128">
        <v>0</v>
      </c>
      <c r="M128">
        <v>11.5</v>
      </c>
      <c r="N128" s="2" t="s">
        <v>1253</v>
      </c>
      <c r="O128" t="str">
        <f>D128&amp;"-"&amp;E128&amp;"-"&amp;F128&amp;"-"&amp;G128&amp;"-"&amp;H128</f>
        <v>A-1-f-0-11.5</v>
      </c>
      <c r="P128" t="str">
        <f>I128&amp;"-"&amp;J128&amp;"-"&amp;K128&amp;"-"&amp;L128&amp;"-"&amp;M128</f>
        <v>X-1-e-0-11.5</v>
      </c>
      <c r="Q128">
        <f>A128+R128</f>
        <v>13862.453424000001</v>
      </c>
      <c r="R128">
        <f>_xlfn.IFNA(VLOOKUP(P128,PGOPHER!A$2:G$181,7,FALSE),_xlfn.IFNA(VLOOKUP(P128,en!A$2:I$768,7,FALSE),-10000))</f>
        <v>477.933424</v>
      </c>
      <c r="S128">
        <f>IF(O128=O127,Q127+S127,Q128)</f>
        <v>27724.93663</v>
      </c>
      <c r="T128">
        <f>IF(O128=O127,T127+1,1)</f>
        <v>2</v>
      </c>
      <c r="U128" t="str">
        <f>IF(O128=O129,"",S128/T128)</f>
        <v/>
      </c>
      <c r="V128" t="str">
        <f>IF(U128="","",IF(ABS(Q128-U128)&gt;V$1,"error",""))</f>
        <v/>
      </c>
    </row>
    <row r="129" spans="1:22" x14ac:dyDescent="0.55000000000000004">
      <c r="A129">
        <v>13206.46</v>
      </c>
      <c r="B129" s="1">
        <v>2.6980000000000001E-2</v>
      </c>
      <c r="C129" s="1">
        <v>2.6980000000000001E-2</v>
      </c>
      <c r="D129" s="2" t="s">
        <v>1121</v>
      </c>
      <c r="E129">
        <v>1</v>
      </c>
      <c r="F129" s="2" t="s">
        <v>1</v>
      </c>
      <c r="G129">
        <v>0</v>
      </c>
      <c r="H129">
        <v>11.5</v>
      </c>
      <c r="I129" s="2" t="s">
        <v>0</v>
      </c>
      <c r="J129">
        <v>2</v>
      </c>
      <c r="K129" s="2" t="s">
        <v>1</v>
      </c>
      <c r="L129">
        <v>0</v>
      </c>
      <c r="M129">
        <v>12.5</v>
      </c>
      <c r="N129" s="2" t="s">
        <v>1250</v>
      </c>
      <c r="O129" t="str">
        <f>D129&amp;"-"&amp;E129&amp;"-"&amp;F129&amp;"-"&amp;G129&amp;"-"&amp;H129</f>
        <v>A-1-f-0-11.5</v>
      </c>
      <c r="P129" t="str">
        <f>I129&amp;"-"&amp;J129&amp;"-"&amp;K129&amp;"-"&amp;L129&amp;"-"&amp;M129</f>
        <v>X-2-f-0-12.5</v>
      </c>
      <c r="Q129">
        <f>A129+R129</f>
        <v>13862.428097999998</v>
      </c>
      <c r="R129">
        <f>_xlfn.IFNA(VLOOKUP(P129,PGOPHER!A$2:G$181,7,FALSE),_xlfn.IFNA(VLOOKUP(P129,en!A$2:I$768,7,FALSE),-10000))</f>
        <v>655.96809800000005</v>
      </c>
      <c r="S129">
        <f>IF(O129=O128,Q128+S128,Q129)</f>
        <v>41587.390054000003</v>
      </c>
      <c r="T129">
        <f>IF(O129=O128,T128+1,1)</f>
        <v>3</v>
      </c>
      <c r="U129">
        <f>IF(O129=O130,"",S129/T129)</f>
        <v>13862.463351333334</v>
      </c>
      <c r="V129" t="str">
        <f>IF(U129="","",IF(ABS(Q129-U129)&gt;V$1,"error",""))</f>
        <v/>
      </c>
    </row>
    <row r="130" spans="1:22" x14ac:dyDescent="0.55000000000000004">
      <c r="A130">
        <v>13615.5</v>
      </c>
      <c r="B130" s="1">
        <v>1.2290000000000001E-2</v>
      </c>
      <c r="C130" s="1">
        <v>1.2290000000000001E-2</v>
      </c>
      <c r="D130" s="2" t="s">
        <v>1121</v>
      </c>
      <c r="E130">
        <v>2</v>
      </c>
      <c r="F130" s="2" t="s">
        <v>2</v>
      </c>
      <c r="G130">
        <v>0</v>
      </c>
      <c r="H130">
        <v>11.5</v>
      </c>
      <c r="I130" s="2" t="s">
        <v>0</v>
      </c>
      <c r="J130">
        <v>1</v>
      </c>
      <c r="K130" s="2" t="s">
        <v>2</v>
      </c>
      <c r="L130">
        <v>0</v>
      </c>
      <c r="M130">
        <v>12.5</v>
      </c>
      <c r="N130" s="2" t="s">
        <v>1245</v>
      </c>
      <c r="O130" t="str">
        <f>D130&amp;"-"&amp;E130&amp;"-"&amp;F130&amp;"-"&amp;G130&amp;"-"&amp;H130</f>
        <v>A-2-e-0-11.5</v>
      </c>
      <c r="P130" t="str">
        <f>I130&amp;"-"&amp;J130&amp;"-"&amp;K130&amp;"-"&amp;L130&amp;"-"&amp;M130</f>
        <v>X-1-e-0-12.5</v>
      </c>
      <c r="Q130">
        <f>A130+R130</f>
        <v>14179.764407999999</v>
      </c>
      <c r="R130">
        <f>_xlfn.IFNA(VLOOKUP(P130,PGOPHER!A$2:G$181,7,FALSE),_xlfn.IFNA(VLOOKUP(P130,en!A$2:I$768,7,FALSE),-10000))</f>
        <v>564.264408</v>
      </c>
      <c r="S130">
        <f>IF(O130=O129,Q129+S129,Q130)</f>
        <v>14179.764407999999</v>
      </c>
      <c r="T130">
        <f>IF(O130=O129,T129+1,1)</f>
        <v>1</v>
      </c>
      <c r="U130" t="str">
        <f>IF(O130=O131,"",S130/T130)</f>
        <v/>
      </c>
      <c r="V130" t="str">
        <f>IF(U130="","",IF(ABS(Q130-U130)&gt;V$1,"error",""))</f>
        <v/>
      </c>
    </row>
    <row r="131" spans="1:22" x14ac:dyDescent="0.55000000000000004">
      <c r="A131">
        <v>13781.13</v>
      </c>
      <c r="B131" s="1">
        <v>3.5810000000000002E-2</v>
      </c>
      <c r="C131" s="1">
        <v>3.5810000000000002E-2</v>
      </c>
      <c r="D131" s="2" t="s">
        <v>1121</v>
      </c>
      <c r="E131">
        <v>2</v>
      </c>
      <c r="F131" s="2" t="s">
        <v>2</v>
      </c>
      <c r="G131">
        <v>0</v>
      </c>
      <c r="H131">
        <v>11.5</v>
      </c>
      <c r="I131" s="2" t="s">
        <v>0</v>
      </c>
      <c r="J131">
        <v>1</v>
      </c>
      <c r="K131" s="2" t="s">
        <v>2</v>
      </c>
      <c r="L131">
        <v>0</v>
      </c>
      <c r="M131">
        <v>10.5</v>
      </c>
      <c r="N131" s="2" t="s">
        <v>1249</v>
      </c>
      <c r="O131" t="str">
        <f>D131&amp;"-"&amp;E131&amp;"-"&amp;F131&amp;"-"&amp;G131&amp;"-"&amp;H131</f>
        <v>A-2-e-0-11.5</v>
      </c>
      <c r="P131" t="str">
        <f>I131&amp;"-"&amp;J131&amp;"-"&amp;K131&amp;"-"&amp;L131&amp;"-"&amp;M131</f>
        <v>X-1-e-0-10.5</v>
      </c>
      <c r="Q131">
        <f>A131+R131</f>
        <v>14179.786259999999</v>
      </c>
      <c r="R131">
        <f>_xlfn.IFNA(VLOOKUP(P131,PGOPHER!A$2:G$181,7,FALSE),_xlfn.IFNA(VLOOKUP(P131,en!A$2:I$768,7,FALSE),-10000))</f>
        <v>398.65625999999997</v>
      </c>
      <c r="S131">
        <f>IF(O131=O130,Q130+S130,Q131)</f>
        <v>28359.528815999998</v>
      </c>
      <c r="T131">
        <f>IF(O131=O130,T130+1,1)</f>
        <v>2</v>
      </c>
      <c r="U131" t="str">
        <f>IF(O131=O132,"",S131/T131)</f>
        <v/>
      </c>
      <c r="V131" t="str">
        <f>IF(U131="","",IF(ABS(Q131-U131)&gt;V$1,"error",""))</f>
        <v/>
      </c>
    </row>
    <row r="132" spans="1:22" x14ac:dyDescent="0.55000000000000004">
      <c r="A132">
        <v>13616.97</v>
      </c>
      <c r="B132" s="1">
        <v>6.0879999999999997E-2</v>
      </c>
      <c r="C132" s="1">
        <v>6.0879999999999997E-2</v>
      </c>
      <c r="D132" s="2" t="s">
        <v>1121</v>
      </c>
      <c r="E132">
        <v>2</v>
      </c>
      <c r="F132" s="2" t="s">
        <v>2</v>
      </c>
      <c r="G132">
        <v>0</v>
      </c>
      <c r="H132">
        <v>11.5</v>
      </c>
      <c r="I132" s="2" t="s">
        <v>0</v>
      </c>
      <c r="J132">
        <v>2</v>
      </c>
      <c r="K132" s="2" t="s">
        <v>1</v>
      </c>
      <c r="L132">
        <v>0</v>
      </c>
      <c r="M132">
        <v>11.5</v>
      </c>
      <c r="N132" s="2" t="s">
        <v>1246</v>
      </c>
      <c r="O132" t="str">
        <f>D132&amp;"-"&amp;E132&amp;"-"&amp;F132&amp;"-"&amp;G132&amp;"-"&amp;H132</f>
        <v>A-2-e-0-11.5</v>
      </c>
      <c r="P132" t="str">
        <f>I132&amp;"-"&amp;J132&amp;"-"&amp;K132&amp;"-"&amp;L132&amp;"-"&amp;M132</f>
        <v>X-2-f-0-11.5</v>
      </c>
      <c r="Q132">
        <f>A132+R132</f>
        <v>14179.707865999999</v>
      </c>
      <c r="R132">
        <f>_xlfn.IFNA(VLOOKUP(P132,PGOPHER!A$2:G$181,7,FALSE),_xlfn.IFNA(VLOOKUP(P132,en!A$2:I$768,7,FALSE),-10000))</f>
        <v>562.73786600000005</v>
      </c>
      <c r="S132">
        <f>IF(O132=O131,Q131+S131,Q132)</f>
        <v>42539.315075999999</v>
      </c>
      <c r="T132">
        <f>IF(O132=O131,T131+1,1)</f>
        <v>3</v>
      </c>
      <c r="U132">
        <f>IF(O132=O133,"",S132/T132)</f>
        <v>14179.771692</v>
      </c>
      <c r="V132" t="str">
        <f>IF(U132="","",IF(ABS(Q132-U132)&gt;V$1,"error",""))</f>
        <v/>
      </c>
    </row>
    <row r="133" spans="1:22" x14ac:dyDescent="0.55000000000000004">
      <c r="A133">
        <v>13701.38</v>
      </c>
      <c r="B133" s="1">
        <v>2.0379999999999999E-2</v>
      </c>
      <c r="C133" s="1">
        <v>2.0379999999999999E-2</v>
      </c>
      <c r="D133" s="2" t="s">
        <v>1121</v>
      </c>
      <c r="E133">
        <v>2</v>
      </c>
      <c r="F133" s="2" t="s">
        <v>1</v>
      </c>
      <c r="G133">
        <v>0</v>
      </c>
      <c r="H133">
        <v>11.5</v>
      </c>
      <c r="I133" s="2" t="s">
        <v>0</v>
      </c>
      <c r="J133">
        <v>2</v>
      </c>
      <c r="K133" s="2" t="s">
        <v>1</v>
      </c>
      <c r="L133">
        <v>0</v>
      </c>
      <c r="M133">
        <v>10.5</v>
      </c>
      <c r="N133" s="2" t="s">
        <v>1248</v>
      </c>
      <c r="O133" t="str">
        <f>D133&amp;"-"&amp;E133&amp;"-"&amp;F133&amp;"-"&amp;G133&amp;"-"&amp;H133</f>
        <v>A-2-f-0-11.5</v>
      </c>
      <c r="P133" t="str">
        <f>I133&amp;"-"&amp;J133&amp;"-"&amp;K133&amp;"-"&amp;L133&amp;"-"&amp;M133</f>
        <v>X-2-f-0-10.5</v>
      </c>
      <c r="Q133">
        <f>A133+R133</f>
        <v>14177.908314999999</v>
      </c>
      <c r="R133">
        <f>_xlfn.IFNA(VLOOKUP(P133,PGOPHER!A$2:G$181,7,FALSE),_xlfn.IFNA(VLOOKUP(P133,en!A$2:I$768,7,FALSE),-10000))</f>
        <v>476.52831500000002</v>
      </c>
      <c r="S133">
        <f>IF(O133=O132,Q132+S132,Q133)</f>
        <v>14177.908314999999</v>
      </c>
      <c r="T133">
        <f>IF(O133=O132,T132+1,1)</f>
        <v>1</v>
      </c>
      <c r="U133" t="str">
        <f>IF(O133=O134,"",S133/T133)</f>
        <v/>
      </c>
      <c r="V133" t="str">
        <f>IF(U133="","",IF(ABS(Q133-U133)&gt;V$1,"error",""))</f>
        <v/>
      </c>
    </row>
    <row r="134" spans="1:22" x14ac:dyDescent="0.55000000000000004">
      <c r="A134">
        <v>13699.99</v>
      </c>
      <c r="B134" s="1">
        <v>3.5979999999999998E-2</v>
      </c>
      <c r="C134" s="1">
        <v>3.5979999999999998E-2</v>
      </c>
      <c r="D134" s="2" t="s">
        <v>1121</v>
      </c>
      <c r="E134">
        <v>2</v>
      </c>
      <c r="F134" s="2" t="s">
        <v>1</v>
      </c>
      <c r="G134">
        <v>0</v>
      </c>
      <c r="H134">
        <v>11.5</v>
      </c>
      <c r="I134" s="2" t="s">
        <v>0</v>
      </c>
      <c r="J134">
        <v>1</v>
      </c>
      <c r="K134" s="2" t="s">
        <v>2</v>
      </c>
      <c r="L134">
        <v>0</v>
      </c>
      <c r="M134">
        <v>11.5</v>
      </c>
      <c r="N134" s="2" t="s">
        <v>1247</v>
      </c>
      <c r="O134" t="str">
        <f>D134&amp;"-"&amp;E134&amp;"-"&amp;F134&amp;"-"&amp;G134&amp;"-"&amp;H134</f>
        <v>A-2-f-0-11.5</v>
      </c>
      <c r="P134" t="str">
        <f>I134&amp;"-"&amp;J134&amp;"-"&amp;K134&amp;"-"&amp;L134&amp;"-"&amp;M134</f>
        <v>X-1-e-0-11.5</v>
      </c>
      <c r="Q134">
        <f>A134+R134</f>
        <v>14177.923424000001</v>
      </c>
      <c r="R134">
        <f>_xlfn.IFNA(VLOOKUP(P134,PGOPHER!A$2:G$181,7,FALSE),_xlfn.IFNA(VLOOKUP(P134,en!A$2:I$768,7,FALSE),-10000))</f>
        <v>477.933424</v>
      </c>
      <c r="S134">
        <f>IF(O134=O133,Q133+S133,Q134)</f>
        <v>28355.816629999998</v>
      </c>
      <c r="T134">
        <f>IF(O134=O133,T133+1,1)</f>
        <v>2</v>
      </c>
      <c r="U134" t="str">
        <f>IF(O134=O135,"",S134/T134)</f>
        <v/>
      </c>
      <c r="V134" t="str">
        <f>IF(U134="","",IF(ABS(Q134-U134)&gt;V$1,"error",""))</f>
        <v/>
      </c>
    </row>
    <row r="135" spans="1:22" x14ac:dyDescent="0.55000000000000004">
      <c r="A135">
        <v>13521.87</v>
      </c>
      <c r="B135" s="1">
        <v>7.3910000000000003E-2</v>
      </c>
      <c r="C135" s="1">
        <v>7.3910000000000003E-2</v>
      </c>
      <c r="D135" s="2" t="s">
        <v>1121</v>
      </c>
      <c r="E135">
        <v>2</v>
      </c>
      <c r="F135" s="2" t="s">
        <v>1</v>
      </c>
      <c r="G135">
        <v>0</v>
      </c>
      <c r="H135">
        <v>11.5</v>
      </c>
      <c r="I135" s="2" t="s">
        <v>0</v>
      </c>
      <c r="J135">
        <v>2</v>
      </c>
      <c r="K135" s="2" t="s">
        <v>1</v>
      </c>
      <c r="L135">
        <v>0</v>
      </c>
      <c r="M135">
        <v>12.5</v>
      </c>
      <c r="N135" s="2" t="s">
        <v>1244</v>
      </c>
      <c r="O135" t="str">
        <f>D135&amp;"-"&amp;E135&amp;"-"&amp;F135&amp;"-"&amp;G135&amp;"-"&amp;H135</f>
        <v>A-2-f-0-11.5</v>
      </c>
      <c r="P135" t="str">
        <f>I135&amp;"-"&amp;J135&amp;"-"&amp;K135&amp;"-"&amp;L135&amp;"-"&amp;M135</f>
        <v>X-2-f-0-12.5</v>
      </c>
      <c r="Q135">
        <f>A135+R135</f>
        <v>14177.838098</v>
      </c>
      <c r="R135">
        <f>_xlfn.IFNA(VLOOKUP(P135,PGOPHER!A$2:G$181,7,FALSE),_xlfn.IFNA(VLOOKUP(P135,en!A$2:I$768,7,FALSE),-10000))</f>
        <v>655.96809800000005</v>
      </c>
      <c r="S135">
        <f>IF(O135=O134,Q134+S134,Q135)</f>
        <v>42533.740053999994</v>
      </c>
      <c r="T135">
        <f>IF(O135=O134,T134+1,1)</f>
        <v>3</v>
      </c>
      <c r="U135">
        <f>IF(O135=O136,"",S135/T135)</f>
        <v>14177.913351333331</v>
      </c>
      <c r="V135" t="str">
        <f>IF(U135="","",IF(ABS(Q135-U135)&gt;V$1,"error",""))</f>
        <v/>
      </c>
    </row>
    <row r="136" spans="1:22" x14ac:dyDescent="0.55000000000000004">
      <c r="A136">
        <v>13341.83</v>
      </c>
      <c r="B136" s="1">
        <v>3.2329999999999998E-2</v>
      </c>
      <c r="C136" s="1">
        <v>3.2329999999999998E-2</v>
      </c>
      <c r="D136" s="2" t="s">
        <v>1121</v>
      </c>
      <c r="E136">
        <v>1</v>
      </c>
      <c r="F136" s="2" t="s">
        <v>2</v>
      </c>
      <c r="G136">
        <v>0</v>
      </c>
      <c r="H136">
        <v>12.5</v>
      </c>
      <c r="I136" s="2" t="s">
        <v>0</v>
      </c>
      <c r="J136">
        <v>1</v>
      </c>
      <c r="K136" s="2" t="s">
        <v>2</v>
      </c>
      <c r="L136">
        <v>0</v>
      </c>
      <c r="M136">
        <v>13.5</v>
      </c>
      <c r="N136" s="2" t="s">
        <v>1263</v>
      </c>
      <c r="O136" t="str">
        <f>D136&amp;"-"&amp;E136&amp;"-"&amp;F136&amp;"-"&amp;G136&amp;"-"&amp;H136</f>
        <v>A-1-e-0-12.5</v>
      </c>
      <c r="P136" t="str">
        <f>I136&amp;"-"&amp;J136&amp;"-"&amp;K136&amp;"-"&amp;L136&amp;"-"&amp;M136</f>
        <v>X-1-e-0-13.5</v>
      </c>
      <c r="Q136">
        <f>A136+R136</f>
        <v>13999.440721999999</v>
      </c>
      <c r="R136">
        <f>_xlfn.IFNA(VLOOKUP(P136,PGOPHER!A$2:G$181,7,FALSE),_xlfn.IFNA(VLOOKUP(P136,en!A$2:I$768,7,FALSE),-10000))</f>
        <v>657.61072200000001</v>
      </c>
      <c r="S136">
        <f>IF(O136=O135,Q135+S135,Q136)</f>
        <v>13999.440721999999</v>
      </c>
      <c r="T136">
        <f>IF(O136=O135,T135+1,1)</f>
        <v>1</v>
      </c>
      <c r="U136" t="str">
        <f>IF(O136=O137,"",S136/T136)</f>
        <v/>
      </c>
      <c r="V136" t="str">
        <f>IF(U136="","",IF(ABS(Q136-U136)&gt;V$1,"error",""))</f>
        <v/>
      </c>
    </row>
    <row r="137" spans="1:22" x14ac:dyDescent="0.55000000000000004">
      <c r="A137">
        <v>13521.41</v>
      </c>
      <c r="B137" s="1">
        <v>9.8379999999999995E-2</v>
      </c>
      <c r="C137" s="1">
        <v>9.8379999999999995E-2</v>
      </c>
      <c r="D137" s="2" t="s">
        <v>1121</v>
      </c>
      <c r="E137">
        <v>1</v>
      </c>
      <c r="F137" s="2" t="s">
        <v>2</v>
      </c>
      <c r="G137">
        <v>0</v>
      </c>
      <c r="H137">
        <v>12.5</v>
      </c>
      <c r="I137" s="2" t="s">
        <v>0</v>
      </c>
      <c r="J137">
        <v>1</v>
      </c>
      <c r="K137" s="2" t="s">
        <v>2</v>
      </c>
      <c r="L137">
        <v>0</v>
      </c>
      <c r="M137">
        <v>11.5</v>
      </c>
      <c r="N137" s="2" t="s">
        <v>1267</v>
      </c>
      <c r="O137" t="str">
        <f>D137&amp;"-"&amp;E137&amp;"-"&amp;F137&amp;"-"&amp;G137&amp;"-"&amp;H137</f>
        <v>A-1-e-0-12.5</v>
      </c>
      <c r="P137" t="str">
        <f>I137&amp;"-"&amp;J137&amp;"-"&amp;K137&amp;"-"&amp;L137&amp;"-"&amp;M137</f>
        <v>X-1-e-0-11.5</v>
      </c>
      <c r="Q137">
        <f>A137+R137</f>
        <v>13999.343424000001</v>
      </c>
      <c r="R137">
        <f>_xlfn.IFNA(VLOOKUP(P137,PGOPHER!A$2:G$181,7,FALSE),_xlfn.IFNA(VLOOKUP(P137,en!A$2:I$768,7,FALSE),-10000))</f>
        <v>477.933424</v>
      </c>
      <c r="S137">
        <f>IF(O137=O136,Q136+S136,Q137)</f>
        <v>27998.881443999999</v>
      </c>
      <c r="T137">
        <f>IF(O137=O136,T136+1,1)</f>
        <v>2</v>
      </c>
      <c r="U137" t="str">
        <f>IF(O137=O138,"",S137/T137)</f>
        <v/>
      </c>
      <c r="V137" t="str">
        <f>IF(U137="","",IF(ABS(Q137-U137)&gt;V$1,"error",""))</f>
        <v/>
      </c>
    </row>
    <row r="138" spans="1:22" x14ac:dyDescent="0.55000000000000004">
      <c r="A138">
        <v>13343.48</v>
      </c>
      <c r="B138" s="1">
        <v>4.2160000000000003E-2</v>
      </c>
      <c r="C138" s="1">
        <v>4.2160000000000003E-2</v>
      </c>
      <c r="D138" s="2" t="s">
        <v>1121</v>
      </c>
      <c r="E138">
        <v>1</v>
      </c>
      <c r="F138" s="2" t="s">
        <v>2</v>
      </c>
      <c r="G138">
        <v>0</v>
      </c>
      <c r="H138">
        <v>12.5</v>
      </c>
      <c r="I138" s="2" t="s">
        <v>0</v>
      </c>
      <c r="J138">
        <v>2</v>
      </c>
      <c r="K138" s="2" t="s">
        <v>1</v>
      </c>
      <c r="L138">
        <v>0</v>
      </c>
      <c r="M138">
        <v>12.5</v>
      </c>
      <c r="N138" s="2" t="s">
        <v>1264</v>
      </c>
      <c r="O138" t="str">
        <f>D138&amp;"-"&amp;E138&amp;"-"&amp;F138&amp;"-"&amp;G138&amp;"-"&amp;H138</f>
        <v>A-1-e-0-12.5</v>
      </c>
      <c r="P138" t="str">
        <f>I138&amp;"-"&amp;J138&amp;"-"&amp;K138&amp;"-"&amp;L138&amp;"-"&amp;M138</f>
        <v>X-2-f-0-12.5</v>
      </c>
      <c r="Q138">
        <f>A138+R138</f>
        <v>13999.448097999999</v>
      </c>
      <c r="R138">
        <f>_xlfn.IFNA(VLOOKUP(P138,PGOPHER!A$2:G$181,7,FALSE),_xlfn.IFNA(VLOOKUP(P138,en!A$2:I$768,7,FALSE),-10000))</f>
        <v>655.96809800000005</v>
      </c>
      <c r="S138">
        <f>IF(O138=O137,Q137+S137,Q138)</f>
        <v>41998.224867999998</v>
      </c>
      <c r="T138">
        <f>IF(O138=O137,T137+1,1)</f>
        <v>3</v>
      </c>
      <c r="U138">
        <f>IF(O138=O139,"",S138/T138)</f>
        <v>13999.408289333333</v>
      </c>
      <c r="V138" t="str">
        <f>IF(U138="","",IF(ABS(Q138-U138)&gt;V$1,"error",""))</f>
        <v/>
      </c>
    </row>
    <row r="139" spans="1:22" x14ac:dyDescent="0.55000000000000004">
      <c r="A139">
        <v>13388.95</v>
      </c>
      <c r="B139" s="1">
        <v>6.0139999999999999E-2</v>
      </c>
      <c r="C139" s="1">
        <v>6.0139999999999999E-2</v>
      </c>
      <c r="D139" s="2" t="s">
        <v>1121</v>
      </c>
      <c r="E139">
        <v>1</v>
      </c>
      <c r="F139" s="2" t="s">
        <v>1</v>
      </c>
      <c r="G139">
        <v>0</v>
      </c>
      <c r="H139">
        <v>12.5</v>
      </c>
      <c r="I139" s="2" t="s">
        <v>0</v>
      </c>
      <c r="J139">
        <v>2</v>
      </c>
      <c r="K139" s="2" t="s">
        <v>1</v>
      </c>
      <c r="L139">
        <v>0</v>
      </c>
      <c r="M139">
        <v>11.5</v>
      </c>
      <c r="N139" s="2" t="s">
        <v>1266</v>
      </c>
      <c r="O139" t="str">
        <f>D139&amp;"-"&amp;E139&amp;"-"&amp;F139&amp;"-"&amp;G139&amp;"-"&amp;H139</f>
        <v>A-1-f-0-12.5</v>
      </c>
      <c r="P139" t="str">
        <f>I139&amp;"-"&amp;J139&amp;"-"&amp;K139&amp;"-"&amp;L139&amp;"-"&amp;M139</f>
        <v>X-2-f-0-11.5</v>
      </c>
      <c r="Q139">
        <f>A139+R139</f>
        <v>13951.687866</v>
      </c>
      <c r="R139">
        <f>_xlfn.IFNA(VLOOKUP(P139,PGOPHER!A$2:G$181,7,FALSE),_xlfn.IFNA(VLOOKUP(P139,en!A$2:I$768,7,FALSE),-10000))</f>
        <v>562.73786600000005</v>
      </c>
      <c r="S139">
        <f>IF(O139=O138,Q138+S138,Q139)</f>
        <v>13951.687866</v>
      </c>
      <c r="T139">
        <f>IF(O139=O138,T138+1,1)</f>
        <v>1</v>
      </c>
      <c r="U139" t="str">
        <f>IF(O139=O140,"",S139/T139)</f>
        <v/>
      </c>
      <c r="V139" t="str">
        <f>IF(U139="","",IF(ABS(Q139-U139)&gt;V$1,"error",""))</f>
        <v/>
      </c>
    </row>
    <row r="140" spans="1:22" x14ac:dyDescent="0.55000000000000004">
      <c r="A140">
        <v>13387.38</v>
      </c>
      <c r="B140" s="1">
        <v>0.01</v>
      </c>
      <c r="C140" s="1">
        <v>0.01</v>
      </c>
      <c r="D140" s="2" t="s">
        <v>1121</v>
      </c>
      <c r="E140">
        <v>1</v>
      </c>
      <c r="F140" s="2" t="s">
        <v>1</v>
      </c>
      <c r="G140">
        <v>0</v>
      </c>
      <c r="H140">
        <v>12.5</v>
      </c>
      <c r="I140" s="2" t="s">
        <v>0</v>
      </c>
      <c r="J140">
        <v>1</v>
      </c>
      <c r="K140" s="2" t="s">
        <v>2</v>
      </c>
      <c r="L140">
        <v>0</v>
      </c>
      <c r="M140">
        <v>12.5</v>
      </c>
      <c r="N140" s="2" t="s">
        <v>1265</v>
      </c>
      <c r="O140" t="str">
        <f>D140&amp;"-"&amp;E140&amp;"-"&amp;F140&amp;"-"&amp;G140&amp;"-"&amp;H140</f>
        <v>A-1-f-0-12.5</v>
      </c>
      <c r="P140" t="str">
        <f>I140&amp;"-"&amp;J140&amp;"-"&amp;K140&amp;"-"&amp;L140&amp;"-"&amp;M140</f>
        <v>X-1-e-0-12.5</v>
      </c>
      <c r="Q140">
        <f>A140+R140</f>
        <v>13951.644408</v>
      </c>
      <c r="R140">
        <f>_xlfn.IFNA(VLOOKUP(P140,PGOPHER!A$2:G$181,7,FALSE),_xlfn.IFNA(VLOOKUP(P140,en!A$2:I$768,7,FALSE),-10000))</f>
        <v>564.264408</v>
      </c>
      <c r="S140">
        <f>IF(O140=O139,Q139+S139,Q140)</f>
        <v>27903.375732</v>
      </c>
      <c r="T140">
        <f>IF(O140=O139,T139+1,1)</f>
        <v>2</v>
      </c>
      <c r="U140" t="str">
        <f>IF(O140=O141,"",S140/T140)</f>
        <v/>
      </c>
      <c r="V140" t="str">
        <f>IF(U140="","",IF(ABS(Q140-U140)&gt;V$1,"error",""))</f>
        <v/>
      </c>
    </row>
    <row r="141" spans="1:22" x14ac:dyDescent="0.55000000000000004">
      <c r="A141">
        <v>13195.4</v>
      </c>
      <c r="B141" s="1">
        <v>8.3529999999999993E-2</v>
      </c>
      <c r="C141" s="1">
        <v>8.3529999999999993E-2</v>
      </c>
      <c r="D141" s="2" t="s">
        <v>1121</v>
      </c>
      <c r="E141">
        <v>1</v>
      </c>
      <c r="F141" s="2" t="s">
        <v>1</v>
      </c>
      <c r="G141">
        <v>0</v>
      </c>
      <c r="H141">
        <v>12.5</v>
      </c>
      <c r="I141" s="2" t="s">
        <v>0</v>
      </c>
      <c r="J141">
        <v>2</v>
      </c>
      <c r="K141" s="2" t="s">
        <v>1</v>
      </c>
      <c r="L141">
        <v>0</v>
      </c>
      <c r="M141">
        <v>13.5</v>
      </c>
      <c r="N141" s="2" t="s">
        <v>1262</v>
      </c>
      <c r="O141" t="str">
        <f>D141&amp;"-"&amp;E141&amp;"-"&amp;F141&amp;"-"&amp;G141&amp;"-"&amp;H141</f>
        <v>A-1-f-0-12.5</v>
      </c>
      <c r="P141" t="str">
        <f>I141&amp;"-"&amp;J141&amp;"-"&amp;K141&amp;"-"&amp;L141&amp;"-"&amp;M141</f>
        <v>X-2-f-0-13.5</v>
      </c>
      <c r="Q141">
        <f>A141+R141</f>
        <v>13951.567869</v>
      </c>
      <c r="R141">
        <f>_xlfn.IFNA(VLOOKUP(P141,PGOPHER!A$2:G$181,7,FALSE),_xlfn.IFNA(VLOOKUP(P141,en!A$2:I$768,7,FALSE),-10000))</f>
        <v>756.167869</v>
      </c>
      <c r="S141">
        <f>IF(O141=O140,Q140+S140,Q141)</f>
        <v>41855.020140000001</v>
      </c>
      <c r="T141">
        <f>IF(O141=O140,T140+1,1)</f>
        <v>3</v>
      </c>
      <c r="U141">
        <f>IF(O141=O142,"",S141/T141)</f>
        <v>13951.67338</v>
      </c>
      <c r="V141" t="str">
        <f>IF(U141="","",IF(ABS(Q141-U141)&gt;V$1,"error",""))</f>
        <v/>
      </c>
    </row>
    <row r="142" spans="1:22" x14ac:dyDescent="0.55000000000000004">
      <c r="A142">
        <v>13613.33</v>
      </c>
      <c r="B142" s="1">
        <v>3.823E-2</v>
      </c>
      <c r="C142" s="1">
        <v>3.823E-2</v>
      </c>
      <c r="D142" s="2" t="s">
        <v>1121</v>
      </c>
      <c r="E142">
        <v>2</v>
      </c>
      <c r="F142" s="2" t="s">
        <v>2</v>
      </c>
      <c r="G142">
        <v>0</v>
      </c>
      <c r="H142">
        <v>12.5</v>
      </c>
      <c r="I142" s="2" t="s">
        <v>0</v>
      </c>
      <c r="J142">
        <v>1</v>
      </c>
      <c r="K142" s="2" t="s">
        <v>2</v>
      </c>
      <c r="L142">
        <v>0</v>
      </c>
      <c r="M142">
        <v>13.5</v>
      </c>
      <c r="N142" s="2" t="s">
        <v>1257</v>
      </c>
      <c r="O142" t="str">
        <f>D142&amp;"-"&amp;E142&amp;"-"&amp;F142&amp;"-"&amp;G142&amp;"-"&amp;H142</f>
        <v>A-2-e-0-12.5</v>
      </c>
      <c r="P142" t="str">
        <f>I142&amp;"-"&amp;J142&amp;"-"&amp;K142&amp;"-"&amp;L142&amp;"-"&amp;M142</f>
        <v>X-1-e-0-13.5</v>
      </c>
      <c r="Q142">
        <f>A142+R142</f>
        <v>14270.940721999999</v>
      </c>
      <c r="R142">
        <f>_xlfn.IFNA(VLOOKUP(P142,PGOPHER!A$2:G$181,7,FALSE),_xlfn.IFNA(VLOOKUP(P142,en!A$2:I$768,7,FALSE),-10000))</f>
        <v>657.61072200000001</v>
      </c>
      <c r="S142">
        <f>IF(O142=O141,Q141+S141,Q142)</f>
        <v>14270.940721999999</v>
      </c>
      <c r="T142">
        <f>IF(O142=O141,T141+1,1)</f>
        <v>1</v>
      </c>
      <c r="U142" t="str">
        <f>IF(O142=O143,"",S142/T142)</f>
        <v/>
      </c>
      <c r="V142" t="str">
        <f>IF(U142="","",IF(ABS(Q142-U142)&gt;V$1,"error",""))</f>
        <v/>
      </c>
    </row>
    <row r="143" spans="1:22" x14ac:dyDescent="0.55000000000000004">
      <c r="A143">
        <v>13793.19</v>
      </c>
      <c r="B143" s="1">
        <v>0.16250000000000001</v>
      </c>
      <c r="C143" s="1">
        <v>0.16250000000000001</v>
      </c>
      <c r="D143" s="2" t="s">
        <v>1121</v>
      </c>
      <c r="E143">
        <v>2</v>
      </c>
      <c r="F143" s="2" t="s">
        <v>2</v>
      </c>
      <c r="G143">
        <v>0</v>
      </c>
      <c r="H143">
        <v>12.5</v>
      </c>
      <c r="I143" s="2" t="s">
        <v>0</v>
      </c>
      <c r="J143">
        <v>1</v>
      </c>
      <c r="K143" s="2" t="s">
        <v>2</v>
      </c>
      <c r="L143">
        <v>0</v>
      </c>
      <c r="M143">
        <v>11.5</v>
      </c>
      <c r="N143" s="2" t="s">
        <v>1261</v>
      </c>
      <c r="O143" t="str">
        <f>D143&amp;"-"&amp;E143&amp;"-"&amp;F143&amp;"-"&amp;G143&amp;"-"&amp;H143</f>
        <v>A-2-e-0-12.5</v>
      </c>
      <c r="P143" t="str">
        <f>I143&amp;"-"&amp;J143&amp;"-"&amp;K143&amp;"-"&amp;L143&amp;"-"&amp;M143</f>
        <v>X-1-e-0-11.5</v>
      </c>
      <c r="Q143">
        <f>A143+R143</f>
        <v>14271.123424000001</v>
      </c>
      <c r="R143">
        <f>_xlfn.IFNA(VLOOKUP(P143,PGOPHER!A$2:G$181,7,FALSE),_xlfn.IFNA(VLOOKUP(P143,en!A$2:I$768,7,FALSE),-10000))</f>
        <v>477.933424</v>
      </c>
      <c r="S143">
        <f>IF(O143=O142,Q142+S142,Q143)</f>
        <v>28541.881443999999</v>
      </c>
      <c r="T143">
        <f>IF(O143=O142,T142+1,1)</f>
        <v>2</v>
      </c>
      <c r="U143" t="str">
        <f>IF(O143=O144,"",S143/T143)</f>
        <v/>
      </c>
      <c r="V143" t="str">
        <f>IF(U143="","",IF(ABS(Q143-U143)&gt;V$1,"error",""))</f>
        <v/>
      </c>
    </row>
    <row r="144" spans="1:22" x14ac:dyDescent="0.55000000000000004">
      <c r="A144">
        <v>13615.04</v>
      </c>
      <c r="B144" s="1">
        <v>3.7609999999999998E-2</v>
      </c>
      <c r="C144" s="1">
        <v>3.7609999999999998E-2</v>
      </c>
      <c r="D144" s="2" t="s">
        <v>1121</v>
      </c>
      <c r="E144">
        <v>2</v>
      </c>
      <c r="F144" s="2" t="s">
        <v>2</v>
      </c>
      <c r="G144">
        <v>0</v>
      </c>
      <c r="H144">
        <v>12.5</v>
      </c>
      <c r="I144" s="2" t="s">
        <v>0</v>
      </c>
      <c r="J144">
        <v>2</v>
      </c>
      <c r="K144" s="2" t="s">
        <v>1</v>
      </c>
      <c r="L144">
        <v>0</v>
      </c>
      <c r="M144">
        <v>12.5</v>
      </c>
      <c r="N144" s="2" t="s">
        <v>1258</v>
      </c>
      <c r="O144" t="str">
        <f>D144&amp;"-"&amp;E144&amp;"-"&amp;F144&amp;"-"&amp;G144&amp;"-"&amp;H144</f>
        <v>A-2-e-0-12.5</v>
      </c>
      <c r="P144" t="str">
        <f>I144&amp;"-"&amp;J144&amp;"-"&amp;K144&amp;"-"&amp;L144&amp;"-"&amp;M144</f>
        <v>X-2-f-0-12.5</v>
      </c>
      <c r="Q144">
        <f>A144+R144</f>
        <v>14271.008098</v>
      </c>
      <c r="R144">
        <f>_xlfn.IFNA(VLOOKUP(P144,PGOPHER!A$2:G$181,7,FALSE),_xlfn.IFNA(VLOOKUP(P144,en!A$2:I$768,7,FALSE),-10000))</f>
        <v>655.96809800000005</v>
      </c>
      <c r="S144">
        <f>IF(O144=O143,Q143+S143,Q144)</f>
        <v>42813.004868000004</v>
      </c>
      <c r="T144">
        <f>IF(O144=O143,T143+1,1)</f>
        <v>3</v>
      </c>
      <c r="U144">
        <f>IF(O144=O145,"",S144/T144)</f>
        <v>14271.001622666668</v>
      </c>
      <c r="V144" t="str">
        <f>IF(U144="","",IF(ABS(Q144-U144)&gt;V$1,"error",""))</f>
        <v/>
      </c>
    </row>
    <row r="145" spans="1:22" x14ac:dyDescent="0.55000000000000004">
      <c r="A145">
        <v>13706.02</v>
      </c>
      <c r="B145" s="1">
        <v>7.8469999999999998E-2</v>
      </c>
      <c r="C145" s="1">
        <v>7.8469999999999998E-2</v>
      </c>
      <c r="D145" s="2" t="s">
        <v>1121</v>
      </c>
      <c r="E145">
        <v>2</v>
      </c>
      <c r="F145" s="2" t="s">
        <v>1</v>
      </c>
      <c r="G145">
        <v>0</v>
      </c>
      <c r="H145">
        <v>12.5</v>
      </c>
      <c r="I145" s="2" t="s">
        <v>0</v>
      </c>
      <c r="J145">
        <v>2</v>
      </c>
      <c r="K145" s="2" t="s">
        <v>1</v>
      </c>
      <c r="L145">
        <v>0</v>
      </c>
      <c r="M145">
        <v>11.5</v>
      </c>
      <c r="N145" s="2" t="s">
        <v>1260</v>
      </c>
      <c r="O145" t="str">
        <f>D145&amp;"-"&amp;E145&amp;"-"&amp;F145&amp;"-"&amp;G145&amp;"-"&amp;H145</f>
        <v>A-2-f-0-12.5</v>
      </c>
      <c r="P145" t="str">
        <f>I145&amp;"-"&amp;J145&amp;"-"&amp;K145&amp;"-"&amp;L145&amp;"-"&amp;M145</f>
        <v>X-2-f-0-11.5</v>
      </c>
      <c r="Q145">
        <f>A145+R145</f>
        <v>14268.757866</v>
      </c>
      <c r="R145">
        <f>_xlfn.IFNA(VLOOKUP(P145,PGOPHER!A$2:G$181,7,FALSE),_xlfn.IFNA(VLOOKUP(P145,en!A$2:I$768,7,FALSE),-10000))</f>
        <v>562.73786600000005</v>
      </c>
      <c r="S145">
        <f>IF(O145=O144,Q144+S144,Q145)</f>
        <v>14268.757866</v>
      </c>
      <c r="T145">
        <f>IF(O145=O144,T144+1,1)</f>
        <v>1</v>
      </c>
      <c r="U145" t="str">
        <f>IF(O145=O146,"",S145/T145)</f>
        <v/>
      </c>
      <c r="V145" t="str">
        <f>IF(U145="","",IF(ABS(Q145-U145)&gt;V$1,"error",""))</f>
        <v/>
      </c>
    </row>
    <row r="146" spans="1:22" x14ac:dyDescent="0.55000000000000004">
      <c r="A146">
        <v>13704.43</v>
      </c>
      <c r="B146" s="1">
        <v>0.01</v>
      </c>
      <c r="C146" s="1">
        <v>0.01</v>
      </c>
      <c r="D146" s="2" t="s">
        <v>1121</v>
      </c>
      <c r="E146">
        <v>2</v>
      </c>
      <c r="F146" s="2" t="s">
        <v>1</v>
      </c>
      <c r="G146">
        <v>0</v>
      </c>
      <c r="H146">
        <v>12.5</v>
      </c>
      <c r="I146" s="2" t="s">
        <v>0</v>
      </c>
      <c r="J146">
        <v>1</v>
      </c>
      <c r="K146" s="2" t="s">
        <v>2</v>
      </c>
      <c r="L146">
        <v>0</v>
      </c>
      <c r="M146">
        <v>12.5</v>
      </c>
      <c r="N146" s="2" t="s">
        <v>1259</v>
      </c>
      <c r="O146" t="str">
        <f>D146&amp;"-"&amp;E146&amp;"-"&amp;F146&amp;"-"&amp;G146&amp;"-"&amp;H146</f>
        <v>A-2-f-0-12.5</v>
      </c>
      <c r="P146" t="str">
        <f>I146&amp;"-"&amp;J146&amp;"-"&amp;K146&amp;"-"&amp;L146&amp;"-"&amp;M146</f>
        <v>X-1-e-0-12.5</v>
      </c>
      <c r="Q146">
        <f>A146+R146</f>
        <v>14268.694407999999</v>
      </c>
      <c r="R146">
        <f>_xlfn.IFNA(VLOOKUP(P146,PGOPHER!A$2:G$181,7,FALSE),_xlfn.IFNA(VLOOKUP(P146,en!A$2:I$768,7,FALSE),-10000))</f>
        <v>564.264408</v>
      </c>
      <c r="S146">
        <f>IF(O146=O145,Q145+S145,Q146)</f>
        <v>28537.515732</v>
      </c>
      <c r="T146">
        <f>IF(O146=O145,T145+1,1)</f>
        <v>2</v>
      </c>
      <c r="U146" t="str">
        <f>IF(O146=O147,"",S146/T146)</f>
        <v/>
      </c>
      <c r="V146" t="str">
        <f>IF(U146="","",IF(ABS(Q146-U146)&gt;V$1,"error",""))</f>
        <v/>
      </c>
    </row>
    <row r="147" spans="1:22" x14ac:dyDescent="0.55000000000000004">
      <c r="A147">
        <v>13512.44</v>
      </c>
      <c r="B147" s="1">
        <v>9.4700000000000006E-2</v>
      </c>
      <c r="C147" s="1">
        <v>9.4700000000000006E-2</v>
      </c>
      <c r="D147" s="2" t="s">
        <v>1121</v>
      </c>
      <c r="E147">
        <v>2</v>
      </c>
      <c r="F147" s="2" t="s">
        <v>1</v>
      </c>
      <c r="G147">
        <v>0</v>
      </c>
      <c r="H147">
        <v>12.5</v>
      </c>
      <c r="I147" s="2" t="s">
        <v>0</v>
      </c>
      <c r="J147">
        <v>2</v>
      </c>
      <c r="K147" s="2" t="s">
        <v>1</v>
      </c>
      <c r="L147">
        <v>0</v>
      </c>
      <c r="M147">
        <v>13.5</v>
      </c>
      <c r="N147" s="2" t="s">
        <v>1256</v>
      </c>
      <c r="O147" t="str">
        <f>D147&amp;"-"&amp;E147&amp;"-"&amp;F147&amp;"-"&amp;G147&amp;"-"&amp;H147</f>
        <v>A-2-f-0-12.5</v>
      </c>
      <c r="P147" t="str">
        <f>I147&amp;"-"&amp;J147&amp;"-"&amp;K147&amp;"-"&amp;L147&amp;"-"&amp;M147</f>
        <v>X-2-f-0-13.5</v>
      </c>
      <c r="Q147">
        <f>A147+R147</f>
        <v>14268.607869000001</v>
      </c>
      <c r="R147">
        <f>_xlfn.IFNA(VLOOKUP(P147,PGOPHER!A$2:G$181,7,FALSE),_xlfn.IFNA(VLOOKUP(P147,en!A$2:I$768,7,FALSE),-10000))</f>
        <v>756.167869</v>
      </c>
      <c r="S147">
        <f>IF(O147=O146,Q146+S146,Q147)</f>
        <v>42806.210139999996</v>
      </c>
      <c r="T147">
        <f>IF(O147=O146,T146+1,1)</f>
        <v>3</v>
      </c>
      <c r="U147">
        <f>IF(O147=O148,"",S147/T147)</f>
        <v>14268.736713333332</v>
      </c>
      <c r="V147" t="str">
        <f>IF(U147="","",IF(ABS(Q147-U147)&gt;V$1,"error",""))</f>
        <v/>
      </c>
    </row>
    <row r="148" spans="1:22" x14ac:dyDescent="0.55000000000000004">
      <c r="A148">
        <v>13340.66</v>
      </c>
      <c r="B148" s="1">
        <v>5.3069999999999999E-2</v>
      </c>
      <c r="C148" s="1">
        <v>5.3069999999999999E-2</v>
      </c>
      <c r="D148" s="2" t="s">
        <v>1121</v>
      </c>
      <c r="E148">
        <v>1</v>
      </c>
      <c r="F148" s="2" t="s">
        <v>2</v>
      </c>
      <c r="G148">
        <v>0</v>
      </c>
      <c r="H148">
        <v>13.5</v>
      </c>
      <c r="I148" s="2" t="s">
        <v>0</v>
      </c>
      <c r="J148">
        <v>1</v>
      </c>
      <c r="K148" s="2" t="s">
        <v>2</v>
      </c>
      <c r="L148">
        <v>0</v>
      </c>
      <c r="M148">
        <v>14.5</v>
      </c>
      <c r="N148" s="2" t="s">
        <v>1275</v>
      </c>
      <c r="O148" t="str">
        <f>D148&amp;"-"&amp;E148&amp;"-"&amp;F148&amp;"-"&amp;G148&amp;"-"&amp;H148</f>
        <v>A-1-e-0-13.5</v>
      </c>
      <c r="P148" t="str">
        <f>I148&amp;"-"&amp;J148&amp;"-"&amp;K148&amp;"-"&amp;L148&amp;"-"&amp;M148</f>
        <v>X-1-e-0-14.5</v>
      </c>
      <c r="Q148">
        <f>A148+R148</f>
        <v>14098.589206000001</v>
      </c>
      <c r="R148">
        <f>_xlfn.IFNA(VLOOKUP(P148,PGOPHER!A$2:G$181,7,FALSE),_xlfn.IFNA(VLOOKUP(P148,en!A$2:I$768,7,FALSE),-10000))</f>
        <v>757.92920600000002</v>
      </c>
      <c r="S148">
        <f>IF(O148=O147,Q147+S147,Q148)</f>
        <v>14098.589206000001</v>
      </c>
      <c r="T148">
        <f>IF(O148=O147,T147+1,1)</f>
        <v>1</v>
      </c>
      <c r="U148" t="str">
        <f>IF(O148=O149,"",S148/T148)</f>
        <v/>
      </c>
      <c r="V148" t="str">
        <f>IF(U148="","",IF(ABS(Q148-U148)&gt;V$1,"error",""))</f>
        <v/>
      </c>
    </row>
    <row r="149" spans="1:22" x14ac:dyDescent="0.55000000000000004">
      <c r="A149">
        <v>13534.2</v>
      </c>
      <c r="B149" s="1">
        <v>0.109</v>
      </c>
      <c r="C149" s="1">
        <v>0.109</v>
      </c>
      <c r="D149" s="2" t="s">
        <v>1121</v>
      </c>
      <c r="E149">
        <v>1</v>
      </c>
      <c r="F149" s="2" t="s">
        <v>2</v>
      </c>
      <c r="G149">
        <v>0</v>
      </c>
      <c r="H149">
        <v>13.5</v>
      </c>
      <c r="I149" s="2" t="s">
        <v>0</v>
      </c>
      <c r="J149">
        <v>1</v>
      </c>
      <c r="K149" s="2" t="s">
        <v>2</v>
      </c>
      <c r="L149">
        <v>0</v>
      </c>
      <c r="M149">
        <v>12.5</v>
      </c>
      <c r="N149" s="2" t="s">
        <v>1279</v>
      </c>
      <c r="O149" t="str">
        <f>D149&amp;"-"&amp;E149&amp;"-"&amp;F149&amp;"-"&amp;G149&amp;"-"&amp;H149</f>
        <v>A-1-e-0-13.5</v>
      </c>
      <c r="P149" t="str">
        <f>I149&amp;"-"&amp;J149&amp;"-"&amp;K149&amp;"-"&amp;L149&amp;"-"&amp;M149</f>
        <v>X-1-e-0-12.5</v>
      </c>
      <c r="Q149">
        <f>A149+R149</f>
        <v>14098.464408</v>
      </c>
      <c r="R149">
        <f>_xlfn.IFNA(VLOOKUP(P149,PGOPHER!A$2:G$181,7,FALSE),_xlfn.IFNA(VLOOKUP(P149,en!A$2:I$768,7,FALSE),-10000))</f>
        <v>564.264408</v>
      </c>
      <c r="S149">
        <f>IF(O149=O148,Q148+S148,Q149)</f>
        <v>28197.178412000001</v>
      </c>
      <c r="T149">
        <f>IF(O149=O148,T148+1,1)</f>
        <v>2</v>
      </c>
      <c r="U149" t="str">
        <f>IF(O149=O150,"",S149/T149)</f>
        <v/>
      </c>
      <c r="V149" t="str">
        <f>IF(U149="","",IF(ABS(Q149-U149)&gt;V$1,"error",""))</f>
        <v/>
      </c>
    </row>
    <row r="150" spans="1:22" x14ac:dyDescent="0.55000000000000004">
      <c r="A150">
        <v>13342.4</v>
      </c>
      <c r="B150" s="1">
        <v>3.1870000000000002E-2</v>
      </c>
      <c r="C150" s="1">
        <v>3.1870000000000002E-2</v>
      </c>
      <c r="D150" s="2" t="s">
        <v>1121</v>
      </c>
      <c r="E150">
        <v>1</v>
      </c>
      <c r="F150" s="2" t="s">
        <v>2</v>
      </c>
      <c r="G150">
        <v>0</v>
      </c>
      <c r="H150">
        <v>13.5</v>
      </c>
      <c r="I150" s="2" t="s">
        <v>0</v>
      </c>
      <c r="J150">
        <v>2</v>
      </c>
      <c r="K150" s="2" t="s">
        <v>1</v>
      </c>
      <c r="L150">
        <v>0</v>
      </c>
      <c r="M150">
        <v>13.5</v>
      </c>
      <c r="N150" s="2" t="s">
        <v>1276</v>
      </c>
      <c r="O150" t="str">
        <f>D150&amp;"-"&amp;E150&amp;"-"&amp;F150&amp;"-"&amp;G150&amp;"-"&amp;H150</f>
        <v>A-1-e-0-13.5</v>
      </c>
      <c r="P150" t="str">
        <f>I150&amp;"-"&amp;J150&amp;"-"&amp;K150&amp;"-"&amp;L150&amp;"-"&amp;M150</f>
        <v>X-2-f-0-13.5</v>
      </c>
      <c r="Q150">
        <f>A150+R150</f>
        <v>14098.567869</v>
      </c>
      <c r="R150">
        <f>_xlfn.IFNA(VLOOKUP(P150,PGOPHER!A$2:G$181,7,FALSE),_xlfn.IFNA(VLOOKUP(P150,en!A$2:I$768,7,FALSE),-10000))</f>
        <v>756.167869</v>
      </c>
      <c r="S150">
        <f>IF(O150=O149,Q149+S149,Q150)</f>
        <v>42295.642820000001</v>
      </c>
      <c r="T150">
        <f>IF(O150=O149,T149+1,1)</f>
        <v>3</v>
      </c>
      <c r="U150">
        <f>IF(O150=O151,"",S150/T150)</f>
        <v>14098.547606666667</v>
      </c>
      <c r="V150" t="str">
        <f>IF(U150="","",IF(ABS(Q150-U150)&gt;V$1,"error",""))</f>
        <v/>
      </c>
    </row>
    <row r="151" spans="1:22" x14ac:dyDescent="0.55000000000000004">
      <c r="A151">
        <v>13391.99</v>
      </c>
      <c r="B151" s="1">
        <v>1.2359999999999999E-2</v>
      </c>
      <c r="C151" s="1">
        <v>1.2359999999999999E-2</v>
      </c>
      <c r="D151" s="2" t="s">
        <v>1121</v>
      </c>
      <c r="E151">
        <v>1</v>
      </c>
      <c r="F151" s="2" t="s">
        <v>1</v>
      </c>
      <c r="G151">
        <v>0</v>
      </c>
      <c r="H151">
        <v>13.5</v>
      </c>
      <c r="I151" s="2" t="s">
        <v>0</v>
      </c>
      <c r="J151">
        <v>2</v>
      </c>
      <c r="K151" s="2" t="s">
        <v>1</v>
      </c>
      <c r="L151">
        <v>0</v>
      </c>
      <c r="M151">
        <v>12.5</v>
      </c>
      <c r="N151" s="2" t="s">
        <v>1278</v>
      </c>
      <c r="O151" t="str">
        <f>D151&amp;"-"&amp;E151&amp;"-"&amp;F151&amp;"-"&amp;G151&amp;"-"&amp;H151</f>
        <v>A-1-f-0-13.5</v>
      </c>
      <c r="P151" t="str">
        <f>I151&amp;"-"&amp;J151&amp;"-"&amp;K151&amp;"-"&amp;L151&amp;"-"&amp;M151</f>
        <v>X-2-f-0-12.5</v>
      </c>
      <c r="Q151">
        <f>A151+R151</f>
        <v>14047.958097999999</v>
      </c>
      <c r="R151">
        <f>_xlfn.IFNA(VLOOKUP(P151,PGOPHER!A$2:G$181,7,FALSE),_xlfn.IFNA(VLOOKUP(P151,en!A$2:I$768,7,FALSE),-10000))</f>
        <v>655.96809800000005</v>
      </c>
      <c r="S151">
        <f>IF(O151=O150,Q150+S150,Q151)</f>
        <v>14047.958097999999</v>
      </c>
      <c r="T151">
        <f>IF(O151=O150,T150+1,1)</f>
        <v>1</v>
      </c>
      <c r="U151" t="str">
        <f>IF(O151=O152,"",S151/T151)</f>
        <v/>
      </c>
      <c r="V151" t="str">
        <f>IF(U151="","",IF(ABS(Q151-U151)&gt;V$1,"error",""))</f>
        <v/>
      </c>
    </row>
    <row r="152" spans="1:22" x14ac:dyDescent="0.55000000000000004">
      <c r="A152">
        <v>13390.41</v>
      </c>
      <c r="B152" s="1">
        <v>7.9530000000000003E-2</v>
      </c>
      <c r="C152" s="1">
        <v>7.9530000000000003E-2</v>
      </c>
      <c r="D152" s="2" t="s">
        <v>1121</v>
      </c>
      <c r="E152">
        <v>1</v>
      </c>
      <c r="F152" s="2" t="s">
        <v>1</v>
      </c>
      <c r="G152">
        <v>0</v>
      </c>
      <c r="H152">
        <v>13.5</v>
      </c>
      <c r="I152" s="2" t="s">
        <v>0</v>
      </c>
      <c r="J152">
        <v>1</v>
      </c>
      <c r="K152" s="2" t="s">
        <v>2</v>
      </c>
      <c r="L152">
        <v>0</v>
      </c>
      <c r="M152">
        <v>13.5</v>
      </c>
      <c r="N152" s="2" t="s">
        <v>1277</v>
      </c>
      <c r="O152" t="str">
        <f>D152&amp;"-"&amp;E152&amp;"-"&amp;F152&amp;"-"&amp;G152&amp;"-"&amp;H152</f>
        <v>A-1-f-0-13.5</v>
      </c>
      <c r="P152" t="str">
        <f>I152&amp;"-"&amp;J152&amp;"-"&amp;K152&amp;"-"&amp;L152&amp;"-"&amp;M152</f>
        <v>X-1-e-0-13.5</v>
      </c>
      <c r="Q152">
        <f>A152+R152</f>
        <v>14048.020721999999</v>
      </c>
      <c r="R152">
        <f>_xlfn.IFNA(VLOOKUP(P152,PGOPHER!A$2:G$181,7,FALSE),_xlfn.IFNA(VLOOKUP(P152,en!A$2:I$768,7,FALSE),-10000))</f>
        <v>657.61072200000001</v>
      </c>
      <c r="S152">
        <f>IF(O152=O151,Q151+S151,Q152)</f>
        <v>28095.916195999998</v>
      </c>
      <c r="T152">
        <f>IF(O152=O151,T151+1,1)</f>
        <v>2</v>
      </c>
      <c r="U152" t="str">
        <f>IF(O152=O153,"",S152/T152)</f>
        <v/>
      </c>
      <c r="V152" t="str">
        <f>IF(U152="","",IF(ABS(Q152-U152)&gt;V$1,"error",""))</f>
        <v/>
      </c>
    </row>
    <row r="153" spans="1:22" x14ac:dyDescent="0.55000000000000004">
      <c r="A153">
        <v>13184.56</v>
      </c>
      <c r="B153" s="1">
        <v>0.10440000000000001</v>
      </c>
      <c r="C153" s="1">
        <v>0.10440000000000001</v>
      </c>
      <c r="D153" s="2" t="s">
        <v>1121</v>
      </c>
      <c r="E153">
        <v>1</v>
      </c>
      <c r="F153" s="2" t="s">
        <v>1</v>
      </c>
      <c r="G153">
        <v>0</v>
      </c>
      <c r="H153">
        <v>13.5</v>
      </c>
      <c r="I153" s="2" t="s">
        <v>0</v>
      </c>
      <c r="J153">
        <v>2</v>
      </c>
      <c r="K153" s="2" t="s">
        <v>1</v>
      </c>
      <c r="L153">
        <v>0</v>
      </c>
      <c r="M153">
        <v>14.5</v>
      </c>
      <c r="N153" s="2" t="s">
        <v>1274</v>
      </c>
      <c r="O153" t="str">
        <f>D153&amp;"-"&amp;E153&amp;"-"&amp;F153&amp;"-"&amp;G153&amp;"-"&amp;H153</f>
        <v>A-1-f-0-13.5</v>
      </c>
      <c r="P153" t="str">
        <f>I153&amp;"-"&amp;J153&amp;"-"&amp;K153&amp;"-"&amp;L153&amp;"-"&amp;M153</f>
        <v>X-2-f-0-14.5</v>
      </c>
      <c r="Q153">
        <f>A153+R153</f>
        <v>14047.863004999999</v>
      </c>
      <c r="R153">
        <f>_xlfn.IFNA(VLOOKUP(P153,PGOPHER!A$2:G$181,7,FALSE),_xlfn.IFNA(VLOOKUP(P153,en!A$2:I$768,7,FALSE),-10000))</f>
        <v>863.30300499999998</v>
      </c>
      <c r="S153">
        <f>IF(O153=O152,Q152+S152,Q153)</f>
        <v>42143.936917999999</v>
      </c>
      <c r="T153">
        <f>IF(O153=O152,T152+1,1)</f>
        <v>3</v>
      </c>
      <c r="U153">
        <f>IF(O153=O154,"",S153/T153)</f>
        <v>14047.978972666666</v>
      </c>
      <c r="V153" t="str">
        <f>IF(U153="","",IF(ABS(Q153-U153)&gt;V$1,"error",""))</f>
        <v/>
      </c>
    </row>
    <row r="154" spans="1:22" x14ac:dyDescent="0.55000000000000004">
      <c r="A154">
        <v>13611.66</v>
      </c>
      <c r="B154" s="1">
        <v>0.19620000000000001</v>
      </c>
      <c r="C154" s="1">
        <v>0.19620000000000001</v>
      </c>
      <c r="D154" s="2" t="s">
        <v>1121</v>
      </c>
      <c r="E154">
        <v>2</v>
      </c>
      <c r="F154" s="2" t="s">
        <v>2</v>
      </c>
      <c r="G154">
        <v>0</v>
      </c>
      <c r="H154">
        <v>13.5</v>
      </c>
      <c r="I154" s="2" t="s">
        <v>0</v>
      </c>
      <c r="J154">
        <v>1</v>
      </c>
      <c r="K154" s="2" t="s">
        <v>2</v>
      </c>
      <c r="L154">
        <v>0</v>
      </c>
      <c r="M154">
        <v>14.5</v>
      </c>
      <c r="N154" s="2" t="s">
        <v>1269</v>
      </c>
      <c r="O154" t="str">
        <f>D154&amp;"-"&amp;E154&amp;"-"&amp;F154&amp;"-"&amp;G154&amp;"-"&amp;H154</f>
        <v>A-2-e-0-13.5</v>
      </c>
      <c r="P154" t="str">
        <f>I154&amp;"-"&amp;J154&amp;"-"&amp;K154&amp;"-"&amp;L154&amp;"-"&amp;M154</f>
        <v>X-1-e-0-14.5</v>
      </c>
      <c r="Q154">
        <f>A154+R154</f>
        <v>14369.589206000001</v>
      </c>
      <c r="R154">
        <f>_xlfn.IFNA(VLOOKUP(P154,PGOPHER!A$2:G$181,7,FALSE),_xlfn.IFNA(VLOOKUP(P154,en!A$2:I$768,7,FALSE),-10000))</f>
        <v>757.92920600000002</v>
      </c>
      <c r="S154">
        <f>IF(O154=O153,Q153+S153,Q154)</f>
        <v>14369.589206000001</v>
      </c>
      <c r="T154">
        <f>IF(O154=O153,T153+1,1)</f>
        <v>1</v>
      </c>
      <c r="U154" t="str">
        <f>IF(O154=O155,"",S154/T154)</f>
        <v/>
      </c>
      <c r="V154" t="str">
        <f>IF(U154="","",IF(ABS(Q154-U154)&gt;V$1,"error",""))</f>
        <v/>
      </c>
    </row>
    <row r="155" spans="1:22" x14ac:dyDescent="0.55000000000000004">
      <c r="A155">
        <v>13804.89</v>
      </c>
      <c r="B155" s="1">
        <v>0.38059999999999999</v>
      </c>
      <c r="C155" s="1">
        <v>0.38059999999999999</v>
      </c>
      <c r="D155" s="2" t="s">
        <v>1121</v>
      </c>
      <c r="E155">
        <v>2</v>
      </c>
      <c r="F155" s="2" t="s">
        <v>2</v>
      </c>
      <c r="G155">
        <v>0</v>
      </c>
      <c r="H155">
        <v>13.5</v>
      </c>
      <c r="I155" s="2" t="s">
        <v>0</v>
      </c>
      <c r="J155">
        <v>1</v>
      </c>
      <c r="K155" s="2" t="s">
        <v>2</v>
      </c>
      <c r="L155">
        <v>0</v>
      </c>
      <c r="M155">
        <v>12.5</v>
      </c>
      <c r="N155" s="2" t="s">
        <v>1273</v>
      </c>
      <c r="O155" t="str">
        <f>D155&amp;"-"&amp;E155&amp;"-"&amp;F155&amp;"-"&amp;G155&amp;"-"&amp;H155</f>
        <v>A-2-e-0-13.5</v>
      </c>
      <c r="P155" t="str">
        <f>I155&amp;"-"&amp;J155&amp;"-"&amp;K155&amp;"-"&amp;L155&amp;"-"&amp;M155</f>
        <v>X-1-e-0-12.5</v>
      </c>
      <c r="Q155">
        <f>A155+R155</f>
        <v>14369.154407999999</v>
      </c>
      <c r="R155">
        <f>_xlfn.IFNA(VLOOKUP(P155,PGOPHER!A$2:G$181,7,FALSE),_xlfn.IFNA(VLOOKUP(P155,en!A$2:I$768,7,FALSE),-10000))</f>
        <v>564.264408</v>
      </c>
      <c r="S155">
        <f>IF(O155=O154,Q154+S154,Q155)</f>
        <v>28739.178412000001</v>
      </c>
      <c r="T155">
        <f>IF(O155=O154,T154+1,1)</f>
        <v>2</v>
      </c>
      <c r="U155" t="str">
        <f>IF(O155=O156,"",S155/T155)</f>
        <v/>
      </c>
      <c r="V155" t="str">
        <f>IF(U155="","",IF(ABS(Q155-U155)&gt;V$1,"error",""))</f>
        <v/>
      </c>
    </row>
    <row r="156" spans="1:22" x14ac:dyDescent="0.55000000000000004">
      <c r="A156">
        <v>13613.33</v>
      </c>
      <c r="B156" s="1">
        <v>0.01</v>
      </c>
      <c r="C156" s="1">
        <v>0.01</v>
      </c>
      <c r="D156" s="2" t="s">
        <v>1121</v>
      </c>
      <c r="E156">
        <v>2</v>
      </c>
      <c r="F156" s="2" t="s">
        <v>2</v>
      </c>
      <c r="G156">
        <v>0</v>
      </c>
      <c r="H156">
        <v>13.5</v>
      </c>
      <c r="I156" s="2" t="s">
        <v>0</v>
      </c>
      <c r="J156">
        <v>2</v>
      </c>
      <c r="K156" s="2" t="s">
        <v>1</v>
      </c>
      <c r="L156">
        <v>0</v>
      </c>
      <c r="M156">
        <v>13.5</v>
      </c>
      <c r="N156" s="2" t="s">
        <v>1270</v>
      </c>
      <c r="O156" t="str">
        <f>D156&amp;"-"&amp;E156&amp;"-"&amp;F156&amp;"-"&amp;G156&amp;"-"&amp;H156</f>
        <v>A-2-e-0-13.5</v>
      </c>
      <c r="P156" t="str">
        <f>I156&amp;"-"&amp;J156&amp;"-"&amp;K156&amp;"-"&amp;L156&amp;"-"&amp;M156</f>
        <v>X-2-f-0-13.5</v>
      </c>
      <c r="Q156">
        <f>A156+R156</f>
        <v>14369.497869000001</v>
      </c>
      <c r="R156">
        <f>_xlfn.IFNA(VLOOKUP(P156,PGOPHER!A$2:G$181,7,FALSE),_xlfn.IFNA(VLOOKUP(P156,en!A$2:I$768,7,FALSE),-10000))</f>
        <v>756.167869</v>
      </c>
      <c r="S156">
        <f>IF(O156=O155,Q155+S155,Q156)</f>
        <v>43108.332819999996</v>
      </c>
      <c r="T156">
        <f>IF(O156=O155,T155+1,1)</f>
        <v>3</v>
      </c>
      <c r="U156">
        <f>IF(O156=O157,"",S156/T156)</f>
        <v>14369.444273333333</v>
      </c>
      <c r="V156" t="str">
        <f>IF(U156="","",IF(ABS(Q156-U156)&gt;V$1,"error",""))</f>
        <v/>
      </c>
    </row>
    <row r="157" spans="1:22" x14ac:dyDescent="0.55000000000000004">
      <c r="A157">
        <v>13710.63</v>
      </c>
      <c r="B157" s="1">
        <v>0.01</v>
      </c>
      <c r="C157" s="1">
        <v>0.01</v>
      </c>
      <c r="D157" s="2" t="s">
        <v>1121</v>
      </c>
      <c r="E157">
        <v>2</v>
      </c>
      <c r="F157" s="2" t="s">
        <v>1</v>
      </c>
      <c r="G157">
        <v>0</v>
      </c>
      <c r="H157">
        <v>13.5</v>
      </c>
      <c r="I157" s="2" t="s">
        <v>0</v>
      </c>
      <c r="J157">
        <v>2</v>
      </c>
      <c r="K157" s="2" t="s">
        <v>1</v>
      </c>
      <c r="L157">
        <v>0</v>
      </c>
      <c r="M157">
        <v>12.5</v>
      </c>
      <c r="N157" s="2" t="s">
        <v>1272</v>
      </c>
      <c r="O157" t="str">
        <f>D157&amp;"-"&amp;E157&amp;"-"&amp;F157&amp;"-"&amp;G157&amp;"-"&amp;H157</f>
        <v>A-2-f-0-13.5</v>
      </c>
      <c r="P157" t="str">
        <f>I157&amp;"-"&amp;J157&amp;"-"&amp;K157&amp;"-"&amp;L157&amp;"-"&amp;M157</f>
        <v>X-2-f-0-12.5</v>
      </c>
      <c r="Q157">
        <f>A157+R157</f>
        <v>14366.598097999999</v>
      </c>
      <c r="R157">
        <f>_xlfn.IFNA(VLOOKUP(P157,PGOPHER!A$2:G$181,7,FALSE),_xlfn.IFNA(VLOOKUP(P157,en!A$2:I$768,7,FALSE),-10000))</f>
        <v>655.96809800000005</v>
      </c>
      <c r="S157">
        <f>IF(O157=O156,Q156+S156,Q157)</f>
        <v>14366.598097999999</v>
      </c>
      <c r="T157">
        <f>IF(O157=O156,T156+1,1)</f>
        <v>1</v>
      </c>
      <c r="U157" t="str">
        <f>IF(O157=O158,"",S157/T157)</f>
        <v/>
      </c>
      <c r="V157" t="str">
        <f>IF(U157="","",IF(ABS(Q157-U157)&gt;V$1,"error",""))</f>
        <v/>
      </c>
    </row>
    <row r="158" spans="1:22" x14ac:dyDescent="0.55000000000000004">
      <c r="A158">
        <v>13708.98</v>
      </c>
      <c r="B158" s="1">
        <v>0.01</v>
      </c>
      <c r="C158" s="1">
        <v>0.01</v>
      </c>
      <c r="D158" s="2" t="s">
        <v>1121</v>
      </c>
      <c r="E158">
        <v>2</v>
      </c>
      <c r="F158" s="2" t="s">
        <v>1</v>
      </c>
      <c r="G158">
        <v>0</v>
      </c>
      <c r="H158">
        <v>13.5</v>
      </c>
      <c r="I158" s="2" t="s">
        <v>0</v>
      </c>
      <c r="J158">
        <v>1</v>
      </c>
      <c r="K158" s="2" t="s">
        <v>2</v>
      </c>
      <c r="L158">
        <v>0</v>
      </c>
      <c r="M158">
        <v>13.5</v>
      </c>
      <c r="N158" s="2" t="s">
        <v>1271</v>
      </c>
      <c r="O158" t="str">
        <f>D158&amp;"-"&amp;E158&amp;"-"&amp;F158&amp;"-"&amp;G158&amp;"-"&amp;H158</f>
        <v>A-2-f-0-13.5</v>
      </c>
      <c r="P158" t="str">
        <f>I158&amp;"-"&amp;J158&amp;"-"&amp;K158&amp;"-"&amp;L158&amp;"-"&amp;M158</f>
        <v>X-1-e-0-13.5</v>
      </c>
      <c r="Q158">
        <f>A158+R158</f>
        <v>14366.590721999999</v>
      </c>
      <c r="R158">
        <f>_xlfn.IFNA(VLOOKUP(P158,PGOPHER!A$2:G$181,7,FALSE),_xlfn.IFNA(VLOOKUP(P158,en!A$2:I$768,7,FALSE),-10000))</f>
        <v>657.61072200000001</v>
      </c>
      <c r="S158">
        <f>IF(O158=O157,Q157+S157,Q158)</f>
        <v>28733.196195999997</v>
      </c>
      <c r="T158">
        <f>IF(O158=O157,T157+1,1)</f>
        <v>2</v>
      </c>
      <c r="U158" t="str">
        <f>IF(O158=O159,"",S158/T158)</f>
        <v/>
      </c>
      <c r="V158" t="str">
        <f>IF(U158="","",IF(ABS(Q158-U158)&gt;V$1,"error",""))</f>
        <v/>
      </c>
    </row>
    <row r="159" spans="1:22" x14ac:dyDescent="0.55000000000000004">
      <c r="A159">
        <v>13503.28</v>
      </c>
      <c r="B159" s="1">
        <v>0.01</v>
      </c>
      <c r="C159" s="1">
        <v>0.01</v>
      </c>
      <c r="D159" s="2" t="s">
        <v>1121</v>
      </c>
      <c r="E159">
        <v>2</v>
      </c>
      <c r="F159" s="2" t="s">
        <v>1</v>
      </c>
      <c r="G159">
        <v>0</v>
      </c>
      <c r="H159">
        <v>13.5</v>
      </c>
      <c r="I159" s="2" t="s">
        <v>0</v>
      </c>
      <c r="J159">
        <v>2</v>
      </c>
      <c r="K159" s="2" t="s">
        <v>1</v>
      </c>
      <c r="L159">
        <v>0</v>
      </c>
      <c r="M159">
        <v>14.5</v>
      </c>
      <c r="N159" s="2" t="s">
        <v>1268</v>
      </c>
      <c r="O159" t="str">
        <f>D159&amp;"-"&amp;E159&amp;"-"&amp;F159&amp;"-"&amp;G159&amp;"-"&amp;H159</f>
        <v>A-2-f-0-13.5</v>
      </c>
      <c r="P159" t="str">
        <f>I159&amp;"-"&amp;J159&amp;"-"&amp;K159&amp;"-"&amp;L159&amp;"-"&amp;M159</f>
        <v>X-2-f-0-14.5</v>
      </c>
      <c r="Q159">
        <f>A159+R159</f>
        <v>14366.583005</v>
      </c>
      <c r="R159">
        <f>_xlfn.IFNA(VLOOKUP(P159,PGOPHER!A$2:G$181,7,FALSE),_xlfn.IFNA(VLOOKUP(P159,en!A$2:I$768,7,FALSE),-10000))</f>
        <v>863.30300499999998</v>
      </c>
      <c r="S159">
        <f>IF(O159=O158,Q158+S158,Q159)</f>
        <v>43099.786917999998</v>
      </c>
      <c r="T159">
        <f>IF(O159=O158,T158+1,1)</f>
        <v>3</v>
      </c>
      <c r="U159">
        <f>IF(O159=O160,"",S159/T159)</f>
        <v>14366.595639333333</v>
      </c>
      <c r="V159" t="str">
        <f>IF(U159="","",IF(ABS(Q159-U159)&gt;V$1,"error",""))</f>
        <v/>
      </c>
    </row>
    <row r="160" spans="1:22" x14ac:dyDescent="0.55000000000000004">
      <c r="A160">
        <v>13339.43</v>
      </c>
      <c r="B160" s="1">
        <v>1.8149999999999999E-2</v>
      </c>
      <c r="C160" s="1">
        <v>1.8149999999999999E-2</v>
      </c>
      <c r="D160" s="2" t="s">
        <v>1121</v>
      </c>
      <c r="E160">
        <v>1</v>
      </c>
      <c r="F160" s="2" t="s">
        <v>2</v>
      </c>
      <c r="G160">
        <v>0</v>
      </c>
      <c r="H160">
        <v>14.5</v>
      </c>
      <c r="I160" s="2" t="s">
        <v>0</v>
      </c>
      <c r="J160">
        <v>1</v>
      </c>
      <c r="K160" s="2" t="s">
        <v>2</v>
      </c>
      <c r="L160">
        <v>0</v>
      </c>
      <c r="M160">
        <v>15.5</v>
      </c>
      <c r="N160" s="2" t="s">
        <v>1287</v>
      </c>
      <c r="O160" t="str">
        <f>D160&amp;"-"&amp;E160&amp;"-"&amp;F160&amp;"-"&amp;G160&amp;"-"&amp;H160</f>
        <v>A-1-e-0-14.5</v>
      </c>
      <c r="P160" t="str">
        <f>I160&amp;"-"&amp;J160&amp;"-"&amp;K160&amp;"-"&amp;L160&amp;"-"&amp;M160</f>
        <v>X-1-e-0-15.5</v>
      </c>
      <c r="Q160">
        <f>A160+R160</f>
        <v>14204.607659000001</v>
      </c>
      <c r="R160">
        <f>_xlfn.IFNA(VLOOKUP(P160,PGOPHER!A$2:G$181,7,FALSE),_xlfn.IFNA(VLOOKUP(P160,en!A$2:I$768,7,FALSE),-10000))</f>
        <v>865.17765899999995</v>
      </c>
      <c r="S160">
        <f>IF(O160=O159,Q159+S159,Q160)</f>
        <v>14204.607659000001</v>
      </c>
      <c r="T160">
        <f>IF(O160=O159,T159+1,1)</f>
        <v>1</v>
      </c>
      <c r="U160" t="str">
        <f>IF(O160=O161,"",S160/T160)</f>
        <v/>
      </c>
      <c r="V160" t="str">
        <f>IF(U160="","",IF(ABS(Q160-U160)&gt;V$1,"error",""))</f>
        <v/>
      </c>
    </row>
    <row r="161" spans="1:22" x14ac:dyDescent="0.55000000000000004">
      <c r="A161">
        <v>13546.93</v>
      </c>
      <c r="B161" s="1">
        <v>7.0720000000000005E-2</v>
      </c>
      <c r="C161" s="1">
        <v>7.0720000000000005E-2</v>
      </c>
      <c r="D161" s="2" t="s">
        <v>1121</v>
      </c>
      <c r="E161">
        <v>1</v>
      </c>
      <c r="F161" s="2" t="s">
        <v>2</v>
      </c>
      <c r="G161">
        <v>0</v>
      </c>
      <c r="H161">
        <v>14.5</v>
      </c>
      <c r="I161" s="2" t="s">
        <v>0</v>
      </c>
      <c r="J161">
        <v>1</v>
      </c>
      <c r="K161" s="2" t="s">
        <v>2</v>
      </c>
      <c r="L161">
        <v>0</v>
      </c>
      <c r="M161">
        <v>13.5</v>
      </c>
      <c r="N161" s="2" t="s">
        <v>1291</v>
      </c>
      <c r="O161" t="str">
        <f>D161&amp;"-"&amp;E161&amp;"-"&amp;F161&amp;"-"&amp;G161&amp;"-"&amp;H161</f>
        <v>A-1-e-0-14.5</v>
      </c>
      <c r="P161" t="str">
        <f>I161&amp;"-"&amp;J161&amp;"-"&amp;K161&amp;"-"&amp;L161&amp;"-"&amp;M161</f>
        <v>X-1-e-0-13.5</v>
      </c>
      <c r="Q161">
        <f>A161+R161</f>
        <v>14204.540722</v>
      </c>
      <c r="R161">
        <f>_xlfn.IFNA(VLOOKUP(P161,PGOPHER!A$2:G$181,7,FALSE),_xlfn.IFNA(VLOOKUP(P161,en!A$2:I$768,7,FALSE),-10000))</f>
        <v>657.61072200000001</v>
      </c>
      <c r="S161">
        <f>IF(O161=O160,Q160+S160,Q161)</f>
        <v>28409.215318000002</v>
      </c>
      <c r="T161">
        <f>IF(O161=O160,T160+1,1)</f>
        <v>2</v>
      </c>
      <c r="U161" t="str">
        <f>IF(O161=O162,"",S161/T161)</f>
        <v/>
      </c>
      <c r="V161" t="str">
        <f>IF(U161="","",IF(ABS(Q161-U161)&gt;V$1,"error",""))</f>
        <v/>
      </c>
    </row>
    <row r="162" spans="1:22" x14ac:dyDescent="0.55000000000000004">
      <c r="A162">
        <v>13341.32</v>
      </c>
      <c r="B162" s="1">
        <v>3.7220000000000003E-2</v>
      </c>
      <c r="C162" s="1">
        <v>3.7220000000000003E-2</v>
      </c>
      <c r="D162" s="2" t="s">
        <v>1121</v>
      </c>
      <c r="E162">
        <v>1</v>
      </c>
      <c r="F162" s="2" t="s">
        <v>2</v>
      </c>
      <c r="G162">
        <v>0</v>
      </c>
      <c r="H162">
        <v>14.5</v>
      </c>
      <c r="I162" s="2" t="s">
        <v>0</v>
      </c>
      <c r="J162">
        <v>2</v>
      </c>
      <c r="K162" s="2" t="s">
        <v>1</v>
      </c>
      <c r="L162">
        <v>0</v>
      </c>
      <c r="M162">
        <v>14.5</v>
      </c>
      <c r="N162" s="2" t="s">
        <v>1288</v>
      </c>
      <c r="O162" t="str">
        <f>D162&amp;"-"&amp;E162&amp;"-"&amp;F162&amp;"-"&amp;G162&amp;"-"&amp;H162</f>
        <v>A-1-e-0-14.5</v>
      </c>
      <c r="P162" t="str">
        <f>I162&amp;"-"&amp;J162&amp;"-"&amp;K162&amp;"-"&amp;L162&amp;"-"&amp;M162</f>
        <v>X-2-f-0-14.5</v>
      </c>
      <c r="Q162">
        <f>A162+R162</f>
        <v>14204.623004999999</v>
      </c>
      <c r="R162">
        <f>_xlfn.IFNA(VLOOKUP(P162,PGOPHER!A$2:G$181,7,FALSE),_xlfn.IFNA(VLOOKUP(P162,en!A$2:I$768,7,FALSE),-10000))</f>
        <v>863.30300499999998</v>
      </c>
      <c r="S162">
        <f>IF(O162=O161,Q161+S161,Q162)</f>
        <v>42613.75604</v>
      </c>
      <c r="T162">
        <f>IF(O162=O161,T161+1,1)</f>
        <v>3</v>
      </c>
      <c r="U162">
        <f>IF(O162=O163,"",S162/T162)</f>
        <v>14204.585346666667</v>
      </c>
      <c r="V162" t="str">
        <f>IF(U162="","",IF(ABS(Q162-U162)&gt;V$1,"error",""))</f>
        <v/>
      </c>
    </row>
    <row r="163" spans="1:22" x14ac:dyDescent="0.55000000000000004">
      <c r="A163">
        <v>13395.2</v>
      </c>
      <c r="B163" s="1">
        <v>1.6459999999999999E-2</v>
      </c>
      <c r="C163" s="1">
        <v>1.6459999999999999E-2</v>
      </c>
      <c r="D163" s="2" t="s">
        <v>1121</v>
      </c>
      <c r="E163">
        <v>1</v>
      </c>
      <c r="F163" s="2" t="s">
        <v>1</v>
      </c>
      <c r="G163">
        <v>0</v>
      </c>
      <c r="H163">
        <v>14.5</v>
      </c>
      <c r="I163" s="2" t="s">
        <v>0</v>
      </c>
      <c r="J163">
        <v>2</v>
      </c>
      <c r="K163" s="2" t="s">
        <v>1</v>
      </c>
      <c r="L163">
        <v>0</v>
      </c>
      <c r="M163">
        <v>13.5</v>
      </c>
      <c r="N163" s="2" t="s">
        <v>1290</v>
      </c>
      <c r="O163" t="str">
        <f>D163&amp;"-"&amp;E163&amp;"-"&amp;F163&amp;"-"&amp;G163&amp;"-"&amp;H163</f>
        <v>A-1-f-0-14.5</v>
      </c>
      <c r="P163" t="str">
        <f>I163&amp;"-"&amp;J163&amp;"-"&amp;K163&amp;"-"&amp;L163&amp;"-"&amp;M163</f>
        <v>X-2-f-0-13.5</v>
      </c>
      <c r="Q163">
        <f>A163+R163</f>
        <v>14151.367869000002</v>
      </c>
      <c r="R163">
        <f>_xlfn.IFNA(VLOOKUP(P163,PGOPHER!A$2:G$181,7,FALSE),_xlfn.IFNA(VLOOKUP(P163,en!A$2:I$768,7,FALSE),-10000))</f>
        <v>756.167869</v>
      </c>
      <c r="S163">
        <f>IF(O163=O162,Q162+S162,Q163)</f>
        <v>14151.367869000002</v>
      </c>
      <c r="T163">
        <f>IF(O163=O162,T162+1,1)</f>
        <v>1</v>
      </c>
      <c r="U163" t="str">
        <f>IF(O163=O164,"",S163/T163)</f>
        <v/>
      </c>
      <c r="V163" t="str">
        <f>IF(U163="","",IF(ABS(Q163-U163)&gt;V$1,"error",""))</f>
        <v/>
      </c>
    </row>
    <row r="164" spans="1:22" x14ac:dyDescent="0.55000000000000004">
      <c r="A164">
        <v>13393.46</v>
      </c>
      <c r="B164" s="1">
        <v>3.7659999999999999E-2</v>
      </c>
      <c r="C164" s="1">
        <v>3.7659999999999999E-2</v>
      </c>
      <c r="D164" s="2" t="s">
        <v>1121</v>
      </c>
      <c r="E164">
        <v>1</v>
      </c>
      <c r="F164" s="2" t="s">
        <v>1</v>
      </c>
      <c r="G164">
        <v>0</v>
      </c>
      <c r="H164">
        <v>14.5</v>
      </c>
      <c r="I164" s="2" t="s">
        <v>0</v>
      </c>
      <c r="J164">
        <v>1</v>
      </c>
      <c r="K164" s="2" t="s">
        <v>2</v>
      </c>
      <c r="L164">
        <v>0</v>
      </c>
      <c r="M164">
        <v>14.5</v>
      </c>
      <c r="N164" s="2" t="s">
        <v>1289</v>
      </c>
      <c r="O164" t="str">
        <f>D164&amp;"-"&amp;E164&amp;"-"&amp;F164&amp;"-"&amp;G164&amp;"-"&amp;H164</f>
        <v>A-1-f-0-14.5</v>
      </c>
      <c r="P164" t="str">
        <f>I164&amp;"-"&amp;J164&amp;"-"&amp;K164&amp;"-"&amp;L164&amp;"-"&amp;M164</f>
        <v>X-1-e-0-14.5</v>
      </c>
      <c r="Q164">
        <f>A164+R164</f>
        <v>14151.389206</v>
      </c>
      <c r="R164">
        <f>_xlfn.IFNA(VLOOKUP(P164,PGOPHER!A$2:G$181,7,FALSE),_xlfn.IFNA(VLOOKUP(P164,en!A$2:I$768,7,FALSE),-10000))</f>
        <v>757.92920600000002</v>
      </c>
      <c r="S164">
        <f>IF(O164=O163,Q163+S163,Q164)</f>
        <v>28302.735738000003</v>
      </c>
      <c r="T164">
        <f>IF(O164=O163,T163+1,1)</f>
        <v>2</v>
      </c>
      <c r="U164" t="str">
        <f>IF(O164=O165,"",S164/T164)</f>
        <v/>
      </c>
      <c r="V164" t="str">
        <f>IF(U164="","",IF(ABS(Q164-U164)&gt;V$1,"error",""))</f>
        <v/>
      </c>
    </row>
    <row r="165" spans="1:22" x14ac:dyDescent="0.55000000000000004">
      <c r="A165">
        <v>13173.99</v>
      </c>
      <c r="B165" s="1">
        <v>6.8479999999999999E-2</v>
      </c>
      <c r="C165" s="1">
        <v>6.8479999999999999E-2</v>
      </c>
      <c r="D165" s="2" t="s">
        <v>1121</v>
      </c>
      <c r="E165">
        <v>1</v>
      </c>
      <c r="F165" s="2" t="s">
        <v>1</v>
      </c>
      <c r="G165">
        <v>0</v>
      </c>
      <c r="H165">
        <v>14.5</v>
      </c>
      <c r="I165" s="2" t="s">
        <v>0</v>
      </c>
      <c r="J165">
        <v>2</v>
      </c>
      <c r="K165" s="2" t="s">
        <v>1</v>
      </c>
      <c r="L165">
        <v>0</v>
      </c>
      <c r="M165">
        <v>15.5</v>
      </c>
      <c r="N165" s="2" t="s">
        <v>1286</v>
      </c>
      <c r="O165" t="str">
        <f>D165&amp;"-"&amp;E165&amp;"-"&amp;F165&amp;"-"&amp;G165&amp;"-"&amp;H165</f>
        <v>A-1-f-0-14.5</v>
      </c>
      <c r="P165" t="str">
        <f>I165&amp;"-"&amp;J165&amp;"-"&amp;K165&amp;"-"&amp;L165&amp;"-"&amp;M165</f>
        <v>X-2-f-0-15.5</v>
      </c>
      <c r="Q165">
        <f>A165+R165</f>
        <v>14151.304107</v>
      </c>
      <c r="R165">
        <f>_xlfn.IFNA(VLOOKUP(P165,PGOPHER!A$2:G$181,7,FALSE),_xlfn.IFNA(VLOOKUP(P165,en!A$2:I$768,7,FALSE),-10000))</f>
        <v>977.31410700000004</v>
      </c>
      <c r="S165">
        <f>IF(O165=O164,Q164+S164,Q165)</f>
        <v>42454.124944000003</v>
      </c>
      <c r="T165">
        <f>IF(O165=O164,T164+1,1)</f>
        <v>3</v>
      </c>
      <c r="U165">
        <f>IF(O165=O166,"",S165/T165)</f>
        <v>14151.374981333334</v>
      </c>
      <c r="V165" t="str">
        <f>IF(U165="","",IF(ABS(Q165-U165)&gt;V$1,"error",""))</f>
        <v/>
      </c>
    </row>
    <row r="166" spans="1:22" x14ac:dyDescent="0.55000000000000004">
      <c r="A166">
        <v>13609.59</v>
      </c>
      <c r="B166" s="1">
        <v>0.37090000000000001</v>
      </c>
      <c r="C166" s="1">
        <v>0.37090000000000001</v>
      </c>
      <c r="D166" s="2" t="s">
        <v>1121</v>
      </c>
      <c r="E166">
        <v>2</v>
      </c>
      <c r="F166" s="2" t="s">
        <v>2</v>
      </c>
      <c r="G166">
        <v>0</v>
      </c>
      <c r="H166">
        <v>14.5</v>
      </c>
      <c r="I166" s="2" t="s">
        <v>0</v>
      </c>
      <c r="J166">
        <v>1</v>
      </c>
      <c r="K166" s="2" t="s">
        <v>2</v>
      </c>
      <c r="L166">
        <v>0</v>
      </c>
      <c r="M166">
        <v>15.5</v>
      </c>
      <c r="N166" s="2" t="s">
        <v>1281</v>
      </c>
      <c r="O166" t="str">
        <f>D166&amp;"-"&amp;E166&amp;"-"&amp;F166&amp;"-"&amp;G166&amp;"-"&amp;H166</f>
        <v>A-2-e-0-14.5</v>
      </c>
      <c r="P166" t="str">
        <f>I166&amp;"-"&amp;J166&amp;"-"&amp;K166&amp;"-"&amp;L166&amp;"-"&amp;M166</f>
        <v>X-1-e-0-15.5</v>
      </c>
      <c r="Q166">
        <f>A166+R166</f>
        <v>14474.767659000001</v>
      </c>
      <c r="R166">
        <f>_xlfn.IFNA(VLOOKUP(P166,PGOPHER!A$2:G$181,7,FALSE),_xlfn.IFNA(VLOOKUP(P166,en!A$2:I$768,7,FALSE),-10000))</f>
        <v>865.17765899999995</v>
      </c>
      <c r="S166">
        <f>IF(O166=O165,Q165+S165,Q166)</f>
        <v>14474.767659000001</v>
      </c>
      <c r="T166">
        <f>IF(O166=O165,T165+1,1)</f>
        <v>1</v>
      </c>
      <c r="U166" t="str">
        <f>IF(O166=O167,"",S166/T166)</f>
        <v/>
      </c>
      <c r="V166" t="str">
        <f>IF(U166="","",IF(ABS(Q166-U166)&gt;V$1,"error",""))</f>
        <v/>
      </c>
    </row>
    <row r="167" spans="1:22" x14ac:dyDescent="0.55000000000000004">
      <c r="A167">
        <v>13817.61</v>
      </c>
      <c r="B167" s="1">
        <v>0.20549999999999999</v>
      </c>
      <c r="C167" s="1">
        <v>0.20549999999999999</v>
      </c>
      <c r="D167" s="2" t="s">
        <v>1121</v>
      </c>
      <c r="E167">
        <v>2</v>
      </c>
      <c r="F167" s="2" t="s">
        <v>2</v>
      </c>
      <c r="G167">
        <v>0</v>
      </c>
      <c r="H167">
        <v>14.5</v>
      </c>
      <c r="I167" s="2" t="s">
        <v>0</v>
      </c>
      <c r="J167">
        <v>1</v>
      </c>
      <c r="K167" s="2" t="s">
        <v>2</v>
      </c>
      <c r="L167">
        <v>0</v>
      </c>
      <c r="M167">
        <v>13.5</v>
      </c>
      <c r="N167" s="2" t="s">
        <v>1285</v>
      </c>
      <c r="O167" t="str">
        <f>D167&amp;"-"&amp;E167&amp;"-"&amp;F167&amp;"-"&amp;G167&amp;"-"&amp;H167</f>
        <v>A-2-e-0-14.5</v>
      </c>
      <c r="P167" t="str">
        <f>I167&amp;"-"&amp;J167&amp;"-"&amp;K167&amp;"-"&amp;L167&amp;"-"&amp;M167</f>
        <v>X-1-e-0-13.5</v>
      </c>
      <c r="Q167">
        <f>A167+R167</f>
        <v>14475.220722</v>
      </c>
      <c r="R167">
        <f>_xlfn.IFNA(VLOOKUP(P167,PGOPHER!A$2:G$181,7,FALSE),_xlfn.IFNA(VLOOKUP(P167,en!A$2:I$768,7,FALSE),-10000))</f>
        <v>657.61072200000001</v>
      </c>
      <c r="S167">
        <f>IF(O167=O166,Q166+S166,Q167)</f>
        <v>28949.535318000002</v>
      </c>
      <c r="T167">
        <f>IF(O167=O166,T166+1,1)</f>
        <v>2</v>
      </c>
      <c r="U167" t="str">
        <f>IF(O167=O168,"",S167/T167)</f>
        <v/>
      </c>
      <c r="V167" t="str">
        <f>IF(U167="","",IF(ABS(Q167-U167)&gt;V$1,"error",""))</f>
        <v/>
      </c>
    </row>
    <row r="168" spans="1:22" x14ac:dyDescent="0.55000000000000004">
      <c r="A168">
        <v>13611.8</v>
      </c>
      <c r="B168" s="1">
        <v>0.01</v>
      </c>
      <c r="C168" s="1">
        <v>0.01</v>
      </c>
      <c r="D168" s="2" t="s">
        <v>1121</v>
      </c>
      <c r="E168">
        <v>2</v>
      </c>
      <c r="F168" s="2" t="s">
        <v>2</v>
      </c>
      <c r="G168">
        <v>0</v>
      </c>
      <c r="H168">
        <v>14.5</v>
      </c>
      <c r="I168" s="2" t="s">
        <v>0</v>
      </c>
      <c r="J168">
        <v>2</v>
      </c>
      <c r="K168" s="2" t="s">
        <v>1</v>
      </c>
      <c r="L168">
        <v>0</v>
      </c>
      <c r="M168">
        <v>14.5</v>
      </c>
      <c r="N168" s="2" t="s">
        <v>1282</v>
      </c>
      <c r="O168" t="str">
        <f>D168&amp;"-"&amp;E168&amp;"-"&amp;F168&amp;"-"&amp;G168&amp;"-"&amp;H168</f>
        <v>A-2-e-0-14.5</v>
      </c>
      <c r="P168" t="str">
        <f>I168&amp;"-"&amp;J168&amp;"-"&amp;K168&amp;"-"&amp;L168&amp;"-"&amp;M168</f>
        <v>X-2-f-0-14.5</v>
      </c>
      <c r="Q168">
        <f>A168+R168</f>
        <v>14475.103004999999</v>
      </c>
      <c r="R168">
        <f>_xlfn.IFNA(VLOOKUP(P168,PGOPHER!A$2:G$181,7,FALSE),_xlfn.IFNA(VLOOKUP(P168,en!A$2:I$768,7,FALSE),-10000))</f>
        <v>863.30300499999998</v>
      </c>
      <c r="S168">
        <f>IF(O168=O167,Q167+S167,Q168)</f>
        <v>43424.75604</v>
      </c>
      <c r="T168">
        <f>IF(O168=O167,T167+1,1)</f>
        <v>3</v>
      </c>
      <c r="U168">
        <f>IF(O168=O169,"",S168/T168)</f>
        <v>14474.918680000001</v>
      </c>
      <c r="V168" t="str">
        <f>IF(U168="","",IF(ABS(Q168-U168)&gt;V$1,"error",""))</f>
        <v/>
      </c>
    </row>
    <row r="169" spans="1:22" x14ac:dyDescent="0.55000000000000004">
      <c r="A169">
        <v>13715.35</v>
      </c>
      <c r="B169" s="1">
        <v>0.01</v>
      </c>
      <c r="C169" s="1">
        <v>0.01</v>
      </c>
      <c r="D169" s="2" t="s">
        <v>1121</v>
      </c>
      <c r="E169">
        <v>2</v>
      </c>
      <c r="F169" s="2" t="s">
        <v>1</v>
      </c>
      <c r="G169">
        <v>0</v>
      </c>
      <c r="H169">
        <v>14.5</v>
      </c>
      <c r="I169" s="2" t="s">
        <v>0</v>
      </c>
      <c r="J169">
        <v>2</v>
      </c>
      <c r="K169" s="2" t="s">
        <v>1</v>
      </c>
      <c r="L169">
        <v>0</v>
      </c>
      <c r="M169">
        <v>13.5</v>
      </c>
      <c r="N169" s="2" t="s">
        <v>1284</v>
      </c>
      <c r="O169" t="str">
        <f>D169&amp;"-"&amp;E169&amp;"-"&amp;F169&amp;"-"&amp;G169&amp;"-"&amp;H169</f>
        <v>A-2-f-0-14.5</v>
      </c>
      <c r="P169" t="str">
        <f>I169&amp;"-"&amp;J169&amp;"-"&amp;K169&amp;"-"&amp;L169&amp;"-"&amp;M169</f>
        <v>X-2-f-0-13.5</v>
      </c>
      <c r="Q169">
        <f>A169+R169</f>
        <v>14471.517869000001</v>
      </c>
      <c r="R169">
        <f>_xlfn.IFNA(VLOOKUP(P169,PGOPHER!A$2:G$181,7,FALSE),_xlfn.IFNA(VLOOKUP(P169,en!A$2:I$768,7,FALSE),-10000))</f>
        <v>756.167869</v>
      </c>
      <c r="S169">
        <f>IF(O169=O168,Q168+S168,Q169)</f>
        <v>14471.517869000001</v>
      </c>
      <c r="T169">
        <f>IF(O169=O168,T168+1,1)</f>
        <v>1</v>
      </c>
      <c r="U169" t="str">
        <f>IF(O169=O170,"",S169/T169)</f>
        <v/>
      </c>
      <c r="V169" t="str">
        <f>IF(U169="","",IF(ABS(Q169-U169)&gt;V$1,"error",""))</f>
        <v/>
      </c>
    </row>
    <row r="170" spans="1:22" x14ac:dyDescent="0.55000000000000004">
      <c r="A170">
        <v>13713.62</v>
      </c>
      <c r="B170" s="1">
        <v>3.3869999999999997E-2</v>
      </c>
      <c r="C170" s="1">
        <v>3.3869999999999997E-2</v>
      </c>
      <c r="D170" s="2" t="s">
        <v>1121</v>
      </c>
      <c r="E170">
        <v>2</v>
      </c>
      <c r="F170" s="2" t="s">
        <v>1</v>
      </c>
      <c r="G170">
        <v>0</v>
      </c>
      <c r="H170">
        <v>14.5</v>
      </c>
      <c r="I170" s="2" t="s">
        <v>0</v>
      </c>
      <c r="J170">
        <v>1</v>
      </c>
      <c r="K170" s="2" t="s">
        <v>2</v>
      </c>
      <c r="L170">
        <v>0</v>
      </c>
      <c r="M170">
        <v>14.5</v>
      </c>
      <c r="N170" s="2" t="s">
        <v>1283</v>
      </c>
      <c r="O170" t="str">
        <f>D170&amp;"-"&amp;E170&amp;"-"&amp;F170&amp;"-"&amp;G170&amp;"-"&amp;H170</f>
        <v>A-2-f-0-14.5</v>
      </c>
      <c r="P170" t="str">
        <f>I170&amp;"-"&amp;J170&amp;"-"&amp;K170&amp;"-"&amp;L170&amp;"-"&amp;M170</f>
        <v>X-1-e-0-14.5</v>
      </c>
      <c r="Q170">
        <f>A170+R170</f>
        <v>14471.549206000002</v>
      </c>
      <c r="R170">
        <f>_xlfn.IFNA(VLOOKUP(P170,PGOPHER!A$2:G$181,7,FALSE),_xlfn.IFNA(VLOOKUP(P170,en!A$2:I$768,7,FALSE),-10000))</f>
        <v>757.92920600000002</v>
      </c>
      <c r="S170">
        <f>IF(O170=O169,Q169+S169,Q170)</f>
        <v>28943.035738000002</v>
      </c>
      <c r="T170">
        <f>IF(O170=O169,T169+1,1)</f>
        <v>2</v>
      </c>
      <c r="U170" t="str">
        <f>IF(O170=O171,"",S170/T170)</f>
        <v/>
      </c>
      <c r="V170" t="str">
        <f>IF(U170="","",IF(ABS(Q170-U170)&gt;V$1,"error",""))</f>
        <v/>
      </c>
    </row>
    <row r="171" spans="1:22" x14ac:dyDescent="0.55000000000000004">
      <c r="A171">
        <v>13494.18</v>
      </c>
      <c r="B171" s="1">
        <v>2.845E-2</v>
      </c>
      <c r="C171" s="1">
        <v>2.845E-2</v>
      </c>
      <c r="D171" s="2" t="s">
        <v>1121</v>
      </c>
      <c r="E171">
        <v>2</v>
      </c>
      <c r="F171" s="2" t="s">
        <v>1</v>
      </c>
      <c r="G171">
        <v>0</v>
      </c>
      <c r="H171">
        <v>14.5</v>
      </c>
      <c r="I171" s="2" t="s">
        <v>0</v>
      </c>
      <c r="J171">
        <v>2</v>
      </c>
      <c r="K171" s="2" t="s">
        <v>1</v>
      </c>
      <c r="L171">
        <v>0</v>
      </c>
      <c r="M171">
        <v>15.5</v>
      </c>
      <c r="N171" s="2" t="s">
        <v>1280</v>
      </c>
      <c r="O171" t="str">
        <f>D171&amp;"-"&amp;E171&amp;"-"&amp;F171&amp;"-"&amp;G171&amp;"-"&amp;H171</f>
        <v>A-2-f-0-14.5</v>
      </c>
      <c r="P171" t="str">
        <f>I171&amp;"-"&amp;J171&amp;"-"&amp;K171&amp;"-"&amp;L171&amp;"-"&amp;M171</f>
        <v>X-2-f-0-15.5</v>
      </c>
      <c r="Q171">
        <f>A171+R171</f>
        <v>14471.494107</v>
      </c>
      <c r="R171">
        <f>_xlfn.IFNA(VLOOKUP(P171,PGOPHER!A$2:G$181,7,FALSE),_xlfn.IFNA(VLOOKUP(P171,en!A$2:I$768,7,FALSE),-10000))</f>
        <v>977.31410700000004</v>
      </c>
      <c r="S171">
        <f>IF(O171=O170,Q170+S170,Q171)</f>
        <v>43414.584944000002</v>
      </c>
      <c r="T171">
        <f>IF(O171=O170,T170+1,1)</f>
        <v>3</v>
      </c>
      <c r="U171">
        <f>IF(O171=O172,"",S171/T171)</f>
        <v>14471.528314666668</v>
      </c>
      <c r="V171" t="str">
        <f>IF(U171="","",IF(ABS(Q171-U171)&gt;V$1,"error",""))</f>
        <v/>
      </c>
    </row>
    <row r="172" spans="1:22" x14ac:dyDescent="0.55000000000000004">
      <c r="A172">
        <v>13338.2</v>
      </c>
      <c r="B172" s="1">
        <v>0.01</v>
      </c>
      <c r="C172" s="1">
        <v>0.01</v>
      </c>
      <c r="D172" s="2" t="s">
        <v>1121</v>
      </c>
      <c r="E172">
        <v>1</v>
      </c>
      <c r="F172" s="2" t="s">
        <v>2</v>
      </c>
      <c r="G172">
        <v>0</v>
      </c>
      <c r="H172">
        <v>15.5</v>
      </c>
      <c r="I172" s="2" t="s">
        <v>0</v>
      </c>
      <c r="J172">
        <v>1</v>
      </c>
      <c r="K172" s="2" t="s">
        <v>2</v>
      </c>
      <c r="L172">
        <v>0</v>
      </c>
      <c r="M172">
        <v>16.5</v>
      </c>
      <c r="N172" s="2" t="s">
        <v>1299</v>
      </c>
      <c r="O172" t="str">
        <f>D172&amp;"-"&amp;E172&amp;"-"&amp;F172&amp;"-"&amp;G172&amp;"-"&amp;H172</f>
        <v>A-1-e-0-15.5</v>
      </c>
      <c r="P172" t="str">
        <f>I172&amp;"-"&amp;J172&amp;"-"&amp;K172&amp;"-"&amp;L172&amp;"-"&amp;M172</f>
        <v>X-1-e-0-16.5</v>
      </c>
      <c r="Q172">
        <f>A172+R172</f>
        <v>14317.507965000001</v>
      </c>
      <c r="R172">
        <f>_xlfn.IFNA(VLOOKUP(P172,PGOPHER!A$2:G$181,7,FALSE),_xlfn.IFNA(VLOOKUP(P172,en!A$2:I$768,7,FALSE),-10000))</f>
        <v>979.30796499999997</v>
      </c>
      <c r="S172">
        <f>IF(O172=O171,Q171+S171,Q172)</f>
        <v>14317.507965000001</v>
      </c>
      <c r="T172">
        <f>IF(O172=O171,T171+1,1)</f>
        <v>1</v>
      </c>
      <c r="U172" t="str">
        <f>IF(O172=O173,"",S172/T172)</f>
        <v/>
      </c>
      <c r="V172" t="str">
        <f>IF(U172="","",IF(ABS(Q172-U172)&gt;V$1,"error",""))</f>
        <v/>
      </c>
    </row>
    <row r="173" spans="1:22" x14ac:dyDescent="0.55000000000000004">
      <c r="A173">
        <v>13559.53</v>
      </c>
      <c r="B173" s="1">
        <v>5.321E-2</v>
      </c>
      <c r="C173" s="1">
        <v>5.321E-2</v>
      </c>
      <c r="D173" s="2" t="s">
        <v>1121</v>
      </c>
      <c r="E173">
        <v>1</v>
      </c>
      <c r="F173" s="2" t="s">
        <v>2</v>
      </c>
      <c r="G173">
        <v>0</v>
      </c>
      <c r="H173">
        <v>15.5</v>
      </c>
      <c r="I173" s="2" t="s">
        <v>0</v>
      </c>
      <c r="J173">
        <v>1</v>
      </c>
      <c r="K173" s="2" t="s">
        <v>2</v>
      </c>
      <c r="L173">
        <v>0</v>
      </c>
      <c r="M173">
        <v>14.5</v>
      </c>
      <c r="N173" s="2" t="s">
        <v>1303</v>
      </c>
      <c r="O173" t="str">
        <f>D173&amp;"-"&amp;E173&amp;"-"&amp;F173&amp;"-"&amp;G173&amp;"-"&amp;H173</f>
        <v>A-1-e-0-15.5</v>
      </c>
      <c r="P173" t="str">
        <f>I173&amp;"-"&amp;J173&amp;"-"&amp;K173&amp;"-"&amp;L173&amp;"-"&amp;M173</f>
        <v>X-1-e-0-14.5</v>
      </c>
      <c r="Q173">
        <f>A173+R173</f>
        <v>14317.459206000001</v>
      </c>
      <c r="R173">
        <f>_xlfn.IFNA(VLOOKUP(P173,PGOPHER!A$2:G$181,7,FALSE),_xlfn.IFNA(VLOOKUP(P173,en!A$2:I$768,7,FALSE),-10000))</f>
        <v>757.92920600000002</v>
      </c>
      <c r="S173">
        <f>IF(O173=O172,Q172+S172,Q173)</f>
        <v>28635.015930000001</v>
      </c>
      <c r="T173">
        <f>IF(O173=O172,T172+1,1)</f>
        <v>2</v>
      </c>
      <c r="U173" t="str">
        <f>IF(O173=O174,"",S173/T173)</f>
        <v/>
      </c>
      <c r="V173" t="str">
        <f>IF(U173="","",IF(ABS(Q173-U173)&gt;V$1,"error",""))</f>
        <v/>
      </c>
    </row>
    <row r="174" spans="1:22" x14ac:dyDescent="0.55000000000000004">
      <c r="A174">
        <v>13340.22</v>
      </c>
      <c r="B174" s="1">
        <v>3.8100000000000002E-2</v>
      </c>
      <c r="C174" s="1">
        <v>3.8100000000000002E-2</v>
      </c>
      <c r="D174" s="2" t="s">
        <v>1121</v>
      </c>
      <c r="E174">
        <v>1</v>
      </c>
      <c r="F174" s="2" t="s">
        <v>2</v>
      </c>
      <c r="G174">
        <v>0</v>
      </c>
      <c r="H174">
        <v>15.5</v>
      </c>
      <c r="I174" s="2" t="s">
        <v>0</v>
      </c>
      <c r="J174">
        <v>2</v>
      </c>
      <c r="K174" s="2" t="s">
        <v>1</v>
      </c>
      <c r="L174">
        <v>0</v>
      </c>
      <c r="M174">
        <v>15.5</v>
      </c>
      <c r="N174" s="2" t="s">
        <v>1300</v>
      </c>
      <c r="O174" t="str">
        <f>D174&amp;"-"&amp;E174&amp;"-"&amp;F174&amp;"-"&amp;G174&amp;"-"&amp;H174</f>
        <v>A-1-e-0-15.5</v>
      </c>
      <c r="P174" t="str">
        <f>I174&amp;"-"&amp;J174&amp;"-"&amp;K174&amp;"-"&amp;L174&amp;"-"&amp;M174</f>
        <v>X-2-f-0-15.5</v>
      </c>
      <c r="Q174">
        <f>A174+R174</f>
        <v>14317.534106999999</v>
      </c>
      <c r="R174">
        <f>_xlfn.IFNA(VLOOKUP(P174,PGOPHER!A$2:G$181,7,FALSE),_xlfn.IFNA(VLOOKUP(P174,en!A$2:I$768,7,FALSE),-10000))</f>
        <v>977.31410700000004</v>
      </c>
      <c r="S174">
        <f>IF(O174=O173,Q173+S173,Q174)</f>
        <v>42952.475136000001</v>
      </c>
      <c r="T174">
        <f>IF(O174=O173,T173+1,1)</f>
        <v>3</v>
      </c>
      <c r="U174">
        <f>IF(O174=O175,"",S174/T174)</f>
        <v>14317.491712000001</v>
      </c>
      <c r="V174" t="str">
        <f>IF(U174="","",IF(ABS(Q174-U174)&gt;V$1,"error",""))</f>
        <v/>
      </c>
    </row>
    <row r="175" spans="1:22" x14ac:dyDescent="0.55000000000000004">
      <c r="A175">
        <v>13398.58</v>
      </c>
      <c r="B175" s="1">
        <v>1.643E-2</v>
      </c>
      <c r="C175" s="1">
        <v>1.643E-2</v>
      </c>
      <c r="D175" s="2" t="s">
        <v>1121</v>
      </c>
      <c r="E175">
        <v>1</v>
      </c>
      <c r="F175" s="2" t="s">
        <v>1</v>
      </c>
      <c r="G175">
        <v>0</v>
      </c>
      <c r="H175">
        <v>15.5</v>
      </c>
      <c r="I175" s="2" t="s">
        <v>0</v>
      </c>
      <c r="J175">
        <v>2</v>
      </c>
      <c r="K175" s="2" t="s">
        <v>1</v>
      </c>
      <c r="L175">
        <v>0</v>
      </c>
      <c r="M175">
        <v>14.5</v>
      </c>
      <c r="N175" s="2" t="s">
        <v>1302</v>
      </c>
      <c r="O175" t="str">
        <f>D175&amp;"-"&amp;E175&amp;"-"&amp;F175&amp;"-"&amp;G175&amp;"-"&amp;H175</f>
        <v>A-1-f-0-15.5</v>
      </c>
      <c r="P175" t="str">
        <f>I175&amp;"-"&amp;J175&amp;"-"&amp;K175&amp;"-"&amp;L175&amp;"-"&amp;M175</f>
        <v>X-2-f-0-14.5</v>
      </c>
      <c r="Q175">
        <f>A175+R175</f>
        <v>14261.883005</v>
      </c>
      <c r="R175">
        <f>_xlfn.IFNA(VLOOKUP(P175,PGOPHER!A$2:G$181,7,FALSE),_xlfn.IFNA(VLOOKUP(P175,en!A$2:I$768,7,FALSE),-10000))</f>
        <v>863.30300499999998</v>
      </c>
      <c r="S175">
        <f>IF(O175=O174,Q174+S174,Q175)</f>
        <v>14261.883005</v>
      </c>
      <c r="T175">
        <f>IF(O175=O174,T174+1,1)</f>
        <v>1</v>
      </c>
      <c r="U175" t="str">
        <f>IF(O175=O176,"",S175/T175)</f>
        <v/>
      </c>
      <c r="V175" t="str">
        <f>IF(U175="","",IF(ABS(Q175-U175)&gt;V$1,"error",""))</f>
        <v/>
      </c>
    </row>
    <row r="176" spans="1:22" x14ac:dyDescent="0.55000000000000004">
      <c r="A176">
        <v>13396.76</v>
      </c>
      <c r="B176" s="1">
        <v>7.4359999999999996E-2</v>
      </c>
      <c r="C176" s="1">
        <v>7.4359999999999996E-2</v>
      </c>
      <c r="D176" s="2" t="s">
        <v>1121</v>
      </c>
      <c r="E176">
        <v>1</v>
      </c>
      <c r="F176" s="2" t="s">
        <v>1</v>
      </c>
      <c r="G176">
        <v>0</v>
      </c>
      <c r="H176">
        <v>15.5</v>
      </c>
      <c r="I176" s="2" t="s">
        <v>0</v>
      </c>
      <c r="J176">
        <v>1</v>
      </c>
      <c r="K176" s="2" t="s">
        <v>2</v>
      </c>
      <c r="L176">
        <v>0</v>
      </c>
      <c r="M176">
        <v>15.5</v>
      </c>
      <c r="N176" s="2" t="s">
        <v>1301</v>
      </c>
      <c r="O176" t="str">
        <f>D176&amp;"-"&amp;E176&amp;"-"&amp;F176&amp;"-"&amp;G176&amp;"-"&amp;H176</f>
        <v>A-1-f-0-15.5</v>
      </c>
      <c r="P176" t="str">
        <f>I176&amp;"-"&amp;J176&amp;"-"&amp;K176&amp;"-"&amp;L176&amp;"-"&amp;M176</f>
        <v>X-1-e-0-15.5</v>
      </c>
      <c r="Q176">
        <f>A176+R176</f>
        <v>14261.937658999999</v>
      </c>
      <c r="R176">
        <f>_xlfn.IFNA(VLOOKUP(P176,PGOPHER!A$2:G$181,7,FALSE),_xlfn.IFNA(VLOOKUP(P176,en!A$2:I$768,7,FALSE),-10000))</f>
        <v>865.17765899999995</v>
      </c>
      <c r="S176">
        <f>IF(O176=O175,Q175+S175,Q176)</f>
        <v>28523.766009999999</v>
      </c>
      <c r="T176">
        <f>IF(O176=O175,T175+1,1)</f>
        <v>2</v>
      </c>
      <c r="U176" t="str">
        <f>IF(O176=O177,"",S176/T176)</f>
        <v/>
      </c>
      <c r="V176" t="str">
        <f>IF(U176="","",IF(ABS(Q176-U176)&gt;V$1,"error",""))</f>
        <v/>
      </c>
    </row>
    <row r="177" spans="1:22" x14ac:dyDescent="0.55000000000000004">
      <c r="A177">
        <v>13163.62</v>
      </c>
      <c r="B177" s="1">
        <v>0.1072</v>
      </c>
      <c r="C177" s="1">
        <v>0.1072</v>
      </c>
      <c r="D177" s="2" t="s">
        <v>1121</v>
      </c>
      <c r="E177">
        <v>1</v>
      </c>
      <c r="F177" s="2" t="s">
        <v>1</v>
      </c>
      <c r="G177">
        <v>0</v>
      </c>
      <c r="H177">
        <v>15.5</v>
      </c>
      <c r="I177" s="2" t="s">
        <v>0</v>
      </c>
      <c r="J177">
        <v>2</v>
      </c>
      <c r="K177" s="2" t="s">
        <v>1</v>
      </c>
      <c r="L177">
        <v>0</v>
      </c>
      <c r="M177">
        <v>16.5</v>
      </c>
      <c r="N177" s="2" t="s">
        <v>1298</v>
      </c>
      <c r="O177" t="str">
        <f>D177&amp;"-"&amp;E177&amp;"-"&amp;F177&amp;"-"&amp;G177&amp;"-"&amp;H177</f>
        <v>A-1-f-0-15.5</v>
      </c>
      <c r="P177" t="str">
        <f>I177&amp;"-"&amp;J177&amp;"-"&amp;K177&amp;"-"&amp;L177&amp;"-"&amp;M177</f>
        <v>X-2-f-0-16.5</v>
      </c>
      <c r="Q177">
        <f>A177+R177</f>
        <v>14261.784983000001</v>
      </c>
      <c r="R177">
        <f>_xlfn.IFNA(VLOOKUP(P177,PGOPHER!A$2:G$181,7,FALSE),_xlfn.IFNA(VLOOKUP(P177,en!A$2:I$768,7,FALSE),-10000))</f>
        <v>1098.1649829999999</v>
      </c>
      <c r="S177">
        <f>IF(O177=O176,Q176+S176,Q177)</f>
        <v>42785.703668999995</v>
      </c>
      <c r="T177">
        <f>IF(O177=O176,T176+1,1)</f>
        <v>3</v>
      </c>
      <c r="U177">
        <f>IF(O177=O178,"",S177/T177)</f>
        <v>14261.901222999999</v>
      </c>
      <c r="V177" t="str">
        <f>IF(U177="","",IF(ABS(Q177-U177)&gt;V$1,"error",""))</f>
        <v/>
      </c>
    </row>
    <row r="178" spans="1:22" x14ac:dyDescent="0.55000000000000004">
      <c r="A178">
        <v>13608.75</v>
      </c>
      <c r="B178" s="1">
        <v>0.18740000000000001</v>
      </c>
      <c r="C178" s="1">
        <v>0.18740000000000001</v>
      </c>
      <c r="D178" s="2" t="s">
        <v>1121</v>
      </c>
      <c r="E178">
        <v>2</v>
      </c>
      <c r="F178" s="2" t="s">
        <v>2</v>
      </c>
      <c r="G178">
        <v>0</v>
      </c>
      <c r="H178">
        <v>15.5</v>
      </c>
      <c r="I178" s="2" t="s">
        <v>0</v>
      </c>
      <c r="J178">
        <v>1</v>
      </c>
      <c r="K178" s="2" t="s">
        <v>2</v>
      </c>
      <c r="L178">
        <v>0</v>
      </c>
      <c r="M178">
        <v>16.5</v>
      </c>
      <c r="N178" s="2" t="s">
        <v>1293</v>
      </c>
      <c r="O178" t="str">
        <f>D178&amp;"-"&amp;E178&amp;"-"&amp;F178&amp;"-"&amp;G178&amp;"-"&amp;H178</f>
        <v>A-2-e-0-15.5</v>
      </c>
      <c r="P178" t="str">
        <f>I178&amp;"-"&amp;J178&amp;"-"&amp;K178&amp;"-"&amp;L178&amp;"-"&amp;M178</f>
        <v>X-1-e-0-16.5</v>
      </c>
      <c r="Q178">
        <f>A178+R178</f>
        <v>14588.057965</v>
      </c>
      <c r="R178">
        <f>_xlfn.IFNA(VLOOKUP(P178,PGOPHER!A$2:G$181,7,FALSE),_xlfn.IFNA(VLOOKUP(P178,en!A$2:I$768,7,FALSE),-10000))</f>
        <v>979.30796499999997</v>
      </c>
      <c r="S178">
        <f>IF(O178=O177,Q177+S177,Q178)</f>
        <v>14588.057965</v>
      </c>
      <c r="T178">
        <f>IF(O178=O177,T177+1,1)</f>
        <v>1</v>
      </c>
      <c r="U178" t="str">
        <f>IF(O178=O179,"",S178/T178)</f>
        <v/>
      </c>
      <c r="V178" t="str">
        <f>IF(U178="","",IF(ABS(Q178-U178)&gt;V$1,"error",""))</f>
        <v/>
      </c>
    </row>
    <row r="179" spans="1:22" x14ac:dyDescent="0.55000000000000004">
      <c r="A179">
        <v>13829.95</v>
      </c>
      <c r="B179" s="1">
        <v>0.01</v>
      </c>
      <c r="C179" s="1">
        <v>0.01</v>
      </c>
      <c r="D179" s="2" t="s">
        <v>1121</v>
      </c>
      <c r="E179">
        <v>2</v>
      </c>
      <c r="F179" s="2" t="s">
        <v>2</v>
      </c>
      <c r="G179">
        <v>0</v>
      </c>
      <c r="H179">
        <v>15.5</v>
      </c>
      <c r="I179" s="2" t="s">
        <v>0</v>
      </c>
      <c r="J179">
        <v>1</v>
      </c>
      <c r="K179" s="2" t="s">
        <v>2</v>
      </c>
      <c r="L179">
        <v>0</v>
      </c>
      <c r="M179">
        <v>14.5</v>
      </c>
      <c r="N179" s="2" t="s">
        <v>1297</v>
      </c>
      <c r="O179" t="str">
        <f>D179&amp;"-"&amp;E179&amp;"-"&amp;F179&amp;"-"&amp;G179&amp;"-"&amp;H179</f>
        <v>A-2-e-0-15.5</v>
      </c>
      <c r="P179" t="str">
        <f>I179&amp;"-"&amp;J179&amp;"-"&amp;K179&amp;"-"&amp;L179&amp;"-"&amp;M179</f>
        <v>X-1-e-0-14.5</v>
      </c>
      <c r="Q179">
        <f>A179+R179</f>
        <v>14587.879206000001</v>
      </c>
      <c r="R179">
        <f>_xlfn.IFNA(VLOOKUP(P179,PGOPHER!A$2:G$181,7,FALSE),_xlfn.IFNA(VLOOKUP(P179,en!A$2:I$768,7,FALSE),-10000))</f>
        <v>757.92920600000002</v>
      </c>
      <c r="S179">
        <f>IF(O179=O178,Q178+S178,Q179)</f>
        <v>29176.11593</v>
      </c>
      <c r="T179">
        <f>IF(O179=O178,T178+1,1)</f>
        <v>2</v>
      </c>
      <c r="U179" t="str">
        <f>IF(O179=O180,"",S179/T179)</f>
        <v/>
      </c>
      <c r="V179" t="str">
        <f>IF(U179="","",IF(ABS(Q179-U179)&gt;V$1,"error",""))</f>
        <v/>
      </c>
    </row>
    <row r="180" spans="1:22" x14ac:dyDescent="0.55000000000000004">
      <c r="A180">
        <v>13610.58</v>
      </c>
      <c r="B180" s="1">
        <v>0.01</v>
      </c>
      <c r="C180" s="1">
        <v>0.01</v>
      </c>
      <c r="D180" s="2" t="s">
        <v>1121</v>
      </c>
      <c r="E180">
        <v>2</v>
      </c>
      <c r="F180" s="2" t="s">
        <v>2</v>
      </c>
      <c r="G180">
        <v>0</v>
      </c>
      <c r="H180">
        <v>15.5</v>
      </c>
      <c r="I180" s="2" t="s">
        <v>0</v>
      </c>
      <c r="J180">
        <v>2</v>
      </c>
      <c r="K180" s="2" t="s">
        <v>1</v>
      </c>
      <c r="L180">
        <v>0</v>
      </c>
      <c r="M180">
        <v>15.5</v>
      </c>
      <c r="N180" s="2" t="s">
        <v>1294</v>
      </c>
      <c r="O180" t="str">
        <f>D180&amp;"-"&amp;E180&amp;"-"&amp;F180&amp;"-"&amp;G180&amp;"-"&amp;H180</f>
        <v>A-2-e-0-15.5</v>
      </c>
      <c r="P180" t="str">
        <f>I180&amp;"-"&amp;J180&amp;"-"&amp;K180&amp;"-"&amp;L180&amp;"-"&amp;M180</f>
        <v>X-2-f-0-15.5</v>
      </c>
      <c r="Q180">
        <f>A180+R180</f>
        <v>14587.894107</v>
      </c>
      <c r="R180">
        <f>_xlfn.IFNA(VLOOKUP(P180,PGOPHER!A$2:G$181,7,FALSE),_xlfn.IFNA(VLOOKUP(P180,en!A$2:I$768,7,FALSE),-10000))</f>
        <v>977.31410700000004</v>
      </c>
      <c r="S180">
        <f>IF(O180=O179,Q179+S179,Q180)</f>
        <v>43763.995135999998</v>
      </c>
      <c r="T180">
        <f>IF(O180=O179,T179+1,1)</f>
        <v>3</v>
      </c>
      <c r="U180">
        <f>IF(O180=O181,"",S180/T180)</f>
        <v>14587.998378666665</v>
      </c>
      <c r="V180" t="str">
        <f>IF(U180="","",IF(ABS(Q180-U180)&gt;V$1,"error",""))</f>
        <v/>
      </c>
    </row>
    <row r="181" spans="1:22" x14ac:dyDescent="0.55000000000000004">
      <c r="A181">
        <v>13720.19</v>
      </c>
      <c r="B181" s="1">
        <v>4.5760000000000002E-2</v>
      </c>
      <c r="C181" s="1">
        <v>4.5760000000000002E-2</v>
      </c>
      <c r="D181" s="2" t="s">
        <v>1121</v>
      </c>
      <c r="E181">
        <v>2</v>
      </c>
      <c r="F181" s="2" t="s">
        <v>1</v>
      </c>
      <c r="G181">
        <v>0</v>
      </c>
      <c r="H181">
        <v>15.5</v>
      </c>
      <c r="I181" s="2" t="s">
        <v>0</v>
      </c>
      <c r="J181">
        <v>2</v>
      </c>
      <c r="K181" s="2" t="s">
        <v>1</v>
      </c>
      <c r="L181">
        <v>0</v>
      </c>
      <c r="M181">
        <v>14.5</v>
      </c>
      <c r="N181" s="2" t="s">
        <v>1296</v>
      </c>
      <c r="O181" t="str">
        <f>D181&amp;"-"&amp;E181&amp;"-"&amp;F181&amp;"-"&amp;G181&amp;"-"&amp;H181</f>
        <v>A-2-f-0-15.5</v>
      </c>
      <c r="P181" t="str">
        <f>I181&amp;"-"&amp;J181&amp;"-"&amp;K181&amp;"-"&amp;L181&amp;"-"&amp;M181</f>
        <v>X-2-f-0-14.5</v>
      </c>
      <c r="Q181">
        <f>A181+R181</f>
        <v>14583.493005</v>
      </c>
      <c r="R181">
        <f>_xlfn.IFNA(VLOOKUP(P181,PGOPHER!A$2:G$181,7,FALSE),_xlfn.IFNA(VLOOKUP(P181,en!A$2:I$768,7,FALSE),-10000))</f>
        <v>863.30300499999998</v>
      </c>
      <c r="S181">
        <f>IF(O181=O180,Q180+S180,Q181)</f>
        <v>14583.493005</v>
      </c>
      <c r="T181">
        <f>IF(O181=O180,T180+1,1)</f>
        <v>1</v>
      </c>
      <c r="U181" t="str">
        <f>IF(O181=O182,"",S181/T181)</f>
        <v/>
      </c>
      <c r="V181" t="str">
        <f>IF(U181="","",IF(ABS(Q181-U181)&gt;V$1,"error",""))</f>
        <v/>
      </c>
    </row>
    <row r="182" spans="1:22" x14ac:dyDescent="0.55000000000000004">
      <c r="A182">
        <v>13718.31</v>
      </c>
      <c r="B182" s="1">
        <v>3.7690000000000001E-2</v>
      </c>
      <c r="C182" s="1">
        <v>3.7690000000000001E-2</v>
      </c>
      <c r="D182" s="2" t="s">
        <v>1121</v>
      </c>
      <c r="E182">
        <v>2</v>
      </c>
      <c r="F182" s="2" t="s">
        <v>1</v>
      </c>
      <c r="G182">
        <v>0</v>
      </c>
      <c r="H182">
        <v>15.5</v>
      </c>
      <c r="I182" s="2" t="s">
        <v>0</v>
      </c>
      <c r="J182">
        <v>1</v>
      </c>
      <c r="K182" s="2" t="s">
        <v>2</v>
      </c>
      <c r="L182">
        <v>0</v>
      </c>
      <c r="M182">
        <v>15.5</v>
      </c>
      <c r="N182" s="2" t="s">
        <v>1295</v>
      </c>
      <c r="O182" t="str">
        <f>D182&amp;"-"&amp;E182&amp;"-"&amp;F182&amp;"-"&amp;G182&amp;"-"&amp;H182</f>
        <v>A-2-f-0-15.5</v>
      </c>
      <c r="P182" t="str">
        <f>I182&amp;"-"&amp;J182&amp;"-"&amp;K182&amp;"-"&amp;L182&amp;"-"&amp;M182</f>
        <v>X-1-e-0-15.5</v>
      </c>
      <c r="Q182">
        <f>A182+R182</f>
        <v>14583.487658999999</v>
      </c>
      <c r="R182">
        <f>_xlfn.IFNA(VLOOKUP(P182,PGOPHER!A$2:G$181,7,FALSE),_xlfn.IFNA(VLOOKUP(P182,en!A$2:I$768,7,FALSE),-10000))</f>
        <v>865.17765899999995</v>
      </c>
      <c r="S182">
        <f>IF(O182=O181,Q181+S181,Q182)</f>
        <v>29166.986010000001</v>
      </c>
      <c r="T182">
        <f>IF(O182=O181,T181+1,1)</f>
        <v>2</v>
      </c>
      <c r="U182" t="str">
        <f>IF(O182=O183,"",S182/T182)</f>
        <v/>
      </c>
      <c r="V182" t="str">
        <f>IF(U182="","",IF(ABS(Q182-U182)&gt;V$1,"error",""))</f>
        <v/>
      </c>
    </row>
    <row r="183" spans="1:22" x14ac:dyDescent="0.55000000000000004">
      <c r="A183">
        <v>13485.21</v>
      </c>
      <c r="B183" s="1">
        <v>0.1125</v>
      </c>
      <c r="C183" s="1">
        <v>0.1125</v>
      </c>
      <c r="D183" s="2" t="s">
        <v>1121</v>
      </c>
      <c r="E183">
        <v>2</v>
      </c>
      <c r="F183" s="2" t="s">
        <v>1</v>
      </c>
      <c r="G183">
        <v>0</v>
      </c>
      <c r="H183">
        <v>15.5</v>
      </c>
      <c r="I183" s="2" t="s">
        <v>0</v>
      </c>
      <c r="J183">
        <v>2</v>
      </c>
      <c r="K183" s="2" t="s">
        <v>1</v>
      </c>
      <c r="L183">
        <v>0</v>
      </c>
      <c r="M183">
        <v>16.5</v>
      </c>
      <c r="N183" s="2" t="s">
        <v>1292</v>
      </c>
      <c r="O183" t="str">
        <f>D183&amp;"-"&amp;E183&amp;"-"&amp;F183&amp;"-"&amp;G183&amp;"-"&amp;H183</f>
        <v>A-2-f-0-15.5</v>
      </c>
      <c r="P183" t="str">
        <f>I183&amp;"-"&amp;J183&amp;"-"&amp;K183&amp;"-"&amp;L183&amp;"-"&amp;M183</f>
        <v>X-2-f-0-16.5</v>
      </c>
      <c r="Q183">
        <f>A183+R183</f>
        <v>14583.374983</v>
      </c>
      <c r="R183">
        <f>_xlfn.IFNA(VLOOKUP(P183,PGOPHER!A$2:G$181,7,FALSE),_xlfn.IFNA(VLOOKUP(P183,en!A$2:I$768,7,FALSE),-10000))</f>
        <v>1098.1649829999999</v>
      </c>
      <c r="S183">
        <f>IF(O183=O182,Q182+S182,Q183)</f>
        <v>43750.473668999999</v>
      </c>
      <c r="T183">
        <f>IF(O183=O182,T182+1,1)</f>
        <v>3</v>
      </c>
      <c r="U183">
        <f>IF(O183=O184,"",S183/T183)</f>
        <v>14583.491222999999</v>
      </c>
      <c r="V183" t="str">
        <f>IF(U183="","",IF(ABS(Q183-U183)&gt;V$1,"error",""))</f>
        <v/>
      </c>
    </row>
    <row r="184" spans="1:22" x14ac:dyDescent="0.55000000000000004">
      <c r="A184">
        <v>13336.94</v>
      </c>
      <c r="B184" s="1">
        <v>1.7989999999999999E-2</v>
      </c>
      <c r="C184" s="1">
        <v>1.7989999999999999E-2</v>
      </c>
      <c r="D184" s="2" t="s">
        <v>1121</v>
      </c>
      <c r="E184">
        <v>1</v>
      </c>
      <c r="F184" s="2" t="s">
        <v>2</v>
      </c>
      <c r="G184">
        <v>0</v>
      </c>
      <c r="H184">
        <v>16.5</v>
      </c>
      <c r="I184" s="2" t="s">
        <v>0</v>
      </c>
      <c r="J184">
        <v>1</v>
      </c>
      <c r="K184" s="2" t="s">
        <v>2</v>
      </c>
      <c r="L184">
        <v>0</v>
      </c>
      <c r="M184">
        <v>17.5</v>
      </c>
      <c r="N184" s="2" t="s">
        <v>1311</v>
      </c>
      <c r="O184" t="str">
        <f>D184&amp;"-"&amp;E184&amp;"-"&amp;F184&amp;"-"&amp;G184&amp;"-"&amp;H184</f>
        <v>A-1-e-0-16.5</v>
      </c>
      <c r="P184" t="str">
        <f>I184&amp;"-"&amp;J184&amp;"-"&amp;K184&amp;"-"&amp;L184&amp;"-"&amp;M184</f>
        <v>X-1-e-0-17.5</v>
      </c>
      <c r="Q184">
        <f>A184+R184</f>
        <v>14437.212044</v>
      </c>
      <c r="R184">
        <f>_xlfn.IFNA(VLOOKUP(P184,PGOPHER!A$2:G$181,7,FALSE),_xlfn.IFNA(VLOOKUP(P184,en!A$2:I$768,7,FALSE),-10000))</f>
        <v>1100.2720440000001</v>
      </c>
      <c r="S184">
        <f>IF(O184=O183,Q183+S183,Q184)</f>
        <v>14437.212044</v>
      </c>
      <c r="T184">
        <f>IF(O184=O183,T183+1,1)</f>
        <v>1</v>
      </c>
      <c r="U184" t="str">
        <f>IF(O184=O185,"",S184/T184)</f>
        <v/>
      </c>
      <c r="V184" t="str">
        <f>IF(U184="","",IF(ABS(Q184-U184)&gt;V$1,"error",""))</f>
        <v/>
      </c>
    </row>
    <row r="185" spans="1:22" x14ac:dyDescent="0.55000000000000004">
      <c r="A185">
        <v>13572</v>
      </c>
      <c r="B185" s="1">
        <v>5.6930000000000001E-2</v>
      </c>
      <c r="C185" s="1">
        <v>5.6930000000000001E-2</v>
      </c>
      <c r="D185" s="2" t="s">
        <v>1121</v>
      </c>
      <c r="E185">
        <v>1</v>
      </c>
      <c r="F185" s="2" t="s">
        <v>2</v>
      </c>
      <c r="G185">
        <v>0</v>
      </c>
      <c r="H185">
        <v>16.5</v>
      </c>
      <c r="I185" s="2" t="s">
        <v>0</v>
      </c>
      <c r="J185">
        <v>1</v>
      </c>
      <c r="K185" s="2" t="s">
        <v>2</v>
      </c>
      <c r="L185">
        <v>0</v>
      </c>
      <c r="M185">
        <v>15.5</v>
      </c>
      <c r="N185" s="2" t="s">
        <v>1315</v>
      </c>
      <c r="O185" t="str">
        <f>D185&amp;"-"&amp;E185&amp;"-"&amp;F185&amp;"-"&amp;G185&amp;"-"&amp;H185</f>
        <v>A-1-e-0-16.5</v>
      </c>
      <c r="P185" t="str">
        <f>I185&amp;"-"&amp;J185&amp;"-"&amp;K185&amp;"-"&amp;L185&amp;"-"&amp;M185</f>
        <v>X-1-e-0-15.5</v>
      </c>
      <c r="Q185">
        <f>A185+R185</f>
        <v>14437.177659000001</v>
      </c>
      <c r="R185">
        <f>_xlfn.IFNA(VLOOKUP(P185,PGOPHER!A$2:G$181,7,FALSE),_xlfn.IFNA(VLOOKUP(P185,en!A$2:I$768,7,FALSE),-10000))</f>
        <v>865.17765899999995</v>
      </c>
      <c r="S185">
        <f>IF(O185=O184,Q184+S184,Q185)</f>
        <v>28874.424088</v>
      </c>
      <c r="T185">
        <f>IF(O185=O184,T184+1,1)</f>
        <v>2</v>
      </c>
      <c r="U185" t="str">
        <f>IF(O185=O186,"",S185/T185)</f>
        <v/>
      </c>
      <c r="V185" t="str">
        <f>IF(U185="","",IF(ABS(Q185-U185)&gt;V$1,"error",""))</f>
        <v/>
      </c>
    </row>
    <row r="186" spans="1:22" x14ac:dyDescent="0.55000000000000004">
      <c r="A186">
        <v>13339.13</v>
      </c>
      <c r="B186" s="1">
        <v>9.0179999999999996E-2</v>
      </c>
      <c r="C186" s="1">
        <v>9.0179999999999996E-2</v>
      </c>
      <c r="D186" s="2" t="s">
        <v>1121</v>
      </c>
      <c r="E186">
        <v>1</v>
      </c>
      <c r="F186" s="2" t="s">
        <v>2</v>
      </c>
      <c r="G186">
        <v>0</v>
      </c>
      <c r="H186">
        <v>16.5</v>
      </c>
      <c r="I186" s="2" t="s">
        <v>0</v>
      </c>
      <c r="J186">
        <v>2</v>
      </c>
      <c r="K186" s="2" t="s">
        <v>1</v>
      </c>
      <c r="L186">
        <v>0</v>
      </c>
      <c r="M186">
        <v>16.5</v>
      </c>
      <c r="N186" s="2" t="s">
        <v>1312</v>
      </c>
      <c r="O186" t="str">
        <f>D186&amp;"-"&amp;E186&amp;"-"&amp;F186&amp;"-"&amp;G186&amp;"-"&amp;H186</f>
        <v>A-1-e-0-16.5</v>
      </c>
      <c r="P186" t="str">
        <f>I186&amp;"-"&amp;J186&amp;"-"&amp;K186&amp;"-"&amp;L186&amp;"-"&amp;M186</f>
        <v>X-2-f-0-16.5</v>
      </c>
      <c r="Q186">
        <f>A186+R186</f>
        <v>14437.294983</v>
      </c>
      <c r="R186">
        <f>_xlfn.IFNA(VLOOKUP(P186,PGOPHER!A$2:G$181,7,FALSE),_xlfn.IFNA(VLOOKUP(P186,en!A$2:I$768,7,FALSE),-10000))</f>
        <v>1098.1649829999999</v>
      </c>
      <c r="S186">
        <f>IF(O186=O185,Q185+S185,Q186)</f>
        <v>43311.601747000001</v>
      </c>
      <c r="T186">
        <f>IF(O186=O185,T185+1,1)</f>
        <v>3</v>
      </c>
      <c r="U186">
        <f>IF(O186=O187,"",S186/T186)</f>
        <v>14437.200582333333</v>
      </c>
      <c r="V186" t="str">
        <f>IF(U186="","",IF(ABS(Q186-U186)&gt;V$1,"error",""))</f>
        <v/>
      </c>
    </row>
    <row r="187" spans="1:22" x14ac:dyDescent="0.55000000000000004">
      <c r="A187">
        <v>13402.09</v>
      </c>
      <c r="B187" s="1">
        <v>5.151E-2</v>
      </c>
      <c r="C187" s="1">
        <v>5.151E-2</v>
      </c>
      <c r="D187" s="2" t="s">
        <v>1121</v>
      </c>
      <c r="E187">
        <v>1</v>
      </c>
      <c r="F187" s="2" t="s">
        <v>1</v>
      </c>
      <c r="G187">
        <v>0</v>
      </c>
      <c r="H187">
        <v>16.5</v>
      </c>
      <c r="I187" s="2" t="s">
        <v>0</v>
      </c>
      <c r="J187">
        <v>2</v>
      </c>
      <c r="K187" s="2" t="s">
        <v>1</v>
      </c>
      <c r="L187">
        <v>0</v>
      </c>
      <c r="M187">
        <v>15.5</v>
      </c>
      <c r="N187" s="2" t="s">
        <v>1314</v>
      </c>
      <c r="O187" t="str">
        <f>D187&amp;"-"&amp;E187&amp;"-"&amp;F187&amp;"-"&amp;G187&amp;"-"&amp;H187</f>
        <v>A-1-f-0-16.5</v>
      </c>
      <c r="P187" t="str">
        <f>I187&amp;"-"&amp;J187&amp;"-"&amp;K187&amp;"-"&amp;L187&amp;"-"&amp;M187</f>
        <v>X-2-f-0-15.5</v>
      </c>
      <c r="Q187">
        <f>A187+R187</f>
        <v>14379.404107</v>
      </c>
      <c r="R187">
        <f>_xlfn.IFNA(VLOOKUP(P187,PGOPHER!A$2:G$181,7,FALSE),_xlfn.IFNA(VLOOKUP(P187,en!A$2:I$768,7,FALSE),-10000))</f>
        <v>977.31410700000004</v>
      </c>
      <c r="S187">
        <f>IF(O187=O186,Q186+S186,Q187)</f>
        <v>14379.404107</v>
      </c>
      <c r="T187">
        <f>IF(O187=O186,T186+1,1)</f>
        <v>1</v>
      </c>
      <c r="U187" t="str">
        <f>IF(O187=O188,"",S187/T187)</f>
        <v/>
      </c>
      <c r="V187" t="str">
        <f>IF(U187="","",IF(ABS(Q187-U187)&gt;V$1,"error",""))</f>
        <v/>
      </c>
    </row>
    <row r="188" spans="1:22" x14ac:dyDescent="0.55000000000000004">
      <c r="A188">
        <v>13400.09</v>
      </c>
      <c r="B188" s="1">
        <v>4.3439999999999999E-2</v>
      </c>
      <c r="C188" s="1">
        <v>4.3439999999999999E-2</v>
      </c>
      <c r="D188" s="2" t="s">
        <v>1121</v>
      </c>
      <c r="E188">
        <v>1</v>
      </c>
      <c r="F188" s="2" t="s">
        <v>1</v>
      </c>
      <c r="G188">
        <v>0</v>
      </c>
      <c r="H188">
        <v>16.5</v>
      </c>
      <c r="I188" s="2" t="s">
        <v>0</v>
      </c>
      <c r="J188">
        <v>1</v>
      </c>
      <c r="K188" s="2" t="s">
        <v>2</v>
      </c>
      <c r="L188">
        <v>0</v>
      </c>
      <c r="M188">
        <v>16.5</v>
      </c>
      <c r="N188" s="2" t="s">
        <v>1313</v>
      </c>
      <c r="O188" t="str">
        <f>D188&amp;"-"&amp;E188&amp;"-"&amp;F188&amp;"-"&amp;G188&amp;"-"&amp;H188</f>
        <v>A-1-f-0-16.5</v>
      </c>
      <c r="P188" t="str">
        <f>I188&amp;"-"&amp;J188&amp;"-"&amp;K188&amp;"-"&amp;L188&amp;"-"&amp;M188</f>
        <v>X-1-e-0-16.5</v>
      </c>
      <c r="Q188">
        <f>A188+R188</f>
        <v>14379.397965</v>
      </c>
      <c r="R188">
        <f>_xlfn.IFNA(VLOOKUP(P188,PGOPHER!A$2:G$181,7,FALSE),_xlfn.IFNA(VLOOKUP(P188,en!A$2:I$768,7,FALSE),-10000))</f>
        <v>979.30796499999997</v>
      </c>
      <c r="S188">
        <f>IF(O188=O187,Q187+S187,Q188)</f>
        <v>28758.808214000001</v>
      </c>
      <c r="T188">
        <f>IF(O188=O187,T187+1,1)</f>
        <v>2</v>
      </c>
      <c r="U188" t="str">
        <f>IF(O188=O189,"",S188/T188)</f>
        <v/>
      </c>
      <c r="V188" t="str">
        <f>IF(U188="","",IF(ABS(Q188-U188)&gt;V$1,"error",""))</f>
        <v/>
      </c>
    </row>
    <row r="189" spans="1:22" x14ac:dyDescent="0.55000000000000004">
      <c r="A189">
        <v>13153.48</v>
      </c>
      <c r="B189" s="1">
        <v>0.12790000000000001</v>
      </c>
      <c r="C189" s="1">
        <v>0.12790000000000001</v>
      </c>
      <c r="D189" s="2" t="s">
        <v>1121</v>
      </c>
      <c r="E189">
        <v>1</v>
      </c>
      <c r="F189" s="2" t="s">
        <v>1</v>
      </c>
      <c r="G189">
        <v>0</v>
      </c>
      <c r="H189">
        <v>16.5</v>
      </c>
      <c r="I189" s="2" t="s">
        <v>0</v>
      </c>
      <c r="J189">
        <v>2</v>
      </c>
      <c r="K189" s="2" t="s">
        <v>1</v>
      </c>
      <c r="L189">
        <v>0</v>
      </c>
      <c r="M189">
        <v>17.5</v>
      </c>
      <c r="N189" s="2" t="s">
        <v>1310</v>
      </c>
      <c r="O189" t="str">
        <f>D189&amp;"-"&amp;E189&amp;"-"&amp;F189&amp;"-"&amp;G189&amp;"-"&amp;H189</f>
        <v>A-1-f-0-16.5</v>
      </c>
      <c r="P189" t="str">
        <f>I189&amp;"-"&amp;J189&amp;"-"&amp;K189&amp;"-"&amp;L189&amp;"-"&amp;M189</f>
        <v>X-2-f-0-17.5</v>
      </c>
      <c r="Q189">
        <f>A189+R189</f>
        <v>14379.269869</v>
      </c>
      <c r="R189">
        <f>_xlfn.IFNA(VLOOKUP(P189,PGOPHER!A$2:G$181,7,FALSE),_xlfn.IFNA(VLOOKUP(P189,en!A$2:I$768,7,FALSE),-10000))</f>
        <v>1225.789869</v>
      </c>
      <c r="S189">
        <f>IF(O189=O188,Q188+S188,Q189)</f>
        <v>43138.206179000001</v>
      </c>
      <c r="T189">
        <f>IF(O189=O188,T188+1,1)</f>
        <v>3</v>
      </c>
      <c r="U189">
        <f>IF(O189=O190,"",S189/T189)</f>
        <v>14379.402059666667</v>
      </c>
      <c r="V189" t="str">
        <f>IF(U189="","",IF(ABS(Q189-U189)&gt;V$1,"error",""))</f>
        <v/>
      </c>
    </row>
    <row r="190" spans="1:22" x14ac:dyDescent="0.55000000000000004">
      <c r="A190">
        <v>13607.39</v>
      </c>
      <c r="B190" s="1">
        <v>9.2310000000000003E-2</v>
      </c>
      <c r="C190" s="1">
        <v>9.2310000000000003E-2</v>
      </c>
      <c r="D190" s="2" t="s">
        <v>1121</v>
      </c>
      <c r="E190">
        <v>2</v>
      </c>
      <c r="F190" s="2" t="s">
        <v>2</v>
      </c>
      <c r="G190">
        <v>0</v>
      </c>
      <c r="H190">
        <v>16.5</v>
      </c>
      <c r="I190" s="2" t="s">
        <v>0</v>
      </c>
      <c r="J190">
        <v>1</v>
      </c>
      <c r="K190" s="2" t="s">
        <v>2</v>
      </c>
      <c r="L190">
        <v>0</v>
      </c>
      <c r="M190">
        <v>17.5</v>
      </c>
      <c r="N190" s="2" t="s">
        <v>1305</v>
      </c>
      <c r="O190" t="str">
        <f>D190&amp;"-"&amp;E190&amp;"-"&amp;F190&amp;"-"&amp;G190&amp;"-"&amp;H190</f>
        <v>A-2-e-0-16.5</v>
      </c>
      <c r="P190" t="str">
        <f>I190&amp;"-"&amp;J190&amp;"-"&amp;K190&amp;"-"&amp;L190&amp;"-"&amp;M190</f>
        <v>X-1-e-0-17.5</v>
      </c>
      <c r="Q190">
        <f>A190+R190</f>
        <v>14707.662043999999</v>
      </c>
      <c r="R190">
        <f>_xlfn.IFNA(VLOOKUP(P190,PGOPHER!A$2:G$181,7,FALSE),_xlfn.IFNA(VLOOKUP(P190,en!A$2:I$768,7,FALSE),-10000))</f>
        <v>1100.2720440000001</v>
      </c>
      <c r="S190">
        <f>IF(O190=O189,Q189+S189,Q190)</f>
        <v>14707.662043999999</v>
      </c>
      <c r="T190">
        <f>IF(O190=O189,T189+1,1)</f>
        <v>1</v>
      </c>
      <c r="U190" t="str">
        <f>IF(O190=O191,"",S190/T190)</f>
        <v/>
      </c>
      <c r="V190" t="str">
        <f>IF(U190="","",IF(ABS(Q190-U190)&gt;V$1,"error",""))</f>
        <v/>
      </c>
    </row>
    <row r="191" spans="1:22" x14ac:dyDescent="0.55000000000000004">
      <c r="A191">
        <v>13842.58</v>
      </c>
      <c r="B191" s="1">
        <v>3.4729999999999997E-2</v>
      </c>
      <c r="C191" s="1">
        <v>3.4729999999999997E-2</v>
      </c>
      <c r="D191" s="2" t="s">
        <v>1121</v>
      </c>
      <c r="E191">
        <v>2</v>
      </c>
      <c r="F191" s="2" t="s">
        <v>2</v>
      </c>
      <c r="G191">
        <v>0</v>
      </c>
      <c r="H191">
        <v>16.5</v>
      </c>
      <c r="I191" s="2" t="s">
        <v>0</v>
      </c>
      <c r="J191">
        <v>1</v>
      </c>
      <c r="K191" s="2" t="s">
        <v>2</v>
      </c>
      <c r="L191">
        <v>0</v>
      </c>
      <c r="M191">
        <v>15.5</v>
      </c>
      <c r="N191" s="2" t="s">
        <v>1309</v>
      </c>
      <c r="O191" t="str">
        <f>D191&amp;"-"&amp;E191&amp;"-"&amp;F191&amp;"-"&amp;G191&amp;"-"&amp;H191</f>
        <v>A-2-e-0-16.5</v>
      </c>
      <c r="P191" t="str">
        <f>I191&amp;"-"&amp;J191&amp;"-"&amp;K191&amp;"-"&amp;L191&amp;"-"&amp;M191</f>
        <v>X-1-e-0-15.5</v>
      </c>
      <c r="Q191">
        <f>A191+R191</f>
        <v>14707.757658999999</v>
      </c>
      <c r="R191">
        <f>_xlfn.IFNA(VLOOKUP(P191,PGOPHER!A$2:G$181,7,FALSE),_xlfn.IFNA(VLOOKUP(P191,en!A$2:I$768,7,FALSE),-10000))</f>
        <v>865.17765899999995</v>
      </c>
      <c r="S191">
        <f>IF(O191=O190,Q190+S190,Q191)</f>
        <v>29415.324087999998</v>
      </c>
      <c r="T191">
        <f>IF(O191=O190,T190+1,1)</f>
        <v>2</v>
      </c>
      <c r="U191" t="str">
        <f>IF(O191=O192,"",S191/T191)</f>
        <v/>
      </c>
      <c r="V191" t="str">
        <f>IF(U191="","",IF(ABS(Q191-U191)&gt;V$1,"error",""))</f>
        <v/>
      </c>
    </row>
    <row r="192" spans="1:22" x14ac:dyDescent="0.55000000000000004">
      <c r="A192">
        <v>13609.59</v>
      </c>
      <c r="B192" s="1">
        <v>3.4590000000000003E-2</v>
      </c>
      <c r="C192" s="1">
        <v>3.4590000000000003E-2</v>
      </c>
      <c r="D192" s="2" t="s">
        <v>1121</v>
      </c>
      <c r="E192">
        <v>2</v>
      </c>
      <c r="F192" s="2" t="s">
        <v>2</v>
      </c>
      <c r="G192">
        <v>0</v>
      </c>
      <c r="H192">
        <v>16.5</v>
      </c>
      <c r="I192" s="2" t="s">
        <v>0</v>
      </c>
      <c r="J192">
        <v>2</v>
      </c>
      <c r="K192" s="2" t="s">
        <v>1</v>
      </c>
      <c r="L192">
        <v>0</v>
      </c>
      <c r="M192">
        <v>16.5</v>
      </c>
      <c r="N192" s="2" t="s">
        <v>1306</v>
      </c>
      <c r="O192" t="str">
        <f>D192&amp;"-"&amp;E192&amp;"-"&amp;F192&amp;"-"&amp;G192&amp;"-"&amp;H192</f>
        <v>A-2-e-0-16.5</v>
      </c>
      <c r="P192" t="str">
        <f>I192&amp;"-"&amp;J192&amp;"-"&amp;K192&amp;"-"&amp;L192&amp;"-"&amp;M192</f>
        <v>X-2-f-0-16.5</v>
      </c>
      <c r="Q192">
        <f>A192+R192</f>
        <v>14707.754983000001</v>
      </c>
      <c r="R192">
        <f>_xlfn.IFNA(VLOOKUP(P192,PGOPHER!A$2:G$181,7,FALSE),_xlfn.IFNA(VLOOKUP(P192,en!A$2:I$768,7,FALSE),-10000))</f>
        <v>1098.1649829999999</v>
      </c>
      <c r="S192">
        <f>IF(O192=O191,Q191+S191,Q192)</f>
        <v>44123.081746999997</v>
      </c>
      <c r="T192">
        <f>IF(O192=O191,T191+1,1)</f>
        <v>3</v>
      </c>
      <c r="U192">
        <f>IF(O192=O193,"",S192/T192)</f>
        <v>14707.693915666665</v>
      </c>
      <c r="V192" t="str">
        <f>IF(U192="","",IF(ABS(Q192-U192)&gt;V$1,"error",""))</f>
        <v/>
      </c>
    </row>
    <row r="193" spans="1:22" x14ac:dyDescent="0.55000000000000004">
      <c r="A193">
        <v>13725.11</v>
      </c>
      <c r="B193" s="1">
        <v>7.9350000000000004E-2</v>
      </c>
      <c r="C193" s="1">
        <v>7.9350000000000004E-2</v>
      </c>
      <c r="D193" s="2" t="s">
        <v>1121</v>
      </c>
      <c r="E193">
        <v>2</v>
      </c>
      <c r="F193" s="2" t="s">
        <v>1</v>
      </c>
      <c r="G193">
        <v>0</v>
      </c>
      <c r="H193">
        <v>16.5</v>
      </c>
      <c r="I193" s="2" t="s">
        <v>0</v>
      </c>
      <c r="J193">
        <v>2</v>
      </c>
      <c r="K193" s="2" t="s">
        <v>1</v>
      </c>
      <c r="L193">
        <v>0</v>
      </c>
      <c r="M193">
        <v>15.5</v>
      </c>
      <c r="N193" s="2" t="s">
        <v>1308</v>
      </c>
      <c r="O193" t="str">
        <f>D193&amp;"-"&amp;E193&amp;"-"&amp;F193&amp;"-"&amp;G193&amp;"-"&amp;H193</f>
        <v>A-2-f-0-16.5</v>
      </c>
      <c r="P193" t="str">
        <f>I193&amp;"-"&amp;J193&amp;"-"&amp;K193&amp;"-"&amp;L193&amp;"-"&amp;M193</f>
        <v>X-2-f-0-15.5</v>
      </c>
      <c r="Q193">
        <f>A193+R193</f>
        <v>14702.424107000001</v>
      </c>
      <c r="R193">
        <f>_xlfn.IFNA(VLOOKUP(P193,PGOPHER!A$2:G$181,7,FALSE),_xlfn.IFNA(VLOOKUP(P193,en!A$2:I$768,7,FALSE),-10000))</f>
        <v>977.31410700000004</v>
      </c>
      <c r="S193">
        <f>IF(O193=O192,Q192+S192,Q193)</f>
        <v>14702.424107000001</v>
      </c>
      <c r="T193">
        <f>IF(O193=O192,T192+1,1)</f>
        <v>1</v>
      </c>
      <c r="U193" t="str">
        <f>IF(O193=O194,"",S193/T193)</f>
        <v/>
      </c>
      <c r="V193" t="str">
        <f>IF(U193="","",IF(ABS(Q193-U193)&gt;V$1,"error",""))</f>
        <v/>
      </c>
    </row>
    <row r="194" spans="1:22" x14ac:dyDescent="0.55000000000000004">
      <c r="A194">
        <v>13723.02</v>
      </c>
      <c r="B194" s="1">
        <v>4.4560000000000002E-2</v>
      </c>
      <c r="C194" s="1">
        <v>4.4560000000000002E-2</v>
      </c>
      <c r="D194" s="2" t="s">
        <v>1121</v>
      </c>
      <c r="E194">
        <v>2</v>
      </c>
      <c r="F194" s="2" t="s">
        <v>1</v>
      </c>
      <c r="G194">
        <v>0</v>
      </c>
      <c r="H194">
        <v>16.5</v>
      </c>
      <c r="I194" s="2" t="s">
        <v>0</v>
      </c>
      <c r="J194">
        <v>1</v>
      </c>
      <c r="K194" s="2" t="s">
        <v>2</v>
      </c>
      <c r="L194">
        <v>0</v>
      </c>
      <c r="M194">
        <v>16.5</v>
      </c>
      <c r="N194" s="2" t="s">
        <v>1307</v>
      </c>
      <c r="O194" t="str">
        <f>D194&amp;"-"&amp;E194&amp;"-"&amp;F194&amp;"-"&amp;G194&amp;"-"&amp;H194</f>
        <v>A-2-f-0-16.5</v>
      </c>
      <c r="P194" t="str">
        <f>I194&amp;"-"&amp;J194&amp;"-"&amp;K194&amp;"-"&amp;L194&amp;"-"&amp;M194</f>
        <v>X-1-e-0-16.5</v>
      </c>
      <c r="Q194">
        <f>A194+R194</f>
        <v>14702.327965</v>
      </c>
      <c r="R194">
        <f>_xlfn.IFNA(VLOOKUP(P194,PGOPHER!A$2:G$181,7,FALSE),_xlfn.IFNA(VLOOKUP(P194,en!A$2:I$768,7,FALSE),-10000))</f>
        <v>979.30796499999997</v>
      </c>
      <c r="S194">
        <f>IF(O194=O193,Q193+S193,Q194)</f>
        <v>29404.848214000001</v>
      </c>
      <c r="T194">
        <f>IF(O194=O193,T193+1,1)</f>
        <v>2</v>
      </c>
      <c r="U194" t="str">
        <f>IF(O194=O195,"",S194/T194)</f>
        <v/>
      </c>
      <c r="V194" t="str">
        <f>IF(U194="","",IF(ABS(Q194-U194)&gt;V$1,"error",""))</f>
        <v/>
      </c>
    </row>
    <row r="195" spans="1:22" x14ac:dyDescent="0.55000000000000004">
      <c r="A195">
        <v>13476.56</v>
      </c>
      <c r="B195" s="1">
        <v>1.7950000000000001E-2</v>
      </c>
      <c r="C195" s="1">
        <v>1.7950000000000001E-2</v>
      </c>
      <c r="D195" s="2" t="s">
        <v>1121</v>
      </c>
      <c r="E195">
        <v>2</v>
      </c>
      <c r="F195" s="2" t="s">
        <v>1</v>
      </c>
      <c r="G195">
        <v>0</v>
      </c>
      <c r="H195">
        <v>16.5</v>
      </c>
      <c r="I195" s="2" t="s">
        <v>0</v>
      </c>
      <c r="J195">
        <v>2</v>
      </c>
      <c r="K195" s="2" t="s">
        <v>1</v>
      </c>
      <c r="L195">
        <v>0</v>
      </c>
      <c r="M195">
        <v>17.5</v>
      </c>
      <c r="N195" s="2" t="s">
        <v>1304</v>
      </c>
      <c r="O195" t="str">
        <f>D195&amp;"-"&amp;E195&amp;"-"&amp;F195&amp;"-"&amp;G195&amp;"-"&amp;H195</f>
        <v>A-2-f-0-16.5</v>
      </c>
      <c r="P195" t="str">
        <f>I195&amp;"-"&amp;J195&amp;"-"&amp;K195&amp;"-"&amp;L195&amp;"-"&amp;M195</f>
        <v>X-2-f-0-17.5</v>
      </c>
      <c r="Q195">
        <f>A195+R195</f>
        <v>14702.349869</v>
      </c>
      <c r="R195">
        <f>_xlfn.IFNA(VLOOKUP(P195,PGOPHER!A$2:G$181,7,FALSE),_xlfn.IFNA(VLOOKUP(P195,en!A$2:I$768,7,FALSE),-10000))</f>
        <v>1225.789869</v>
      </c>
      <c r="S195">
        <f>IF(O195=O194,Q194+S194,Q195)</f>
        <v>44107.176179000002</v>
      </c>
      <c r="T195">
        <f>IF(O195=O194,T194+1,1)</f>
        <v>3</v>
      </c>
      <c r="U195">
        <f>IF(O195=O196,"",S195/T195)</f>
        <v>14702.392059666667</v>
      </c>
      <c r="V195" t="str">
        <f>IF(U195="","",IF(ABS(Q195-U195)&gt;V$1,"error",""))</f>
        <v/>
      </c>
    </row>
    <row r="196" spans="1:22" x14ac:dyDescent="0.55000000000000004">
      <c r="A196">
        <v>13335.73</v>
      </c>
      <c r="B196" s="1">
        <v>1.17E-2</v>
      </c>
      <c r="C196" s="1">
        <v>1.17E-2</v>
      </c>
      <c r="D196" s="2" t="s">
        <v>1121</v>
      </c>
      <c r="E196">
        <v>1</v>
      </c>
      <c r="F196" s="2" t="s">
        <v>2</v>
      </c>
      <c r="G196">
        <v>0</v>
      </c>
      <c r="H196">
        <v>17.5</v>
      </c>
      <c r="I196" s="2" t="s">
        <v>0</v>
      </c>
      <c r="J196">
        <v>1</v>
      </c>
      <c r="K196" s="2" t="s">
        <v>2</v>
      </c>
      <c r="L196">
        <v>0</v>
      </c>
      <c r="M196">
        <v>18.5</v>
      </c>
      <c r="N196" s="2" t="s">
        <v>1322</v>
      </c>
      <c r="O196" t="str">
        <f>D196&amp;"-"&amp;E196&amp;"-"&amp;F196&amp;"-"&amp;G196&amp;"-"&amp;H196</f>
        <v>A-1-e-0-17.5</v>
      </c>
      <c r="P196" t="str">
        <f>I196&amp;"-"&amp;J196&amp;"-"&amp;K196&amp;"-"&amp;L196&amp;"-"&amp;M196</f>
        <v>X-1-e-0-18.5</v>
      </c>
      <c r="Q196">
        <f>A196+R196</f>
        <v>14563.739301</v>
      </c>
      <c r="R196">
        <f>_xlfn.IFNA(VLOOKUP(P196,PGOPHER!A$2:G$181,7,FALSE),_xlfn.IFNA(VLOOKUP(P196,en!A$2:I$768,7,FALSE),-10000))</f>
        <v>1228.0093010000001</v>
      </c>
      <c r="S196">
        <f>IF(O196=O195,Q195+S195,Q196)</f>
        <v>14563.739301</v>
      </c>
      <c r="T196">
        <f>IF(O196=O195,T195+1,1)</f>
        <v>1</v>
      </c>
      <c r="U196" t="str">
        <f>IF(O196=O197,"",S196/T196)</f>
        <v/>
      </c>
      <c r="V196" t="str">
        <f>IF(U196="","",IF(ABS(Q196-U196)&gt;V$1,"error",""))</f>
        <v/>
      </c>
    </row>
    <row r="197" spans="1:22" x14ac:dyDescent="0.55000000000000004">
      <c r="A197">
        <v>13584.38</v>
      </c>
      <c r="B197" s="1">
        <v>6.7960000000000007E-2</v>
      </c>
      <c r="C197" s="1">
        <v>6.7960000000000007E-2</v>
      </c>
      <c r="D197" s="2" t="s">
        <v>1121</v>
      </c>
      <c r="E197">
        <v>1</v>
      </c>
      <c r="F197" s="2" t="s">
        <v>2</v>
      </c>
      <c r="G197">
        <v>0</v>
      </c>
      <c r="H197">
        <v>17.5</v>
      </c>
      <c r="I197" s="2" t="s">
        <v>0</v>
      </c>
      <c r="J197">
        <v>1</v>
      </c>
      <c r="K197" s="2" t="s">
        <v>2</v>
      </c>
      <c r="L197">
        <v>0</v>
      </c>
      <c r="M197">
        <v>16.5</v>
      </c>
      <c r="N197" s="2" t="s">
        <v>1326</v>
      </c>
      <c r="O197" t="str">
        <f>D197&amp;"-"&amp;E197&amp;"-"&amp;F197&amp;"-"&amp;G197&amp;"-"&amp;H197</f>
        <v>A-1-e-0-17.5</v>
      </c>
      <c r="P197" t="str">
        <f>I197&amp;"-"&amp;J197&amp;"-"&amp;K197&amp;"-"&amp;L197&amp;"-"&amp;M197</f>
        <v>X-1-e-0-16.5</v>
      </c>
      <c r="Q197">
        <f>A197+R197</f>
        <v>14563.687964999999</v>
      </c>
      <c r="R197">
        <f>_xlfn.IFNA(VLOOKUP(P197,PGOPHER!A$2:G$181,7,FALSE),_xlfn.IFNA(VLOOKUP(P197,en!A$2:I$768,7,FALSE),-10000))</f>
        <v>979.30796499999997</v>
      </c>
      <c r="S197">
        <f>IF(O197=O196,Q196+S196,Q197)</f>
        <v>29127.478601999999</v>
      </c>
      <c r="T197">
        <f>IF(O197=O196,T196+1,1)</f>
        <v>2</v>
      </c>
      <c r="U197" t="str">
        <f>IF(O197=O198,"",S197/T197)</f>
        <v/>
      </c>
      <c r="V197" t="str">
        <f>IF(U197="","",IF(ABS(Q197-U197)&gt;V$1,"error",""))</f>
        <v/>
      </c>
    </row>
    <row r="198" spans="1:22" x14ac:dyDescent="0.55000000000000004">
      <c r="A198">
        <v>13338.03</v>
      </c>
      <c r="B198" s="1">
        <v>8.8739999999999999E-2</v>
      </c>
      <c r="C198" s="1">
        <v>8.8739999999999999E-2</v>
      </c>
      <c r="D198" s="2" t="s">
        <v>1121</v>
      </c>
      <c r="E198">
        <v>1</v>
      </c>
      <c r="F198" s="2" t="s">
        <v>2</v>
      </c>
      <c r="G198">
        <v>0</v>
      </c>
      <c r="H198">
        <v>17.5</v>
      </c>
      <c r="I198" s="2" t="s">
        <v>0</v>
      </c>
      <c r="J198">
        <v>2</v>
      </c>
      <c r="K198" s="2" t="s">
        <v>1</v>
      </c>
      <c r="L198">
        <v>0</v>
      </c>
      <c r="M198">
        <v>17.5</v>
      </c>
      <c r="N198" s="2" t="s">
        <v>1323</v>
      </c>
      <c r="O198" t="str">
        <f>D198&amp;"-"&amp;E198&amp;"-"&amp;F198&amp;"-"&amp;G198&amp;"-"&amp;H198</f>
        <v>A-1-e-0-17.5</v>
      </c>
      <c r="P198" t="str">
        <f>I198&amp;"-"&amp;J198&amp;"-"&amp;K198&amp;"-"&amp;L198&amp;"-"&amp;M198</f>
        <v>X-2-f-0-17.5</v>
      </c>
      <c r="Q198">
        <f>A198+R198</f>
        <v>14563.819869000001</v>
      </c>
      <c r="R198">
        <f>_xlfn.IFNA(VLOOKUP(P198,PGOPHER!A$2:G$181,7,FALSE),_xlfn.IFNA(VLOOKUP(P198,en!A$2:I$768,7,FALSE),-10000))</f>
        <v>1225.789869</v>
      </c>
      <c r="S198">
        <f>IF(O198=O197,Q197+S197,Q198)</f>
        <v>43691.166567</v>
      </c>
      <c r="T198">
        <f>IF(O198=O197,T197+1,1)</f>
        <v>3</v>
      </c>
      <c r="U198">
        <f>IF(O198=O199,"",S198/T198)</f>
        <v>14563.722189</v>
      </c>
      <c r="V198" t="str">
        <f>IF(U198="","",IF(ABS(Q198-U198)&gt;V$1,"error",""))</f>
        <v/>
      </c>
    </row>
    <row r="199" spans="1:22" x14ac:dyDescent="0.55000000000000004">
      <c r="A199">
        <v>13405.71</v>
      </c>
      <c r="B199" s="1">
        <v>5.2819999999999999E-2</v>
      </c>
      <c r="C199" s="1">
        <v>5.2819999999999999E-2</v>
      </c>
      <c r="D199" s="2" t="s">
        <v>1121</v>
      </c>
      <c r="E199">
        <v>1</v>
      </c>
      <c r="F199" s="2" t="s">
        <v>1</v>
      </c>
      <c r="G199">
        <v>0</v>
      </c>
      <c r="H199">
        <v>17.5</v>
      </c>
      <c r="I199" s="2" t="s">
        <v>0</v>
      </c>
      <c r="J199">
        <v>2</v>
      </c>
      <c r="K199" s="2" t="s">
        <v>1</v>
      </c>
      <c r="L199">
        <v>0</v>
      </c>
      <c r="M199">
        <v>16.5</v>
      </c>
      <c r="N199" s="2" t="s">
        <v>1325</v>
      </c>
      <c r="O199" t="str">
        <f>D199&amp;"-"&amp;E199&amp;"-"&amp;F199&amp;"-"&amp;G199&amp;"-"&amp;H199</f>
        <v>A-1-f-0-17.5</v>
      </c>
      <c r="P199" t="str">
        <f>I199&amp;"-"&amp;J199&amp;"-"&amp;K199&amp;"-"&amp;L199&amp;"-"&amp;M199</f>
        <v>X-2-f-0-16.5</v>
      </c>
      <c r="Q199">
        <f>A199+R199</f>
        <v>14503.874983</v>
      </c>
      <c r="R199">
        <f>_xlfn.IFNA(VLOOKUP(P199,PGOPHER!A$2:G$181,7,FALSE),_xlfn.IFNA(VLOOKUP(P199,en!A$2:I$768,7,FALSE),-10000))</f>
        <v>1098.1649829999999</v>
      </c>
      <c r="S199">
        <f>IF(O199=O198,Q198+S198,Q199)</f>
        <v>14503.874983</v>
      </c>
      <c r="T199">
        <f>IF(O199=O198,T198+1,1)</f>
        <v>1</v>
      </c>
      <c r="U199" t="str">
        <f>IF(O199=O200,"",S199/T199)</f>
        <v/>
      </c>
      <c r="V199" t="str">
        <f>IF(U199="","",IF(ABS(Q199-U199)&gt;V$1,"error",""))</f>
        <v/>
      </c>
    </row>
    <row r="200" spans="1:22" x14ac:dyDescent="0.55000000000000004">
      <c r="A200">
        <v>13403.59</v>
      </c>
      <c r="B200" s="1">
        <v>3.6909999999999998E-2</v>
      </c>
      <c r="C200" s="1">
        <v>3.6909999999999998E-2</v>
      </c>
      <c r="D200" s="2" t="s">
        <v>1121</v>
      </c>
      <c r="E200">
        <v>1</v>
      </c>
      <c r="F200" s="2" t="s">
        <v>1</v>
      </c>
      <c r="G200">
        <v>0</v>
      </c>
      <c r="H200">
        <v>17.5</v>
      </c>
      <c r="I200" s="2" t="s">
        <v>0</v>
      </c>
      <c r="J200">
        <v>1</v>
      </c>
      <c r="K200" s="2" t="s">
        <v>2</v>
      </c>
      <c r="L200">
        <v>0</v>
      </c>
      <c r="M200">
        <v>17.5</v>
      </c>
      <c r="N200" s="2" t="s">
        <v>1324</v>
      </c>
      <c r="O200" t="str">
        <f>D200&amp;"-"&amp;E200&amp;"-"&amp;F200&amp;"-"&amp;G200&amp;"-"&amp;H200</f>
        <v>A-1-f-0-17.5</v>
      </c>
      <c r="P200" t="str">
        <f>I200&amp;"-"&amp;J200&amp;"-"&amp;K200&amp;"-"&amp;L200&amp;"-"&amp;M200</f>
        <v>X-1-e-0-17.5</v>
      </c>
      <c r="Q200">
        <f>A200+R200</f>
        <v>14503.862044</v>
      </c>
      <c r="R200">
        <f>_xlfn.IFNA(VLOOKUP(P200,PGOPHER!A$2:G$181,7,FALSE),_xlfn.IFNA(VLOOKUP(P200,en!A$2:I$768,7,FALSE),-10000))</f>
        <v>1100.2720440000001</v>
      </c>
      <c r="S200">
        <f>IF(O200=O199,Q199+S199,Q200)</f>
        <v>29007.749965999999</v>
      </c>
      <c r="T200">
        <f>IF(O200=O199,T199+1,1)</f>
        <v>2</v>
      </c>
      <c r="U200" t="str">
        <f>IF(O200=O201,"",S200/T200)</f>
        <v/>
      </c>
      <c r="V200" t="str">
        <f>IF(U200="","",IF(ABS(Q200-U200)&gt;V$1,"error",""))</f>
        <v/>
      </c>
    </row>
    <row r="201" spans="1:22" x14ac:dyDescent="0.55000000000000004">
      <c r="A201">
        <v>13143.6</v>
      </c>
      <c r="B201" s="1">
        <v>0.12</v>
      </c>
      <c r="C201" s="1">
        <v>0.12</v>
      </c>
      <c r="D201" s="2" t="s">
        <v>1121</v>
      </c>
      <c r="E201">
        <v>1</v>
      </c>
      <c r="F201" s="2" t="s">
        <v>1</v>
      </c>
      <c r="G201">
        <v>0</v>
      </c>
      <c r="H201">
        <v>17.5</v>
      </c>
      <c r="I201" s="2" t="s">
        <v>0</v>
      </c>
      <c r="J201">
        <v>2</v>
      </c>
      <c r="K201" s="2" t="s">
        <v>1</v>
      </c>
      <c r="L201">
        <v>0</v>
      </c>
      <c r="M201">
        <v>18.5</v>
      </c>
      <c r="N201" s="2" t="s">
        <v>1654</v>
      </c>
      <c r="O201" t="str">
        <f>D201&amp;"-"&amp;E201&amp;"-"&amp;F201&amp;"-"&amp;G201&amp;"-"&amp;H201</f>
        <v>A-1-f-0-17.5</v>
      </c>
      <c r="P201" t="str">
        <f>I201&amp;"-"&amp;J201&amp;"-"&amp;K201&amp;"-"&amp;L201&amp;"-"&amp;M201</f>
        <v>X-2-f-0-18.5</v>
      </c>
      <c r="Q201">
        <f>A201+R201</f>
        <v>14503.744546</v>
      </c>
      <c r="R201">
        <f>_xlfn.IFNA(VLOOKUP(P201,PGOPHER!A$2:G$181,7,FALSE),_xlfn.IFNA(VLOOKUP(P201,en!A$2:I$768,7,FALSE),-10000))</f>
        <v>1360.144546</v>
      </c>
      <c r="S201">
        <f>IF(O201=O200,Q200+S200,Q201)</f>
        <v>43511.612009999997</v>
      </c>
      <c r="T201">
        <f>IF(O201=O200,T200+1,1)</f>
        <v>3</v>
      </c>
      <c r="U201">
        <f>IF(O201=O202,"",S201/T201)</f>
        <v>14503.870669999998</v>
      </c>
      <c r="V201" t="str">
        <f>IF(U201="","",IF(ABS(Q201-U201)&gt;V$1,"error",""))</f>
        <v/>
      </c>
    </row>
    <row r="202" spans="1:22" x14ac:dyDescent="0.55000000000000004">
      <c r="A202">
        <v>13606.53</v>
      </c>
      <c r="B202" s="1">
        <v>0.01</v>
      </c>
      <c r="C202" s="1">
        <v>0.01</v>
      </c>
      <c r="D202" s="2" t="s">
        <v>1121</v>
      </c>
      <c r="E202">
        <v>2</v>
      </c>
      <c r="F202" s="2" t="s">
        <v>2</v>
      </c>
      <c r="G202">
        <v>0</v>
      </c>
      <c r="H202">
        <v>17.5</v>
      </c>
      <c r="I202" s="2" t="s">
        <v>0</v>
      </c>
      <c r="J202">
        <v>1</v>
      </c>
      <c r="K202" s="2" t="s">
        <v>2</v>
      </c>
      <c r="L202">
        <v>0</v>
      </c>
      <c r="M202">
        <v>18.5</v>
      </c>
      <c r="N202" s="2" t="s">
        <v>1317</v>
      </c>
      <c r="O202" t="str">
        <f>D202&amp;"-"&amp;E202&amp;"-"&amp;F202&amp;"-"&amp;G202&amp;"-"&amp;H202</f>
        <v>A-2-e-0-17.5</v>
      </c>
      <c r="P202" t="str">
        <f>I202&amp;"-"&amp;J202&amp;"-"&amp;K202&amp;"-"&amp;L202&amp;"-"&amp;M202</f>
        <v>X-1-e-0-18.5</v>
      </c>
      <c r="Q202">
        <f>A202+R202</f>
        <v>14834.539301000001</v>
      </c>
      <c r="R202">
        <f>_xlfn.IFNA(VLOOKUP(P202,PGOPHER!A$2:G$181,7,FALSE),_xlfn.IFNA(VLOOKUP(P202,en!A$2:I$768,7,FALSE),-10000))</f>
        <v>1228.0093010000001</v>
      </c>
      <c r="S202">
        <f>IF(O202=O201,Q201+S201,Q202)</f>
        <v>14834.539301000001</v>
      </c>
      <c r="T202">
        <f>IF(O202=O201,T201+1,1)</f>
        <v>1</v>
      </c>
      <c r="U202" t="str">
        <f>IF(O202=O203,"",S202/T202)</f>
        <v/>
      </c>
      <c r="V202" t="str">
        <f>IF(U202="","",IF(ABS(Q202-U202)&gt;V$1,"error",""))</f>
        <v/>
      </c>
    </row>
    <row r="203" spans="1:22" x14ac:dyDescent="0.55000000000000004">
      <c r="A203">
        <v>13855.25</v>
      </c>
      <c r="B203" s="1">
        <v>1.5339999999999999E-2</v>
      </c>
      <c r="C203" s="1">
        <v>1.5339999999999999E-2</v>
      </c>
      <c r="D203" s="2" t="s">
        <v>1121</v>
      </c>
      <c r="E203">
        <v>2</v>
      </c>
      <c r="F203" s="2" t="s">
        <v>2</v>
      </c>
      <c r="G203">
        <v>0</v>
      </c>
      <c r="H203">
        <v>17.5</v>
      </c>
      <c r="I203" s="2" t="s">
        <v>0</v>
      </c>
      <c r="J203">
        <v>1</v>
      </c>
      <c r="K203" s="2" t="s">
        <v>2</v>
      </c>
      <c r="L203">
        <v>0</v>
      </c>
      <c r="M203">
        <v>16.5</v>
      </c>
      <c r="N203" s="2" t="s">
        <v>1321</v>
      </c>
      <c r="O203" t="str">
        <f>D203&amp;"-"&amp;E203&amp;"-"&amp;F203&amp;"-"&amp;G203&amp;"-"&amp;H203</f>
        <v>A-2-e-0-17.5</v>
      </c>
      <c r="P203" t="str">
        <f>I203&amp;"-"&amp;J203&amp;"-"&amp;K203&amp;"-"&amp;L203&amp;"-"&amp;M203</f>
        <v>X-1-e-0-16.5</v>
      </c>
      <c r="Q203">
        <f>A203+R203</f>
        <v>14834.557965</v>
      </c>
      <c r="R203">
        <f>_xlfn.IFNA(VLOOKUP(P203,PGOPHER!A$2:G$181,7,FALSE),_xlfn.IFNA(VLOOKUP(P203,en!A$2:I$768,7,FALSE),-10000))</f>
        <v>979.30796499999997</v>
      </c>
      <c r="S203">
        <f>IF(O203=O202,Q202+S202,Q203)</f>
        <v>29669.078602000001</v>
      </c>
      <c r="T203">
        <f>IF(O203=O202,T202+1,1)</f>
        <v>2</v>
      </c>
      <c r="U203" t="str">
        <f>IF(O203=O204,"",S203/T203)</f>
        <v/>
      </c>
      <c r="V203" t="str">
        <f>IF(U203="","",IF(ABS(Q203-U203)&gt;V$1,"error",""))</f>
        <v/>
      </c>
    </row>
    <row r="204" spans="1:22" x14ac:dyDescent="0.55000000000000004">
      <c r="A204">
        <v>13608.75</v>
      </c>
      <c r="B204" s="1">
        <v>0.01</v>
      </c>
      <c r="C204" s="1">
        <v>0.01</v>
      </c>
      <c r="D204" s="2" t="s">
        <v>1121</v>
      </c>
      <c r="E204">
        <v>2</v>
      </c>
      <c r="F204" s="2" t="s">
        <v>2</v>
      </c>
      <c r="G204">
        <v>0</v>
      </c>
      <c r="H204">
        <v>17.5</v>
      </c>
      <c r="I204" s="2" t="s">
        <v>0</v>
      </c>
      <c r="J204">
        <v>2</v>
      </c>
      <c r="K204" s="2" t="s">
        <v>1</v>
      </c>
      <c r="L204">
        <v>0</v>
      </c>
      <c r="M204">
        <v>17.5</v>
      </c>
      <c r="N204" s="2" t="s">
        <v>1318</v>
      </c>
      <c r="O204" t="str">
        <f>D204&amp;"-"&amp;E204&amp;"-"&amp;F204&amp;"-"&amp;G204&amp;"-"&amp;H204</f>
        <v>A-2-e-0-17.5</v>
      </c>
      <c r="P204" t="str">
        <f>I204&amp;"-"&amp;J204&amp;"-"&amp;K204&amp;"-"&amp;L204&amp;"-"&amp;M204</f>
        <v>X-2-f-0-17.5</v>
      </c>
      <c r="Q204">
        <f>A204+R204</f>
        <v>14834.539869</v>
      </c>
      <c r="R204">
        <f>_xlfn.IFNA(VLOOKUP(P204,PGOPHER!A$2:G$181,7,FALSE),_xlfn.IFNA(VLOOKUP(P204,en!A$2:I$768,7,FALSE),-10000))</f>
        <v>1225.789869</v>
      </c>
      <c r="S204">
        <f>IF(O204=O203,Q203+S203,Q204)</f>
        <v>44503.636567000001</v>
      </c>
      <c r="T204">
        <f>IF(O204=O203,T203+1,1)</f>
        <v>3</v>
      </c>
      <c r="U204">
        <f>IF(O204=O205,"",S204/T204)</f>
        <v>14834.545522333334</v>
      </c>
      <c r="V204" t="str">
        <f>IF(U204="","",IF(ABS(Q204-U204)&gt;V$1,"error",""))</f>
        <v/>
      </c>
    </row>
    <row r="205" spans="1:22" x14ac:dyDescent="0.55000000000000004">
      <c r="A205">
        <v>13730.09</v>
      </c>
      <c r="B205" s="1">
        <v>4.7260000000000003E-2</v>
      </c>
      <c r="C205" s="1">
        <v>4.7260000000000003E-2</v>
      </c>
      <c r="D205" s="2" t="s">
        <v>1121</v>
      </c>
      <c r="E205">
        <v>2</v>
      </c>
      <c r="F205" s="2" t="s">
        <v>1</v>
      </c>
      <c r="G205">
        <v>0</v>
      </c>
      <c r="H205">
        <v>17.5</v>
      </c>
      <c r="I205" s="2" t="s">
        <v>0</v>
      </c>
      <c r="J205">
        <v>2</v>
      </c>
      <c r="K205" s="2" t="s">
        <v>1</v>
      </c>
      <c r="L205">
        <v>0</v>
      </c>
      <c r="M205">
        <v>16.5</v>
      </c>
      <c r="N205" s="2" t="s">
        <v>1320</v>
      </c>
      <c r="O205" t="str">
        <f>D205&amp;"-"&amp;E205&amp;"-"&amp;F205&amp;"-"&amp;G205&amp;"-"&amp;H205</f>
        <v>A-2-f-0-17.5</v>
      </c>
      <c r="P205" t="str">
        <f>I205&amp;"-"&amp;J205&amp;"-"&amp;K205&amp;"-"&amp;L205&amp;"-"&amp;M205</f>
        <v>X-2-f-0-16.5</v>
      </c>
      <c r="Q205">
        <f>A205+R205</f>
        <v>14828.254983000001</v>
      </c>
      <c r="R205">
        <f>_xlfn.IFNA(VLOOKUP(P205,PGOPHER!A$2:G$181,7,FALSE),_xlfn.IFNA(VLOOKUP(P205,en!A$2:I$768,7,FALSE),-10000))</f>
        <v>1098.1649829999999</v>
      </c>
      <c r="S205">
        <f>IF(O205=O204,Q204+S204,Q205)</f>
        <v>14828.254983000001</v>
      </c>
      <c r="T205">
        <f>IF(O205=O204,T204+1,1)</f>
        <v>1</v>
      </c>
      <c r="U205" t="str">
        <f>IF(O205=O206,"",S205/T205)</f>
        <v/>
      </c>
      <c r="V205" t="str">
        <f>IF(U205="","",IF(ABS(Q205-U205)&gt;V$1,"error",""))</f>
        <v/>
      </c>
    </row>
    <row r="206" spans="1:22" x14ac:dyDescent="0.55000000000000004">
      <c r="A206">
        <v>13727.94</v>
      </c>
      <c r="B206" s="1">
        <v>0.01</v>
      </c>
      <c r="C206" s="1">
        <v>0.01</v>
      </c>
      <c r="D206" s="2" t="s">
        <v>1121</v>
      </c>
      <c r="E206">
        <v>2</v>
      </c>
      <c r="F206" s="2" t="s">
        <v>1</v>
      </c>
      <c r="G206">
        <v>0</v>
      </c>
      <c r="H206">
        <v>17.5</v>
      </c>
      <c r="I206" s="2" t="s">
        <v>0</v>
      </c>
      <c r="J206">
        <v>1</v>
      </c>
      <c r="K206" s="2" t="s">
        <v>2</v>
      </c>
      <c r="L206">
        <v>0</v>
      </c>
      <c r="M206">
        <v>17.5</v>
      </c>
      <c r="N206" s="2" t="s">
        <v>1319</v>
      </c>
      <c r="O206" t="str">
        <f>D206&amp;"-"&amp;E206&amp;"-"&amp;F206&amp;"-"&amp;G206&amp;"-"&amp;H206</f>
        <v>A-2-f-0-17.5</v>
      </c>
      <c r="P206" t="str">
        <f>I206&amp;"-"&amp;J206&amp;"-"&amp;K206&amp;"-"&amp;L206&amp;"-"&amp;M206</f>
        <v>X-1-e-0-17.5</v>
      </c>
      <c r="Q206">
        <f>A206+R206</f>
        <v>14828.212044</v>
      </c>
      <c r="R206">
        <f>_xlfn.IFNA(VLOOKUP(P206,PGOPHER!A$2:G$181,7,FALSE),_xlfn.IFNA(VLOOKUP(P206,en!A$2:I$768,7,FALSE),-10000))</f>
        <v>1100.2720440000001</v>
      </c>
      <c r="S206">
        <f>IF(O206=O205,Q205+S205,Q206)</f>
        <v>29656.509966000001</v>
      </c>
      <c r="T206">
        <f>IF(O206=O205,T205+1,1)</f>
        <v>2</v>
      </c>
      <c r="U206" t="str">
        <f>IF(O206=O207,"",S206/T206)</f>
        <v/>
      </c>
      <c r="V206" t="str">
        <f>IF(U206="","",IF(ABS(Q206-U206)&gt;V$1,"error",""))</f>
        <v/>
      </c>
    </row>
    <row r="207" spans="1:22" x14ac:dyDescent="0.55000000000000004">
      <c r="A207">
        <v>13468.04</v>
      </c>
      <c r="B207" s="1">
        <v>3.4729999999999997E-2</v>
      </c>
      <c r="C207" s="1">
        <v>3.4729999999999997E-2</v>
      </c>
      <c r="D207" s="2" t="s">
        <v>1121</v>
      </c>
      <c r="E207">
        <v>2</v>
      </c>
      <c r="F207" s="2" t="s">
        <v>1</v>
      </c>
      <c r="G207">
        <v>0</v>
      </c>
      <c r="H207">
        <v>17.5</v>
      </c>
      <c r="I207" s="2" t="s">
        <v>0</v>
      </c>
      <c r="J207">
        <v>2</v>
      </c>
      <c r="K207" s="2" t="s">
        <v>1</v>
      </c>
      <c r="L207">
        <v>0</v>
      </c>
      <c r="M207">
        <v>18.5</v>
      </c>
      <c r="N207" s="2" t="s">
        <v>1316</v>
      </c>
      <c r="O207" t="str">
        <f>D207&amp;"-"&amp;E207&amp;"-"&amp;F207&amp;"-"&amp;G207&amp;"-"&amp;H207</f>
        <v>A-2-f-0-17.5</v>
      </c>
      <c r="P207" t="str">
        <f>I207&amp;"-"&amp;J207&amp;"-"&amp;K207&amp;"-"&amp;L207&amp;"-"&amp;M207</f>
        <v>X-2-f-0-18.5</v>
      </c>
      <c r="Q207">
        <f>A207+R207</f>
        <v>14828.184546</v>
      </c>
      <c r="R207">
        <f>_xlfn.IFNA(VLOOKUP(P207,PGOPHER!A$2:G$181,7,FALSE),_xlfn.IFNA(VLOOKUP(P207,en!A$2:I$768,7,FALSE),-10000))</f>
        <v>1360.144546</v>
      </c>
      <c r="S207">
        <f>IF(O207=O206,Q206+S206,Q207)</f>
        <v>44484.722009999998</v>
      </c>
      <c r="T207">
        <f>IF(O207=O206,T206+1,1)</f>
        <v>3</v>
      </c>
      <c r="U207">
        <f>IF(O207=O208,"",S207/T207)</f>
        <v>14828.240669999999</v>
      </c>
      <c r="V207" t="str">
        <f>IF(U207="","",IF(ABS(Q207-U207)&gt;V$1,"error",""))</f>
        <v/>
      </c>
    </row>
    <row r="208" spans="1:22" x14ac:dyDescent="0.55000000000000004">
      <c r="A208">
        <v>13334.52</v>
      </c>
      <c r="B208" s="1">
        <v>0.01</v>
      </c>
      <c r="C208" s="1">
        <v>0.01</v>
      </c>
      <c r="D208" s="2" t="s">
        <v>1121</v>
      </c>
      <c r="E208">
        <v>1</v>
      </c>
      <c r="F208" s="2" t="s">
        <v>2</v>
      </c>
      <c r="G208">
        <v>0</v>
      </c>
      <c r="H208">
        <v>18.5</v>
      </c>
      <c r="I208" s="2" t="s">
        <v>0</v>
      </c>
      <c r="J208">
        <v>1</v>
      </c>
      <c r="K208" s="2" t="s">
        <v>2</v>
      </c>
      <c r="L208">
        <v>0</v>
      </c>
      <c r="M208">
        <v>19.5</v>
      </c>
      <c r="N208" s="2" t="s">
        <v>1334</v>
      </c>
      <c r="O208" t="str">
        <f>D208&amp;"-"&amp;E208&amp;"-"&amp;F208&amp;"-"&amp;G208&amp;"-"&amp;H208</f>
        <v>A-1-e-0-18.5</v>
      </c>
      <c r="P208" t="str">
        <f>I208&amp;"-"&amp;J208&amp;"-"&amp;K208&amp;"-"&amp;L208&amp;"-"&amp;M208</f>
        <v>X-1-e-0-19.5</v>
      </c>
      <c r="Q208">
        <f>A208+R208</f>
        <v>14696.995105</v>
      </c>
      <c r="R208">
        <f>_xlfn.IFNA(VLOOKUP(P208,PGOPHER!A$2:G$181,7,FALSE),_xlfn.IFNA(VLOOKUP(P208,en!A$2:I$768,7,FALSE),-10000))</f>
        <v>1362.475105</v>
      </c>
      <c r="S208">
        <f>IF(O208=O207,Q207+S207,Q208)</f>
        <v>14696.995105</v>
      </c>
      <c r="T208">
        <f>IF(O208=O207,T207+1,1)</f>
        <v>1</v>
      </c>
      <c r="U208" t="str">
        <f>IF(O208=O209,"",S208/T208)</f>
        <v/>
      </c>
      <c r="V208" t="str">
        <f>IF(U208="","",IF(ABS(Q208-U208)&gt;V$1,"error",""))</f>
        <v/>
      </c>
    </row>
    <row r="209" spans="1:22" x14ac:dyDescent="0.55000000000000004">
      <c r="A209">
        <v>13596.64</v>
      </c>
      <c r="B209" s="1">
        <v>9.4500000000000001E-2</v>
      </c>
      <c r="C209" s="1">
        <v>9.4500000000000001E-2</v>
      </c>
      <c r="D209" s="2" t="s">
        <v>1121</v>
      </c>
      <c r="E209">
        <v>1</v>
      </c>
      <c r="F209" s="2" t="s">
        <v>2</v>
      </c>
      <c r="G209">
        <v>0</v>
      </c>
      <c r="H209">
        <v>18.5</v>
      </c>
      <c r="I209" s="2" t="s">
        <v>0</v>
      </c>
      <c r="J209">
        <v>1</v>
      </c>
      <c r="K209" s="2" t="s">
        <v>2</v>
      </c>
      <c r="L209">
        <v>0</v>
      </c>
      <c r="M209">
        <v>17.5</v>
      </c>
      <c r="N209" s="2" t="s">
        <v>1336</v>
      </c>
      <c r="O209" t="str">
        <f>D209&amp;"-"&amp;E209&amp;"-"&amp;F209&amp;"-"&amp;G209&amp;"-"&amp;H209</f>
        <v>A-1-e-0-18.5</v>
      </c>
      <c r="P209" t="str">
        <f>I209&amp;"-"&amp;J209&amp;"-"&amp;K209&amp;"-"&amp;L209&amp;"-"&amp;M209</f>
        <v>X-1-e-0-17.5</v>
      </c>
      <c r="Q209">
        <f>A209+R209</f>
        <v>14696.912043999999</v>
      </c>
      <c r="R209">
        <f>_xlfn.IFNA(VLOOKUP(P209,PGOPHER!A$2:G$181,7,FALSE),_xlfn.IFNA(VLOOKUP(P209,en!A$2:I$768,7,FALSE),-10000))</f>
        <v>1100.2720440000001</v>
      </c>
      <c r="S209">
        <f>IF(O209=O208,Q208+S208,Q209)</f>
        <v>29393.99021</v>
      </c>
      <c r="T209">
        <f>IF(O209=O208,T208+1,1)</f>
        <v>2</v>
      </c>
      <c r="U209" t="str">
        <f>IF(O209=O210,"",S209/T209)</f>
        <v/>
      </c>
      <c r="V209" t="str">
        <f>IF(U209="","",IF(ABS(Q209-U209)&gt;V$1,"error",""))</f>
        <v/>
      </c>
    </row>
    <row r="210" spans="1:22" x14ac:dyDescent="0.55000000000000004">
      <c r="A210">
        <v>13336.94</v>
      </c>
      <c r="B210" s="1">
        <v>9.7869999999999999E-2</v>
      </c>
      <c r="C210" s="1">
        <v>9.7869999999999999E-2</v>
      </c>
      <c r="D210" s="2" t="s">
        <v>1121</v>
      </c>
      <c r="E210">
        <v>1</v>
      </c>
      <c r="F210" s="2" t="s">
        <v>2</v>
      </c>
      <c r="G210">
        <v>0</v>
      </c>
      <c r="H210">
        <v>18.5</v>
      </c>
      <c r="I210" s="2" t="s">
        <v>0</v>
      </c>
      <c r="J210">
        <v>2</v>
      </c>
      <c r="K210" s="2" t="s">
        <v>1</v>
      </c>
      <c r="L210">
        <v>0</v>
      </c>
      <c r="M210">
        <v>18.5</v>
      </c>
      <c r="N210" s="2" t="s">
        <v>1657</v>
      </c>
      <c r="O210" t="str">
        <f>D210&amp;"-"&amp;E210&amp;"-"&amp;F210&amp;"-"&amp;G210&amp;"-"&amp;H210</f>
        <v>A-1-e-0-18.5</v>
      </c>
      <c r="P210" t="str">
        <f>I210&amp;"-"&amp;J210&amp;"-"&amp;K210&amp;"-"&amp;L210&amp;"-"&amp;M210</f>
        <v>X-2-f-0-18.5</v>
      </c>
      <c r="Q210">
        <f>A210+R210</f>
        <v>14697.084546</v>
      </c>
      <c r="R210">
        <f>_xlfn.IFNA(VLOOKUP(P210,PGOPHER!A$2:G$181,7,FALSE),_xlfn.IFNA(VLOOKUP(P210,en!A$2:I$768,7,FALSE),-10000))</f>
        <v>1360.144546</v>
      </c>
      <c r="S210">
        <f>IF(O210=O209,Q209+S209,Q210)</f>
        <v>44090.902254000001</v>
      </c>
      <c r="T210">
        <f>IF(O210=O209,T209+1,1)</f>
        <v>3</v>
      </c>
      <c r="U210">
        <f>IF(O210=O211,"",S210/T210)</f>
        <v>14696.967418</v>
      </c>
      <c r="V210" t="str">
        <f>IF(U210="","",IF(ABS(Q210-U210)&gt;V$1,"error",""))</f>
        <v/>
      </c>
    </row>
    <row r="211" spans="1:22" x14ac:dyDescent="0.55000000000000004">
      <c r="A211">
        <v>13409.48</v>
      </c>
      <c r="B211" s="1">
        <v>3.8469999999999997E-2</v>
      </c>
      <c r="C211" s="1">
        <v>3.8469999999999997E-2</v>
      </c>
      <c r="D211" s="2" t="s">
        <v>1121</v>
      </c>
      <c r="E211">
        <v>1</v>
      </c>
      <c r="F211" s="2" t="s">
        <v>1</v>
      </c>
      <c r="G211">
        <v>0</v>
      </c>
      <c r="H211">
        <v>18.5</v>
      </c>
      <c r="I211" s="2" t="s">
        <v>0</v>
      </c>
      <c r="J211">
        <v>2</v>
      </c>
      <c r="K211" s="2" t="s">
        <v>1</v>
      </c>
      <c r="L211">
        <v>0</v>
      </c>
      <c r="M211">
        <v>17.5</v>
      </c>
      <c r="N211" s="2" t="s">
        <v>1335</v>
      </c>
      <c r="O211" t="str">
        <f>D211&amp;"-"&amp;E211&amp;"-"&amp;F211&amp;"-"&amp;G211&amp;"-"&amp;H211</f>
        <v>A-1-f-0-18.5</v>
      </c>
      <c r="P211" t="str">
        <f>I211&amp;"-"&amp;J211&amp;"-"&amp;K211&amp;"-"&amp;L211&amp;"-"&amp;M211</f>
        <v>X-2-f-0-17.5</v>
      </c>
      <c r="Q211">
        <f>A211+R211</f>
        <v>14635.269869</v>
      </c>
      <c r="R211">
        <f>_xlfn.IFNA(VLOOKUP(P211,PGOPHER!A$2:G$181,7,FALSE),_xlfn.IFNA(VLOOKUP(P211,en!A$2:I$768,7,FALSE),-10000))</f>
        <v>1225.789869</v>
      </c>
      <c r="S211">
        <f>IF(O211=O210,Q210+S210,Q211)</f>
        <v>14635.269869</v>
      </c>
      <c r="T211">
        <f>IF(O211=O210,T210+1,1)</f>
        <v>1</v>
      </c>
      <c r="U211" t="str">
        <f>IF(O211=O212,"",S211/T211)</f>
        <v/>
      </c>
      <c r="V211" t="str">
        <f>IF(U211="","",IF(ABS(Q211-U211)&gt;V$1,"error",""))</f>
        <v/>
      </c>
    </row>
    <row r="212" spans="1:22" x14ac:dyDescent="0.55000000000000004">
      <c r="A212">
        <v>13407.27</v>
      </c>
      <c r="B212" s="1">
        <v>4.6109999999999998E-2</v>
      </c>
      <c r="C212" s="1">
        <v>4.6109999999999998E-2</v>
      </c>
      <c r="D212" s="2" t="s">
        <v>1121</v>
      </c>
      <c r="E212">
        <v>1</v>
      </c>
      <c r="F212" s="2" t="s">
        <v>1</v>
      </c>
      <c r="G212">
        <v>0</v>
      </c>
      <c r="H212">
        <v>18.5</v>
      </c>
      <c r="I212" s="2" t="s">
        <v>0</v>
      </c>
      <c r="J212">
        <v>1</v>
      </c>
      <c r="K212" s="2" t="s">
        <v>2</v>
      </c>
      <c r="L212">
        <v>0</v>
      </c>
      <c r="M212">
        <v>18.5</v>
      </c>
      <c r="N212" s="2" t="s">
        <v>1655</v>
      </c>
      <c r="O212" t="str">
        <f>D212&amp;"-"&amp;E212&amp;"-"&amp;F212&amp;"-"&amp;G212&amp;"-"&amp;H212</f>
        <v>A-1-f-0-18.5</v>
      </c>
      <c r="P212" t="str">
        <f>I212&amp;"-"&amp;J212&amp;"-"&amp;K212&amp;"-"&amp;L212&amp;"-"&amp;M212</f>
        <v>X-1-e-0-18.5</v>
      </c>
      <c r="Q212">
        <f>A212+R212</f>
        <v>14635.279301</v>
      </c>
      <c r="R212">
        <f>_xlfn.IFNA(VLOOKUP(P212,PGOPHER!A$2:G$181,7,FALSE),_xlfn.IFNA(VLOOKUP(P212,en!A$2:I$768,7,FALSE),-10000))</f>
        <v>1228.0093010000001</v>
      </c>
      <c r="S212">
        <f>IF(O212=O211,Q211+S211,Q212)</f>
        <v>29270.539737999999</v>
      </c>
      <c r="T212">
        <f>IF(O212=O211,T211+1,1)</f>
        <v>2</v>
      </c>
      <c r="U212" t="str">
        <f>IF(O212=O213,"",S212/T212)</f>
        <v/>
      </c>
      <c r="V212" t="str">
        <f>IF(U212="","",IF(ABS(Q212-U212)&gt;V$1,"error",""))</f>
        <v/>
      </c>
    </row>
    <row r="213" spans="1:22" x14ac:dyDescent="0.55000000000000004">
      <c r="A213">
        <v>13134</v>
      </c>
      <c r="B213" s="1">
        <v>0.1139</v>
      </c>
      <c r="C213" s="1">
        <v>0.1139</v>
      </c>
      <c r="D213" s="2" t="s">
        <v>1121</v>
      </c>
      <c r="E213">
        <v>1</v>
      </c>
      <c r="F213" s="2" t="s">
        <v>1</v>
      </c>
      <c r="G213">
        <v>0</v>
      </c>
      <c r="H213">
        <v>18.5</v>
      </c>
      <c r="I213" s="2" t="s">
        <v>0</v>
      </c>
      <c r="J213">
        <v>2</v>
      </c>
      <c r="K213" s="2" t="s">
        <v>1</v>
      </c>
      <c r="L213">
        <v>0</v>
      </c>
      <c r="M213">
        <v>19.5</v>
      </c>
      <c r="N213" s="2" t="s">
        <v>1333</v>
      </c>
      <c r="O213" t="str">
        <f>D213&amp;"-"&amp;E213&amp;"-"&amp;F213&amp;"-"&amp;G213&amp;"-"&amp;H213</f>
        <v>A-1-f-0-18.5</v>
      </c>
      <c r="P213" t="str">
        <f>I213&amp;"-"&amp;J213&amp;"-"&amp;K213&amp;"-"&amp;L213&amp;"-"&amp;M213</f>
        <v>X-2-f-0-19.5</v>
      </c>
      <c r="Q213">
        <f>A213+R213</f>
        <v>14635.157331</v>
      </c>
      <c r="R213">
        <f>_xlfn.IFNA(VLOOKUP(P213,PGOPHER!A$2:G$181,7,FALSE),_xlfn.IFNA(VLOOKUP(P213,en!A$2:I$768,7,FALSE),-10000))</f>
        <v>1501.1573310000001</v>
      </c>
      <c r="S213">
        <f>IF(O213=O212,Q212+S212,Q213)</f>
        <v>43905.819039000002</v>
      </c>
      <c r="T213">
        <f>IF(O213=O212,T212+1,1)</f>
        <v>3</v>
      </c>
      <c r="U213">
        <f>IF(O213=O214,"",S213/T213)</f>
        <v>14635.273013</v>
      </c>
      <c r="V213" t="str">
        <f>IF(U213="","",IF(ABS(Q213-U213)&gt;V$1,"error",""))</f>
        <v/>
      </c>
    </row>
    <row r="214" spans="1:22" x14ac:dyDescent="0.55000000000000004">
      <c r="A214">
        <v>13605.87</v>
      </c>
      <c r="B214" s="1">
        <v>0.01</v>
      </c>
      <c r="C214" s="1">
        <v>0.01</v>
      </c>
      <c r="D214" s="2" t="s">
        <v>1121</v>
      </c>
      <c r="E214">
        <v>2</v>
      </c>
      <c r="F214" s="2" t="s">
        <v>2</v>
      </c>
      <c r="G214">
        <v>0</v>
      </c>
      <c r="H214">
        <v>18.5</v>
      </c>
      <c r="I214" s="2" t="s">
        <v>0</v>
      </c>
      <c r="J214">
        <v>1</v>
      </c>
      <c r="K214" s="2" t="s">
        <v>2</v>
      </c>
      <c r="L214">
        <v>0</v>
      </c>
      <c r="M214">
        <v>19.5</v>
      </c>
      <c r="N214" s="2" t="s">
        <v>1328</v>
      </c>
      <c r="O214" t="str">
        <f>D214&amp;"-"&amp;E214&amp;"-"&amp;F214&amp;"-"&amp;G214&amp;"-"&amp;H214</f>
        <v>A-2-e-0-18.5</v>
      </c>
      <c r="P214" t="str">
        <f>I214&amp;"-"&amp;J214&amp;"-"&amp;K214&amp;"-"&amp;L214&amp;"-"&amp;M214</f>
        <v>X-1-e-0-19.5</v>
      </c>
      <c r="Q214">
        <f>A214+R214</f>
        <v>14968.345105</v>
      </c>
      <c r="R214">
        <f>_xlfn.IFNA(VLOOKUP(P214,PGOPHER!A$2:G$181,7,FALSE),_xlfn.IFNA(VLOOKUP(P214,en!A$2:I$768,7,FALSE),-10000))</f>
        <v>1362.475105</v>
      </c>
      <c r="S214">
        <f>IF(O214=O213,Q213+S213,Q214)</f>
        <v>14968.345105</v>
      </c>
      <c r="T214">
        <f>IF(O214=O213,T213+1,1)</f>
        <v>1</v>
      </c>
      <c r="U214" t="str">
        <f>IF(O214=O215,"",S214/T214)</f>
        <v/>
      </c>
      <c r="V214" t="str">
        <f>IF(U214="","",IF(ABS(Q214-U214)&gt;V$1,"error",""))</f>
        <v/>
      </c>
    </row>
    <row r="215" spans="1:22" x14ac:dyDescent="0.55000000000000004">
      <c r="A215">
        <v>13868.11</v>
      </c>
      <c r="B215" s="1">
        <v>4.1169999999999998E-2</v>
      </c>
      <c r="C215" s="1">
        <v>4.1169999999999998E-2</v>
      </c>
      <c r="D215" s="2" t="s">
        <v>1121</v>
      </c>
      <c r="E215">
        <v>2</v>
      </c>
      <c r="F215" s="2" t="s">
        <v>2</v>
      </c>
      <c r="G215">
        <v>0</v>
      </c>
      <c r="H215">
        <v>18.5</v>
      </c>
      <c r="I215" s="2" t="s">
        <v>0</v>
      </c>
      <c r="J215">
        <v>1</v>
      </c>
      <c r="K215" s="2" t="s">
        <v>2</v>
      </c>
      <c r="L215">
        <v>0</v>
      </c>
      <c r="M215">
        <v>17.5</v>
      </c>
      <c r="N215" s="2" t="s">
        <v>1332</v>
      </c>
      <c r="O215" t="str">
        <f>D215&amp;"-"&amp;E215&amp;"-"&amp;F215&amp;"-"&amp;G215&amp;"-"&amp;H215</f>
        <v>A-2-e-0-18.5</v>
      </c>
      <c r="P215" t="str">
        <f>I215&amp;"-"&amp;J215&amp;"-"&amp;K215&amp;"-"&amp;L215&amp;"-"&amp;M215</f>
        <v>X-1-e-0-17.5</v>
      </c>
      <c r="Q215">
        <f>A215+R215</f>
        <v>14968.382044</v>
      </c>
      <c r="R215">
        <f>_xlfn.IFNA(VLOOKUP(P215,PGOPHER!A$2:G$181,7,FALSE),_xlfn.IFNA(VLOOKUP(P215,en!A$2:I$768,7,FALSE),-10000))</f>
        <v>1100.2720440000001</v>
      </c>
      <c r="S215">
        <f>IF(O215=O214,Q214+S214,Q215)</f>
        <v>29936.690210000001</v>
      </c>
      <c r="T215">
        <f>IF(O215=O214,T214+1,1)</f>
        <v>2</v>
      </c>
      <c r="U215" t="str">
        <f>IF(O215=O216,"",S215/T215)</f>
        <v/>
      </c>
      <c r="V215" t="str">
        <f>IF(U215="","",IF(ABS(Q215-U215)&gt;V$1,"error",""))</f>
        <v/>
      </c>
    </row>
    <row r="216" spans="1:22" x14ac:dyDescent="0.55000000000000004">
      <c r="A216">
        <v>13608.16</v>
      </c>
      <c r="B216" s="1">
        <v>4.147E-2</v>
      </c>
      <c r="C216" s="1">
        <v>4.147E-2</v>
      </c>
      <c r="D216" s="2" t="s">
        <v>1121</v>
      </c>
      <c r="E216">
        <v>2</v>
      </c>
      <c r="F216" s="2" t="s">
        <v>2</v>
      </c>
      <c r="G216">
        <v>0</v>
      </c>
      <c r="H216">
        <v>18.5</v>
      </c>
      <c r="I216" s="2" t="s">
        <v>0</v>
      </c>
      <c r="J216">
        <v>2</v>
      </c>
      <c r="K216" s="2" t="s">
        <v>1</v>
      </c>
      <c r="L216">
        <v>0</v>
      </c>
      <c r="M216">
        <v>18.5</v>
      </c>
      <c r="N216" s="2" t="s">
        <v>1329</v>
      </c>
      <c r="O216" t="str">
        <f>D216&amp;"-"&amp;E216&amp;"-"&amp;F216&amp;"-"&amp;G216&amp;"-"&amp;H216</f>
        <v>A-2-e-0-18.5</v>
      </c>
      <c r="P216" t="str">
        <f>I216&amp;"-"&amp;J216&amp;"-"&amp;K216&amp;"-"&amp;L216&amp;"-"&amp;M216</f>
        <v>X-2-f-0-18.5</v>
      </c>
      <c r="Q216">
        <f>A216+R216</f>
        <v>14968.304545999999</v>
      </c>
      <c r="R216">
        <f>_xlfn.IFNA(VLOOKUP(P216,PGOPHER!A$2:G$181,7,FALSE),_xlfn.IFNA(VLOOKUP(P216,en!A$2:I$768,7,FALSE),-10000))</f>
        <v>1360.144546</v>
      </c>
      <c r="S216">
        <f>IF(O216=O215,Q215+S215,Q216)</f>
        <v>44905.072253999999</v>
      </c>
      <c r="T216">
        <f>IF(O216=O215,T215+1,1)</f>
        <v>3</v>
      </c>
      <c r="U216">
        <f>IF(O216=O217,"",S216/T216)</f>
        <v>14968.357418</v>
      </c>
      <c r="V216" t="str">
        <f>IF(U216="","",IF(ABS(Q216-U216)&gt;V$1,"error",""))</f>
        <v/>
      </c>
    </row>
    <row r="217" spans="1:22" x14ac:dyDescent="0.55000000000000004">
      <c r="A217">
        <v>13735.15</v>
      </c>
      <c r="B217" s="1">
        <v>5.5820000000000002E-2</v>
      </c>
      <c r="C217" s="1">
        <v>5.5820000000000002E-2</v>
      </c>
      <c r="D217" s="2" t="s">
        <v>1121</v>
      </c>
      <c r="E217">
        <v>2</v>
      </c>
      <c r="F217" s="2" t="s">
        <v>1</v>
      </c>
      <c r="G217">
        <v>0</v>
      </c>
      <c r="H217">
        <v>18.5</v>
      </c>
      <c r="I217" s="2" t="s">
        <v>0</v>
      </c>
      <c r="J217">
        <v>2</v>
      </c>
      <c r="K217" s="2" t="s">
        <v>1</v>
      </c>
      <c r="L217">
        <v>0</v>
      </c>
      <c r="M217">
        <v>17.5</v>
      </c>
      <c r="N217" s="2" t="s">
        <v>1331</v>
      </c>
      <c r="O217" t="str">
        <f>D217&amp;"-"&amp;E217&amp;"-"&amp;F217&amp;"-"&amp;G217&amp;"-"&amp;H217</f>
        <v>A-2-f-0-18.5</v>
      </c>
      <c r="P217" t="str">
        <f>I217&amp;"-"&amp;J217&amp;"-"&amp;K217&amp;"-"&amp;L217&amp;"-"&amp;M217</f>
        <v>X-2-f-0-17.5</v>
      </c>
      <c r="Q217">
        <f>A217+R217</f>
        <v>14960.939869</v>
      </c>
      <c r="R217">
        <f>_xlfn.IFNA(VLOOKUP(P217,PGOPHER!A$2:G$181,7,FALSE),_xlfn.IFNA(VLOOKUP(P217,en!A$2:I$768,7,FALSE),-10000))</f>
        <v>1225.789869</v>
      </c>
      <c r="S217">
        <f>IF(O217=O216,Q216+S216,Q217)</f>
        <v>14960.939869</v>
      </c>
      <c r="T217">
        <f>IF(O217=O216,T216+1,1)</f>
        <v>1</v>
      </c>
      <c r="U217" t="str">
        <f>IF(O217=O218,"",S217/T217)</f>
        <v/>
      </c>
      <c r="V217" t="str">
        <f>IF(U217="","",IF(ABS(Q217-U217)&gt;V$1,"error",""))</f>
        <v/>
      </c>
    </row>
    <row r="218" spans="1:22" x14ac:dyDescent="0.55000000000000004">
      <c r="A218">
        <v>13732.88</v>
      </c>
      <c r="B218" s="1">
        <v>0.01</v>
      </c>
      <c r="C218" s="1">
        <v>0.01</v>
      </c>
      <c r="D218" s="2" t="s">
        <v>1121</v>
      </c>
      <c r="E218">
        <v>2</v>
      </c>
      <c r="F218" s="2" t="s">
        <v>1</v>
      </c>
      <c r="G218">
        <v>0</v>
      </c>
      <c r="H218">
        <v>18.5</v>
      </c>
      <c r="I218" s="2" t="s">
        <v>0</v>
      </c>
      <c r="J218">
        <v>1</v>
      </c>
      <c r="K218" s="2" t="s">
        <v>2</v>
      </c>
      <c r="L218">
        <v>0</v>
      </c>
      <c r="M218">
        <v>18.5</v>
      </c>
      <c r="N218" s="2" t="s">
        <v>1330</v>
      </c>
      <c r="O218" t="str">
        <f>D218&amp;"-"&amp;E218&amp;"-"&amp;F218&amp;"-"&amp;G218&amp;"-"&amp;H218</f>
        <v>A-2-f-0-18.5</v>
      </c>
      <c r="P218" t="str">
        <f>I218&amp;"-"&amp;J218&amp;"-"&amp;K218&amp;"-"&amp;L218&amp;"-"&amp;M218</f>
        <v>X-1-e-0-18.5</v>
      </c>
      <c r="Q218">
        <f>A218+R218</f>
        <v>14960.889300999999</v>
      </c>
      <c r="R218">
        <f>_xlfn.IFNA(VLOOKUP(P218,PGOPHER!A$2:G$181,7,FALSE),_xlfn.IFNA(VLOOKUP(P218,en!A$2:I$768,7,FALSE),-10000))</f>
        <v>1228.0093010000001</v>
      </c>
      <c r="S218">
        <f>IF(O218=O217,Q217+S217,Q218)</f>
        <v>29921.879738</v>
      </c>
      <c r="T218">
        <f>IF(O218=O217,T217+1,1)</f>
        <v>2</v>
      </c>
      <c r="U218" t="str">
        <f>IF(O218=O219,"",S218/T218)</f>
        <v/>
      </c>
      <c r="V218" t="str">
        <f>IF(U218="","",IF(ABS(Q218-U218)&gt;V$1,"error",""))</f>
        <v/>
      </c>
    </row>
    <row r="219" spans="1:22" x14ac:dyDescent="0.55000000000000004">
      <c r="A219">
        <v>13459.7</v>
      </c>
      <c r="B219" s="1">
        <v>4.0579999999999998E-2</v>
      </c>
      <c r="C219" s="1">
        <v>4.0579999999999998E-2</v>
      </c>
      <c r="D219" s="2" t="s">
        <v>1121</v>
      </c>
      <c r="E219">
        <v>2</v>
      </c>
      <c r="F219" s="2" t="s">
        <v>1</v>
      </c>
      <c r="G219">
        <v>0</v>
      </c>
      <c r="H219">
        <v>18.5</v>
      </c>
      <c r="I219" s="2" t="s">
        <v>0</v>
      </c>
      <c r="J219">
        <v>2</v>
      </c>
      <c r="K219" s="2" t="s">
        <v>1</v>
      </c>
      <c r="L219">
        <v>0</v>
      </c>
      <c r="M219">
        <v>19.5</v>
      </c>
      <c r="N219" s="2" t="s">
        <v>1327</v>
      </c>
      <c r="O219" t="str">
        <f>D219&amp;"-"&amp;E219&amp;"-"&amp;F219&amp;"-"&amp;G219&amp;"-"&amp;H219</f>
        <v>A-2-f-0-18.5</v>
      </c>
      <c r="P219" t="str">
        <f>I219&amp;"-"&amp;J219&amp;"-"&amp;K219&amp;"-"&amp;L219&amp;"-"&amp;M219</f>
        <v>X-2-f-0-19.5</v>
      </c>
      <c r="Q219">
        <f>A219+R219</f>
        <v>14960.857331000001</v>
      </c>
      <c r="R219">
        <f>_xlfn.IFNA(VLOOKUP(P219,PGOPHER!A$2:G$181,7,FALSE),_xlfn.IFNA(VLOOKUP(P219,en!A$2:I$768,7,FALSE),-10000))</f>
        <v>1501.1573310000001</v>
      </c>
      <c r="S219">
        <f>IF(O219=O218,Q218+S218,Q219)</f>
        <v>44882.769038999999</v>
      </c>
      <c r="T219">
        <f>IF(O219=O218,T218+1,1)</f>
        <v>3</v>
      </c>
      <c r="U219">
        <f>IF(O219=O220,"",S219/T219)</f>
        <v>14960.923013</v>
      </c>
      <c r="V219" t="str">
        <f>IF(U219="","",IF(ABS(Q219-U219)&gt;V$1,"error",""))</f>
        <v/>
      </c>
    </row>
    <row r="220" spans="1:22" x14ac:dyDescent="0.55000000000000004">
      <c r="A220">
        <v>13333.29</v>
      </c>
      <c r="B220" s="1">
        <v>4.6019999999999998E-2</v>
      </c>
      <c r="C220" s="1">
        <v>4.6019999999999998E-2</v>
      </c>
      <c r="D220" s="2" t="s">
        <v>1121</v>
      </c>
      <c r="E220">
        <v>1</v>
      </c>
      <c r="F220" s="2" t="s">
        <v>2</v>
      </c>
      <c r="G220">
        <v>0</v>
      </c>
      <c r="H220">
        <v>19.5</v>
      </c>
      <c r="I220" s="2" t="s">
        <v>0</v>
      </c>
      <c r="J220">
        <v>1</v>
      </c>
      <c r="K220" s="2" t="s">
        <v>2</v>
      </c>
      <c r="L220">
        <v>0</v>
      </c>
      <c r="M220">
        <v>20.5</v>
      </c>
      <c r="N220" s="2" t="s">
        <v>1344</v>
      </c>
      <c r="O220" t="str">
        <f>D220&amp;"-"&amp;E220&amp;"-"&amp;F220&amp;"-"&amp;G220&amp;"-"&amp;H220</f>
        <v>A-1-e-0-19.5</v>
      </c>
      <c r="P220" t="str">
        <f>I220&amp;"-"&amp;J220&amp;"-"&amp;K220&amp;"-"&amp;L220&amp;"-"&amp;M220</f>
        <v>X-1-e-0-20.5</v>
      </c>
      <c r="Q220">
        <f>A220+R220</f>
        <v>14836.88825</v>
      </c>
      <c r="R220">
        <f>_xlfn.IFNA(VLOOKUP(P220,PGOPHER!A$2:G$181,7,FALSE),_xlfn.IFNA(VLOOKUP(P220,en!A$2:I$768,7,FALSE),-10000))</f>
        <v>1503.59825</v>
      </c>
      <c r="S220">
        <f>IF(O220=O219,Q219+S219,Q220)</f>
        <v>14836.88825</v>
      </c>
      <c r="T220">
        <f>IF(O220=O219,T219+1,1)</f>
        <v>1</v>
      </c>
      <c r="U220" t="str">
        <f>IF(O220=O221,"",S220/T220)</f>
        <v/>
      </c>
      <c r="V220" t="str">
        <f>IF(U220="","",IF(ABS(Q220-U220)&gt;V$1,"error",""))</f>
        <v/>
      </c>
    </row>
    <row r="221" spans="1:22" x14ac:dyDescent="0.55000000000000004">
      <c r="A221">
        <v>13608.75</v>
      </c>
      <c r="B221" s="1">
        <v>0.1258</v>
      </c>
      <c r="C221" s="1">
        <v>0.1258</v>
      </c>
      <c r="D221" s="2" t="s">
        <v>1121</v>
      </c>
      <c r="E221">
        <v>1</v>
      </c>
      <c r="F221" s="2" t="s">
        <v>2</v>
      </c>
      <c r="G221">
        <v>0</v>
      </c>
      <c r="H221">
        <v>19.5</v>
      </c>
      <c r="I221" s="2" t="s">
        <v>0</v>
      </c>
      <c r="J221">
        <v>1</v>
      </c>
      <c r="K221" s="2" t="s">
        <v>2</v>
      </c>
      <c r="L221">
        <v>0</v>
      </c>
      <c r="M221">
        <v>18.5</v>
      </c>
      <c r="N221" s="2" t="s">
        <v>1348</v>
      </c>
      <c r="O221" t="str">
        <f>D221&amp;"-"&amp;E221&amp;"-"&amp;F221&amp;"-"&amp;G221&amp;"-"&amp;H221</f>
        <v>A-1-e-0-19.5</v>
      </c>
      <c r="P221" t="str">
        <f>I221&amp;"-"&amp;J221&amp;"-"&amp;K221&amp;"-"&amp;L221&amp;"-"&amp;M221</f>
        <v>X-1-e-0-18.5</v>
      </c>
      <c r="Q221">
        <f>A221+R221</f>
        <v>14836.759301</v>
      </c>
      <c r="R221">
        <f>_xlfn.IFNA(VLOOKUP(P221,PGOPHER!A$2:G$181,7,FALSE),_xlfn.IFNA(VLOOKUP(P221,en!A$2:I$768,7,FALSE),-10000))</f>
        <v>1228.0093010000001</v>
      </c>
      <c r="S221">
        <f>IF(O221=O220,Q220+S220,Q221)</f>
        <v>29673.7765</v>
      </c>
      <c r="T221">
        <f>IF(O221=O220,T220+1,1)</f>
        <v>2</v>
      </c>
      <c r="U221" t="str">
        <f>IF(O221=O222,"",S221/T221)</f>
        <v/>
      </c>
      <c r="V221" t="str">
        <f>IF(U221="","",IF(ABS(Q221-U221)&gt;V$1,"error",""))</f>
        <v/>
      </c>
    </row>
    <row r="222" spans="1:22" x14ac:dyDescent="0.55000000000000004">
      <c r="A222">
        <v>13335.73</v>
      </c>
      <c r="B222" s="1">
        <v>4.9149999999999999E-2</v>
      </c>
      <c r="C222" s="1">
        <v>4.9149999999999999E-2</v>
      </c>
      <c r="D222" s="2" t="s">
        <v>1121</v>
      </c>
      <c r="E222">
        <v>1</v>
      </c>
      <c r="F222" s="2" t="s">
        <v>2</v>
      </c>
      <c r="G222">
        <v>0</v>
      </c>
      <c r="H222">
        <v>19.5</v>
      </c>
      <c r="I222" s="2" t="s">
        <v>0</v>
      </c>
      <c r="J222">
        <v>2</v>
      </c>
      <c r="K222" s="2" t="s">
        <v>1</v>
      </c>
      <c r="L222">
        <v>0</v>
      </c>
      <c r="M222">
        <v>19.5</v>
      </c>
      <c r="N222" s="2" t="s">
        <v>1345</v>
      </c>
      <c r="O222" t="str">
        <f>D222&amp;"-"&amp;E222&amp;"-"&amp;F222&amp;"-"&amp;G222&amp;"-"&amp;H222</f>
        <v>A-1-e-0-19.5</v>
      </c>
      <c r="P222" t="str">
        <f>I222&amp;"-"&amp;J222&amp;"-"&amp;K222&amp;"-"&amp;L222&amp;"-"&amp;M222</f>
        <v>X-2-f-0-19.5</v>
      </c>
      <c r="Q222">
        <f>A222+R222</f>
        <v>14836.887331</v>
      </c>
      <c r="R222">
        <f>_xlfn.IFNA(VLOOKUP(P222,PGOPHER!A$2:G$181,7,FALSE),_xlfn.IFNA(VLOOKUP(P222,en!A$2:I$768,7,FALSE),-10000))</f>
        <v>1501.1573310000001</v>
      </c>
      <c r="S222">
        <f>IF(O222=O221,Q221+S221,Q222)</f>
        <v>44510.535800999998</v>
      </c>
      <c r="T222">
        <f>IF(O222=O221,T221+1,1)</f>
        <v>3</v>
      </c>
      <c r="U222">
        <f>IF(O222=O223,"",S222/T222)</f>
        <v>14836.845266999999</v>
      </c>
      <c r="V222" t="str">
        <f>IF(U222="","",IF(ABS(Q222-U222)&gt;V$1,"error",""))</f>
        <v/>
      </c>
    </row>
    <row r="223" spans="1:22" x14ac:dyDescent="0.55000000000000004">
      <c r="A223">
        <v>13413.39</v>
      </c>
      <c r="B223" s="1">
        <v>4.1520000000000001E-2</v>
      </c>
      <c r="C223" s="1">
        <v>4.1520000000000001E-2</v>
      </c>
      <c r="D223" s="2" t="s">
        <v>1121</v>
      </c>
      <c r="E223">
        <v>1</v>
      </c>
      <c r="F223" s="2" t="s">
        <v>1</v>
      </c>
      <c r="G223">
        <v>0</v>
      </c>
      <c r="H223">
        <v>19.5</v>
      </c>
      <c r="I223" s="2" t="s">
        <v>0</v>
      </c>
      <c r="J223">
        <v>2</v>
      </c>
      <c r="K223" s="2" t="s">
        <v>1</v>
      </c>
      <c r="L223">
        <v>0</v>
      </c>
      <c r="M223">
        <v>18.5</v>
      </c>
      <c r="N223" s="2" t="s">
        <v>1347</v>
      </c>
      <c r="O223" t="str">
        <f>D223&amp;"-"&amp;E223&amp;"-"&amp;F223&amp;"-"&amp;G223&amp;"-"&amp;H223</f>
        <v>A-1-f-0-19.5</v>
      </c>
      <c r="P223" t="str">
        <f>I223&amp;"-"&amp;J223&amp;"-"&amp;K223&amp;"-"&amp;L223&amp;"-"&amp;M223</f>
        <v>X-2-f-0-18.5</v>
      </c>
      <c r="Q223">
        <f>A223+R223</f>
        <v>14773.534545999999</v>
      </c>
      <c r="R223">
        <f>_xlfn.IFNA(VLOOKUP(P223,PGOPHER!A$2:G$181,7,FALSE),_xlfn.IFNA(VLOOKUP(P223,en!A$2:I$768,7,FALSE),-10000))</f>
        <v>1360.144546</v>
      </c>
      <c r="S223">
        <f>IF(O223=O222,Q222+S222,Q223)</f>
        <v>14773.534545999999</v>
      </c>
      <c r="T223">
        <f>IF(O223=O222,T222+1,1)</f>
        <v>1</v>
      </c>
      <c r="U223" t="str">
        <f>IF(O223=O224,"",S223/T223)</f>
        <v/>
      </c>
      <c r="V223" t="str">
        <f>IF(U223="","",IF(ABS(Q223-U223)&gt;V$1,"error",""))</f>
        <v/>
      </c>
    </row>
    <row r="224" spans="1:22" x14ac:dyDescent="0.55000000000000004">
      <c r="A224">
        <v>13411.05</v>
      </c>
      <c r="B224" s="1">
        <v>2.8289999999999999E-2</v>
      </c>
      <c r="C224" s="1">
        <v>2.8289999999999999E-2</v>
      </c>
      <c r="D224" s="2" t="s">
        <v>1121</v>
      </c>
      <c r="E224">
        <v>1</v>
      </c>
      <c r="F224" s="2" t="s">
        <v>1</v>
      </c>
      <c r="G224">
        <v>0</v>
      </c>
      <c r="H224">
        <v>19.5</v>
      </c>
      <c r="I224" s="2" t="s">
        <v>0</v>
      </c>
      <c r="J224">
        <v>1</v>
      </c>
      <c r="K224" s="2" t="s">
        <v>2</v>
      </c>
      <c r="L224">
        <v>0</v>
      </c>
      <c r="M224">
        <v>19.5</v>
      </c>
      <c r="N224" s="2" t="s">
        <v>1346</v>
      </c>
      <c r="O224" t="str">
        <f>D224&amp;"-"&amp;E224&amp;"-"&amp;F224&amp;"-"&amp;G224&amp;"-"&amp;H224</f>
        <v>A-1-f-0-19.5</v>
      </c>
      <c r="P224" t="str">
        <f>I224&amp;"-"&amp;J224&amp;"-"&amp;K224&amp;"-"&amp;L224&amp;"-"&amp;M224</f>
        <v>X-1-e-0-19.5</v>
      </c>
      <c r="Q224">
        <f>A224+R224</f>
        <v>14773.525104999999</v>
      </c>
      <c r="R224">
        <f>_xlfn.IFNA(VLOOKUP(P224,PGOPHER!A$2:G$181,7,FALSE),_xlfn.IFNA(VLOOKUP(P224,en!A$2:I$768,7,FALSE),-10000))</f>
        <v>1362.475105</v>
      </c>
      <c r="S224">
        <f>IF(O224=O223,Q223+S223,Q224)</f>
        <v>29547.069091999998</v>
      </c>
      <c r="T224">
        <f>IF(O224=O223,T223+1,1)</f>
        <v>2</v>
      </c>
      <c r="U224" t="str">
        <f>IF(O224=O225,"",S224/T224)</f>
        <v/>
      </c>
      <c r="V224" t="str">
        <f>IF(U224="","",IF(ABS(Q224-U224)&gt;V$1,"error",""))</f>
        <v/>
      </c>
    </row>
    <row r="225" spans="1:22" x14ac:dyDescent="0.55000000000000004">
      <c r="A225">
        <v>13124.65</v>
      </c>
      <c r="B225" s="1">
        <v>9.4869999999999996E-2</v>
      </c>
      <c r="C225" s="1">
        <v>9.4869999999999996E-2</v>
      </c>
      <c r="D225" s="2" t="s">
        <v>1121</v>
      </c>
      <c r="E225">
        <v>1</v>
      </c>
      <c r="F225" s="2" t="s">
        <v>1</v>
      </c>
      <c r="G225">
        <v>0</v>
      </c>
      <c r="H225">
        <v>19.5</v>
      </c>
      <c r="I225" s="2" t="s">
        <v>0</v>
      </c>
      <c r="J225">
        <v>2</v>
      </c>
      <c r="K225" s="2" t="s">
        <v>1</v>
      </c>
      <c r="L225">
        <v>0</v>
      </c>
      <c r="M225">
        <v>20.5</v>
      </c>
      <c r="N225" s="2" t="s">
        <v>1343</v>
      </c>
      <c r="O225" t="str">
        <f>D225&amp;"-"&amp;E225&amp;"-"&amp;F225&amp;"-"&amp;G225&amp;"-"&amp;H225</f>
        <v>A-1-f-0-19.5</v>
      </c>
      <c r="P225" t="str">
        <f>I225&amp;"-"&amp;J225&amp;"-"&amp;K225&amp;"-"&amp;L225&amp;"-"&amp;M225</f>
        <v>X-2-f-0-20.5</v>
      </c>
      <c r="Q225">
        <f>A225+R225</f>
        <v>14773.431570000001</v>
      </c>
      <c r="R225">
        <f>_xlfn.IFNA(VLOOKUP(P225,PGOPHER!A$2:G$181,7,FALSE),_xlfn.IFNA(VLOOKUP(P225,en!A$2:I$768,7,FALSE),-10000))</f>
        <v>1648.7815700000001</v>
      </c>
      <c r="S225">
        <f>IF(O225=O224,Q224+S224,Q225)</f>
        <v>44320.594196999999</v>
      </c>
      <c r="T225">
        <f>IF(O225=O224,T224+1,1)</f>
        <v>3</v>
      </c>
      <c r="U225">
        <f>IF(O225=O226,"",S225/T225)</f>
        <v>14773.531399</v>
      </c>
      <c r="V225" t="str">
        <f>IF(U225="","",IF(ABS(Q225-U225)&gt;V$1,"error",""))</f>
        <v/>
      </c>
    </row>
    <row r="226" spans="1:22" x14ac:dyDescent="0.55000000000000004">
      <c r="A226">
        <v>13605.44</v>
      </c>
      <c r="B226" s="1">
        <v>4.3290000000000002E-2</v>
      </c>
      <c r="C226" s="1">
        <v>4.3290000000000002E-2</v>
      </c>
      <c r="D226" s="2" t="s">
        <v>1121</v>
      </c>
      <c r="E226">
        <v>2</v>
      </c>
      <c r="F226" s="2" t="s">
        <v>2</v>
      </c>
      <c r="G226">
        <v>0</v>
      </c>
      <c r="H226">
        <v>19.5</v>
      </c>
      <c r="I226" s="2" t="s">
        <v>0</v>
      </c>
      <c r="J226">
        <v>1</v>
      </c>
      <c r="K226" s="2" t="s">
        <v>2</v>
      </c>
      <c r="L226">
        <v>0</v>
      </c>
      <c r="M226">
        <v>20.5</v>
      </c>
      <c r="N226" s="2" t="s">
        <v>1338</v>
      </c>
      <c r="O226" t="str">
        <f>D226&amp;"-"&amp;E226&amp;"-"&amp;F226&amp;"-"&amp;G226&amp;"-"&amp;H226</f>
        <v>A-2-e-0-19.5</v>
      </c>
      <c r="P226" t="str">
        <f>I226&amp;"-"&amp;J226&amp;"-"&amp;K226&amp;"-"&amp;L226&amp;"-"&amp;M226</f>
        <v>X-1-e-0-20.5</v>
      </c>
      <c r="Q226">
        <f>A226+R226</f>
        <v>15109.038250000001</v>
      </c>
      <c r="R226">
        <f>_xlfn.IFNA(VLOOKUP(P226,PGOPHER!A$2:G$181,7,FALSE),_xlfn.IFNA(VLOOKUP(P226,en!A$2:I$768,7,FALSE),-10000))</f>
        <v>1503.59825</v>
      </c>
      <c r="S226">
        <f>IF(O226=O225,Q225+S225,Q226)</f>
        <v>15109.038250000001</v>
      </c>
      <c r="T226">
        <f>IF(O226=O225,T225+1,1)</f>
        <v>1</v>
      </c>
      <c r="U226" t="str">
        <f>IF(O226=O227,"",S226/T226)</f>
        <v/>
      </c>
      <c r="V226" t="str">
        <f>IF(U226="","",IF(ABS(Q226-U226)&gt;V$1,"error",""))</f>
        <v/>
      </c>
    </row>
    <row r="227" spans="1:22" x14ac:dyDescent="0.55000000000000004">
      <c r="A227">
        <v>13881.09</v>
      </c>
      <c r="B227" s="1">
        <v>2.9510000000000002E-2</v>
      </c>
      <c r="C227" s="1">
        <v>2.9510000000000002E-2</v>
      </c>
      <c r="D227" s="2" t="s">
        <v>1121</v>
      </c>
      <c r="E227">
        <v>2</v>
      </c>
      <c r="F227" s="2" t="s">
        <v>2</v>
      </c>
      <c r="G227">
        <v>0</v>
      </c>
      <c r="H227">
        <v>19.5</v>
      </c>
      <c r="I227" s="2" t="s">
        <v>0</v>
      </c>
      <c r="J227">
        <v>1</v>
      </c>
      <c r="K227" s="2" t="s">
        <v>2</v>
      </c>
      <c r="L227">
        <v>0</v>
      </c>
      <c r="M227">
        <v>18.5</v>
      </c>
      <c r="N227" s="2" t="s">
        <v>1342</v>
      </c>
      <c r="O227" t="str">
        <f>D227&amp;"-"&amp;E227&amp;"-"&amp;F227&amp;"-"&amp;G227&amp;"-"&amp;H227</f>
        <v>A-2-e-0-19.5</v>
      </c>
      <c r="P227" t="str">
        <f>I227&amp;"-"&amp;J227&amp;"-"&amp;K227&amp;"-"&amp;L227&amp;"-"&amp;M227</f>
        <v>X-1-e-0-18.5</v>
      </c>
      <c r="Q227">
        <f>A227+R227</f>
        <v>15109.099301</v>
      </c>
      <c r="R227">
        <f>_xlfn.IFNA(VLOOKUP(P227,PGOPHER!A$2:G$181,7,FALSE),_xlfn.IFNA(VLOOKUP(P227,en!A$2:I$768,7,FALSE),-10000))</f>
        <v>1228.0093010000001</v>
      </c>
      <c r="S227">
        <f>IF(O227=O226,Q226+S226,Q227)</f>
        <v>30218.076500000003</v>
      </c>
      <c r="T227">
        <f>IF(O227=O226,T226+1,1)</f>
        <v>2</v>
      </c>
      <c r="U227" t="str">
        <f>IF(O227=O228,"",S227/T227)</f>
        <v/>
      </c>
      <c r="V227" t="str">
        <f>IF(U227="","",IF(ABS(Q227-U227)&gt;V$1,"error",""))</f>
        <v/>
      </c>
    </row>
    <row r="228" spans="1:22" x14ac:dyDescent="0.55000000000000004">
      <c r="A228">
        <v>13607.92</v>
      </c>
      <c r="B228" s="1">
        <v>0.01</v>
      </c>
      <c r="C228" s="1">
        <v>0.01</v>
      </c>
      <c r="D228" s="2" t="s">
        <v>1121</v>
      </c>
      <c r="E228">
        <v>2</v>
      </c>
      <c r="F228" s="2" t="s">
        <v>2</v>
      </c>
      <c r="G228">
        <v>0</v>
      </c>
      <c r="H228">
        <v>19.5</v>
      </c>
      <c r="I228" s="2" t="s">
        <v>0</v>
      </c>
      <c r="J228">
        <v>2</v>
      </c>
      <c r="K228" s="2" t="s">
        <v>1</v>
      </c>
      <c r="L228">
        <v>0</v>
      </c>
      <c r="M228">
        <v>19.5</v>
      </c>
      <c r="N228" s="2" t="s">
        <v>1339</v>
      </c>
      <c r="O228" t="str">
        <f>D228&amp;"-"&amp;E228&amp;"-"&amp;F228&amp;"-"&amp;G228&amp;"-"&amp;H228</f>
        <v>A-2-e-0-19.5</v>
      </c>
      <c r="P228" t="str">
        <f>I228&amp;"-"&amp;J228&amp;"-"&amp;K228&amp;"-"&amp;L228&amp;"-"&amp;M228</f>
        <v>X-2-f-0-19.5</v>
      </c>
      <c r="Q228">
        <f>A228+R228</f>
        <v>15109.077331</v>
      </c>
      <c r="R228">
        <f>_xlfn.IFNA(VLOOKUP(P228,PGOPHER!A$2:G$181,7,FALSE),_xlfn.IFNA(VLOOKUP(P228,en!A$2:I$768,7,FALSE),-10000))</f>
        <v>1501.1573310000001</v>
      </c>
      <c r="S228">
        <f>IF(O228=O227,Q227+S227,Q228)</f>
        <v>45327.175801000005</v>
      </c>
      <c r="T228">
        <f>IF(O228=O227,T227+1,1)</f>
        <v>3</v>
      </c>
      <c r="U228">
        <f>IF(O228=O229,"",S228/T228)</f>
        <v>15109.058600333336</v>
      </c>
      <c r="V228" t="str">
        <f>IF(U228="","",IF(ABS(Q228-U228)&gt;V$1,"error",""))</f>
        <v/>
      </c>
    </row>
    <row r="229" spans="1:22" x14ac:dyDescent="0.55000000000000004">
      <c r="A229">
        <v>13740.28</v>
      </c>
      <c r="B229" s="1">
        <v>0.01</v>
      </c>
      <c r="C229" s="1">
        <v>0.01</v>
      </c>
      <c r="D229" s="2" t="s">
        <v>1121</v>
      </c>
      <c r="E229">
        <v>2</v>
      </c>
      <c r="F229" s="2" t="s">
        <v>1</v>
      </c>
      <c r="G229">
        <v>0</v>
      </c>
      <c r="H229">
        <v>19.5</v>
      </c>
      <c r="I229" s="2" t="s">
        <v>0</v>
      </c>
      <c r="J229">
        <v>2</v>
      </c>
      <c r="K229" s="2" t="s">
        <v>1</v>
      </c>
      <c r="L229">
        <v>0</v>
      </c>
      <c r="M229">
        <v>18.5</v>
      </c>
      <c r="N229" s="2" t="s">
        <v>1341</v>
      </c>
      <c r="O229" t="str">
        <f>D229&amp;"-"&amp;E229&amp;"-"&amp;F229&amp;"-"&amp;G229&amp;"-"&amp;H229</f>
        <v>A-2-f-0-19.5</v>
      </c>
      <c r="P229" t="str">
        <f>I229&amp;"-"&amp;J229&amp;"-"&amp;K229&amp;"-"&amp;L229&amp;"-"&amp;M229</f>
        <v>X-2-f-0-18.5</v>
      </c>
      <c r="Q229">
        <f>A229+R229</f>
        <v>15100.424546</v>
      </c>
      <c r="R229">
        <f>_xlfn.IFNA(VLOOKUP(P229,PGOPHER!A$2:G$181,7,FALSE),_xlfn.IFNA(VLOOKUP(P229,en!A$2:I$768,7,FALSE),-10000))</f>
        <v>1360.144546</v>
      </c>
      <c r="S229">
        <f>IF(O229=O228,Q228+S228,Q229)</f>
        <v>15100.424546</v>
      </c>
      <c r="T229">
        <f>IF(O229=O228,T228+1,1)</f>
        <v>1</v>
      </c>
      <c r="U229" t="str">
        <f>IF(O229=O230,"",S229/T229)</f>
        <v/>
      </c>
      <c r="V229" t="str">
        <f>IF(U229="","",IF(ABS(Q229-U229)&gt;V$1,"error",""))</f>
        <v/>
      </c>
    </row>
    <row r="230" spans="1:22" x14ac:dyDescent="0.55000000000000004">
      <c r="A230">
        <v>13737.9</v>
      </c>
      <c r="B230" s="1">
        <v>5.6050000000000003E-2</v>
      </c>
      <c r="C230" s="1">
        <v>5.6050000000000003E-2</v>
      </c>
      <c r="D230" s="2" t="s">
        <v>1121</v>
      </c>
      <c r="E230">
        <v>2</v>
      </c>
      <c r="F230" s="2" t="s">
        <v>1</v>
      </c>
      <c r="G230">
        <v>0</v>
      </c>
      <c r="H230">
        <v>19.5</v>
      </c>
      <c r="I230" s="2" t="s">
        <v>0</v>
      </c>
      <c r="J230">
        <v>1</v>
      </c>
      <c r="K230" s="2" t="s">
        <v>2</v>
      </c>
      <c r="L230">
        <v>0</v>
      </c>
      <c r="M230">
        <v>19.5</v>
      </c>
      <c r="N230" s="2" t="s">
        <v>1340</v>
      </c>
      <c r="O230" t="str">
        <f>D230&amp;"-"&amp;E230&amp;"-"&amp;F230&amp;"-"&amp;G230&amp;"-"&amp;H230</f>
        <v>A-2-f-0-19.5</v>
      </c>
      <c r="P230" t="str">
        <f>I230&amp;"-"&amp;J230&amp;"-"&amp;K230&amp;"-"&amp;L230&amp;"-"&amp;M230</f>
        <v>X-1-e-0-19.5</v>
      </c>
      <c r="Q230">
        <f>A230+R230</f>
        <v>15100.375104999999</v>
      </c>
      <c r="R230">
        <f>_xlfn.IFNA(VLOOKUP(P230,PGOPHER!A$2:G$181,7,FALSE),_xlfn.IFNA(VLOOKUP(P230,en!A$2:I$768,7,FALSE),-10000))</f>
        <v>1362.475105</v>
      </c>
      <c r="S230">
        <f>IF(O230=O229,Q229+S229,Q230)</f>
        <v>30200.849092</v>
      </c>
      <c r="T230">
        <f>IF(O230=O229,T229+1,1)</f>
        <v>2</v>
      </c>
      <c r="U230" t="str">
        <f>IF(O230=O231,"",S230/T230)</f>
        <v/>
      </c>
      <c r="V230" t="str">
        <f>IF(U230="","",IF(ABS(Q230-U230)&gt;V$1,"error",""))</f>
        <v/>
      </c>
    </row>
    <row r="231" spans="1:22" x14ac:dyDescent="0.55000000000000004">
      <c r="A231">
        <v>13451.69</v>
      </c>
      <c r="B231" s="1">
        <v>5.4859999999999999E-2</v>
      </c>
      <c r="C231" s="1">
        <v>5.4859999999999999E-2</v>
      </c>
      <c r="D231" s="2" t="s">
        <v>1121</v>
      </c>
      <c r="E231">
        <v>2</v>
      </c>
      <c r="F231" s="2" t="s">
        <v>1</v>
      </c>
      <c r="G231">
        <v>0</v>
      </c>
      <c r="H231">
        <v>19.5</v>
      </c>
      <c r="I231" s="2" t="s">
        <v>0</v>
      </c>
      <c r="J231">
        <v>2</v>
      </c>
      <c r="K231" s="2" t="s">
        <v>1</v>
      </c>
      <c r="L231">
        <v>0</v>
      </c>
      <c r="M231">
        <v>20.5</v>
      </c>
      <c r="N231" s="2" t="s">
        <v>1337</v>
      </c>
      <c r="O231" t="str">
        <f>D231&amp;"-"&amp;E231&amp;"-"&amp;F231&amp;"-"&amp;G231&amp;"-"&amp;H231</f>
        <v>A-2-f-0-19.5</v>
      </c>
      <c r="P231" t="str">
        <f>I231&amp;"-"&amp;J231&amp;"-"&amp;K231&amp;"-"&amp;L231&amp;"-"&amp;M231</f>
        <v>X-2-f-0-20.5</v>
      </c>
      <c r="Q231">
        <f>A231+R231</f>
        <v>15100.471570000002</v>
      </c>
      <c r="R231">
        <f>_xlfn.IFNA(VLOOKUP(P231,PGOPHER!A$2:G$181,7,FALSE),_xlfn.IFNA(VLOOKUP(P231,en!A$2:I$768,7,FALSE),-10000))</f>
        <v>1648.7815700000001</v>
      </c>
      <c r="S231">
        <f>IF(O231=O230,Q230+S230,Q231)</f>
        <v>45301.224197000003</v>
      </c>
      <c r="T231">
        <f>IF(O231=O230,T230+1,1)</f>
        <v>3</v>
      </c>
      <c r="U231">
        <f>IF(O231=O232,"",S231/T231)</f>
        <v>15100.408065666668</v>
      </c>
      <c r="V231" t="str">
        <f>IF(U231="","",IF(ABS(Q231-U231)&gt;V$1,"error",""))</f>
        <v/>
      </c>
    </row>
    <row r="232" spans="1:22" x14ac:dyDescent="0.55000000000000004">
      <c r="A232">
        <v>13332.02</v>
      </c>
      <c r="B232" s="1">
        <v>4.8599999999999997E-2</v>
      </c>
      <c r="C232" s="1">
        <v>4.8599999999999997E-2</v>
      </c>
      <c r="D232" s="2" t="s">
        <v>1121</v>
      </c>
      <c r="E232">
        <v>1</v>
      </c>
      <c r="F232" s="2" t="s">
        <v>2</v>
      </c>
      <c r="G232">
        <v>0</v>
      </c>
      <c r="H232">
        <v>20.5</v>
      </c>
      <c r="I232" s="2" t="s">
        <v>0</v>
      </c>
      <c r="J232">
        <v>1</v>
      </c>
      <c r="K232" s="2" t="s">
        <v>2</v>
      </c>
      <c r="L232">
        <v>0</v>
      </c>
      <c r="M232">
        <v>21.5</v>
      </c>
      <c r="N232" s="2" t="s">
        <v>1356</v>
      </c>
      <c r="O232" t="str">
        <f>D232&amp;"-"&amp;E232&amp;"-"&amp;F232&amp;"-"&amp;G232&amp;"-"&amp;H232</f>
        <v>A-1-e-0-20.5</v>
      </c>
      <c r="P232" t="str">
        <f>I232&amp;"-"&amp;J232&amp;"-"&amp;K232&amp;"-"&amp;L232&amp;"-"&amp;M232</f>
        <v>X-1-e-0-21.5</v>
      </c>
      <c r="Q232">
        <f>A232+R232</f>
        <v>14983.349235</v>
      </c>
      <c r="R232">
        <f>_xlfn.IFNA(VLOOKUP(P232,PGOPHER!A$2:G$181,7,FALSE),_xlfn.IFNA(VLOOKUP(P232,en!A$2:I$768,7,FALSE),-10000))</f>
        <v>1651.3292349999999</v>
      </c>
      <c r="S232">
        <f>IF(O232=O231,Q231+S231,Q232)</f>
        <v>14983.349235</v>
      </c>
      <c r="T232">
        <f>IF(O232=O231,T231+1,1)</f>
        <v>1</v>
      </c>
      <c r="U232" t="str">
        <f>IF(O232=O233,"",S232/T232)</f>
        <v/>
      </c>
      <c r="V232" t="str">
        <f>IF(U232="","",IF(ABS(Q232-U232)&gt;V$1,"error",""))</f>
        <v/>
      </c>
    </row>
    <row r="233" spans="1:22" x14ac:dyDescent="0.55000000000000004">
      <c r="A233">
        <v>13620.82</v>
      </c>
      <c r="B233" s="1">
        <v>2.3099999999999999E-2</v>
      </c>
      <c r="C233" s="1">
        <v>2.3099999999999999E-2</v>
      </c>
      <c r="D233" s="2" t="s">
        <v>1121</v>
      </c>
      <c r="E233">
        <v>1</v>
      </c>
      <c r="F233" s="2" t="s">
        <v>2</v>
      </c>
      <c r="G233">
        <v>0</v>
      </c>
      <c r="H233">
        <v>20.5</v>
      </c>
      <c r="I233" s="2" t="s">
        <v>0</v>
      </c>
      <c r="J233">
        <v>1</v>
      </c>
      <c r="K233" s="2" t="s">
        <v>2</v>
      </c>
      <c r="L233">
        <v>0</v>
      </c>
      <c r="M233">
        <v>19.5</v>
      </c>
      <c r="N233" s="2" t="s">
        <v>1360</v>
      </c>
      <c r="O233" t="str">
        <f>D233&amp;"-"&amp;E233&amp;"-"&amp;F233&amp;"-"&amp;G233&amp;"-"&amp;H233</f>
        <v>A-1-e-0-20.5</v>
      </c>
      <c r="P233" t="str">
        <f>I233&amp;"-"&amp;J233&amp;"-"&amp;K233&amp;"-"&amp;L233&amp;"-"&amp;M233</f>
        <v>X-1-e-0-19.5</v>
      </c>
      <c r="Q233">
        <f>A233+R233</f>
        <v>14983.295104999999</v>
      </c>
      <c r="R233">
        <f>_xlfn.IFNA(VLOOKUP(P233,PGOPHER!A$2:G$181,7,FALSE),_xlfn.IFNA(VLOOKUP(P233,en!A$2:I$768,7,FALSE),-10000))</f>
        <v>1362.475105</v>
      </c>
      <c r="S233">
        <f>IF(O233=O232,Q232+S232,Q233)</f>
        <v>29966.698469999999</v>
      </c>
      <c r="T233">
        <f>IF(O233=O232,T232+1,1)</f>
        <v>2</v>
      </c>
      <c r="U233" t="str">
        <f>IF(O233=O234,"",S233/T233)</f>
        <v/>
      </c>
      <c r="V233" t="str">
        <f>IF(U233="","",IF(ABS(Q233-U233)&gt;V$1,"error",""))</f>
        <v/>
      </c>
    </row>
    <row r="234" spans="1:22" x14ac:dyDescent="0.55000000000000004">
      <c r="A234">
        <v>13334.52</v>
      </c>
      <c r="B234" s="1">
        <v>1.119E-2</v>
      </c>
      <c r="C234" s="1">
        <v>1.119E-2</v>
      </c>
      <c r="D234" s="2" t="s">
        <v>1121</v>
      </c>
      <c r="E234">
        <v>1</v>
      </c>
      <c r="F234" s="2" t="s">
        <v>2</v>
      </c>
      <c r="G234">
        <v>0</v>
      </c>
      <c r="H234">
        <v>20.5</v>
      </c>
      <c r="I234" s="2" t="s">
        <v>0</v>
      </c>
      <c r="J234">
        <v>2</v>
      </c>
      <c r="K234" s="2" t="s">
        <v>1</v>
      </c>
      <c r="L234">
        <v>0</v>
      </c>
      <c r="M234">
        <v>20.5</v>
      </c>
      <c r="N234" s="2" t="s">
        <v>1357</v>
      </c>
      <c r="O234" t="str">
        <f>D234&amp;"-"&amp;E234&amp;"-"&amp;F234&amp;"-"&amp;G234&amp;"-"&amp;H234</f>
        <v>A-1-e-0-20.5</v>
      </c>
      <c r="P234" t="str">
        <f>I234&amp;"-"&amp;J234&amp;"-"&amp;K234&amp;"-"&amp;L234&amp;"-"&amp;M234</f>
        <v>X-2-f-0-20.5</v>
      </c>
      <c r="Q234">
        <f>A234+R234</f>
        <v>14983.30157</v>
      </c>
      <c r="R234">
        <f>_xlfn.IFNA(VLOOKUP(P234,PGOPHER!A$2:G$181,7,FALSE),_xlfn.IFNA(VLOOKUP(P234,en!A$2:I$768,7,FALSE),-10000))</f>
        <v>1648.7815700000001</v>
      </c>
      <c r="S234">
        <f>IF(O234=O233,Q233+S233,Q234)</f>
        <v>44949.993575</v>
      </c>
      <c r="T234">
        <f>IF(O234=O233,T233+1,1)</f>
        <v>3</v>
      </c>
      <c r="U234">
        <f>IF(O234=O235,"",S234/T234)</f>
        <v>14983.331191666666</v>
      </c>
      <c r="V234" t="str">
        <f>IF(U234="","",IF(ABS(Q234-U234)&gt;V$1,"error",""))</f>
        <v/>
      </c>
    </row>
    <row r="235" spans="1:22" x14ac:dyDescent="0.55000000000000004">
      <c r="A235">
        <v>13417.41</v>
      </c>
      <c r="B235" s="1">
        <v>0.01</v>
      </c>
      <c r="C235" s="1">
        <v>0.01</v>
      </c>
      <c r="D235" s="2" t="s">
        <v>1121</v>
      </c>
      <c r="E235">
        <v>1</v>
      </c>
      <c r="F235" s="2" t="s">
        <v>1</v>
      </c>
      <c r="G235">
        <v>0</v>
      </c>
      <c r="H235">
        <v>20.5</v>
      </c>
      <c r="I235" s="2" t="s">
        <v>0</v>
      </c>
      <c r="J235">
        <v>2</v>
      </c>
      <c r="K235" s="2" t="s">
        <v>1</v>
      </c>
      <c r="L235">
        <v>0</v>
      </c>
      <c r="M235">
        <v>19.5</v>
      </c>
      <c r="N235" s="2" t="s">
        <v>1359</v>
      </c>
      <c r="O235" t="str">
        <f>D235&amp;"-"&amp;E235&amp;"-"&amp;F235&amp;"-"&amp;G235&amp;"-"&amp;H235</f>
        <v>A-1-f-0-20.5</v>
      </c>
      <c r="P235" t="str">
        <f>I235&amp;"-"&amp;J235&amp;"-"&amp;K235&amp;"-"&amp;L235&amp;"-"&amp;M235</f>
        <v>X-2-f-0-19.5</v>
      </c>
      <c r="Q235">
        <f>A235+R235</f>
        <v>14918.567331</v>
      </c>
      <c r="R235">
        <f>_xlfn.IFNA(VLOOKUP(P235,PGOPHER!A$2:G$181,7,FALSE),_xlfn.IFNA(VLOOKUP(P235,en!A$2:I$768,7,FALSE),-10000))</f>
        <v>1501.1573310000001</v>
      </c>
      <c r="S235">
        <f>IF(O235=O234,Q234+S234,Q235)</f>
        <v>14918.567331</v>
      </c>
      <c r="T235">
        <f>IF(O235=O234,T234+1,1)</f>
        <v>1</v>
      </c>
      <c r="U235" t="str">
        <f>IF(O235=O236,"",S235/T235)</f>
        <v/>
      </c>
      <c r="V235" t="str">
        <f>IF(U235="","",IF(ABS(Q235-U235)&gt;V$1,"error",""))</f>
        <v/>
      </c>
    </row>
    <row r="236" spans="1:22" x14ac:dyDescent="0.55000000000000004">
      <c r="A236">
        <v>13414.99</v>
      </c>
      <c r="B236" s="1">
        <v>1.503E-2</v>
      </c>
      <c r="C236" s="1">
        <v>1.503E-2</v>
      </c>
      <c r="D236" s="2" t="s">
        <v>1121</v>
      </c>
      <c r="E236">
        <v>1</v>
      </c>
      <c r="F236" s="2" t="s">
        <v>1</v>
      </c>
      <c r="G236">
        <v>0</v>
      </c>
      <c r="H236">
        <v>20.5</v>
      </c>
      <c r="I236" s="2" t="s">
        <v>0</v>
      </c>
      <c r="J236">
        <v>1</v>
      </c>
      <c r="K236" s="2" t="s">
        <v>2</v>
      </c>
      <c r="L236">
        <v>0</v>
      </c>
      <c r="M236">
        <v>20.5</v>
      </c>
      <c r="N236" s="2" t="s">
        <v>1358</v>
      </c>
      <c r="O236" t="str">
        <f>D236&amp;"-"&amp;E236&amp;"-"&amp;F236&amp;"-"&amp;G236&amp;"-"&amp;H236</f>
        <v>A-1-f-0-20.5</v>
      </c>
      <c r="P236" t="str">
        <f>I236&amp;"-"&amp;J236&amp;"-"&amp;K236&amp;"-"&amp;L236&amp;"-"&amp;M236</f>
        <v>X-1-e-0-20.5</v>
      </c>
      <c r="Q236">
        <f>A236+R236</f>
        <v>14918.588250000001</v>
      </c>
      <c r="R236">
        <f>_xlfn.IFNA(VLOOKUP(P236,PGOPHER!A$2:G$181,7,FALSE),_xlfn.IFNA(VLOOKUP(P236,en!A$2:I$768,7,FALSE),-10000))</f>
        <v>1503.59825</v>
      </c>
      <c r="S236">
        <f>IF(O236=O235,Q235+S235,Q236)</f>
        <v>29837.134662</v>
      </c>
      <c r="T236">
        <f>IF(O236=O235,T235+1,1)</f>
        <v>2</v>
      </c>
      <c r="U236" t="str">
        <f>IF(O236=O237,"",S236/T236)</f>
        <v/>
      </c>
      <c r="V236" t="str">
        <f>IF(U236="","",IF(ABS(Q236-U236)&gt;V$1,"error",""))</f>
        <v/>
      </c>
    </row>
    <row r="237" spans="1:22" x14ac:dyDescent="0.55000000000000004">
      <c r="A237">
        <v>13115.46</v>
      </c>
      <c r="B237" s="1">
        <v>0.19470000000000001</v>
      </c>
      <c r="C237" s="1">
        <v>0.19470000000000001</v>
      </c>
      <c r="D237" s="2" t="s">
        <v>1121</v>
      </c>
      <c r="E237">
        <v>1</v>
      </c>
      <c r="F237" s="2" t="s">
        <v>1</v>
      </c>
      <c r="G237">
        <v>0</v>
      </c>
      <c r="H237">
        <v>20.5</v>
      </c>
      <c r="I237" s="2" t="s">
        <v>0</v>
      </c>
      <c r="J237">
        <v>2</v>
      </c>
      <c r="K237" s="2" t="s">
        <v>1</v>
      </c>
      <c r="L237">
        <v>0</v>
      </c>
      <c r="M237">
        <v>21.5</v>
      </c>
      <c r="N237" s="2" t="s">
        <v>1355</v>
      </c>
      <c r="O237" t="str">
        <f>D237&amp;"-"&amp;E237&amp;"-"&amp;F237&amp;"-"&amp;G237&amp;"-"&amp;H237</f>
        <v>A-1-f-0-20.5</v>
      </c>
      <c r="P237" t="str">
        <f>I237&amp;"-"&amp;J237&amp;"-"&amp;K237&amp;"-"&amp;L237&amp;"-"&amp;M237</f>
        <v>X-2-f-0-21.5</v>
      </c>
      <c r="Q237">
        <f>A237+R237</f>
        <v>14918.396218999998</v>
      </c>
      <c r="R237">
        <f>_xlfn.IFNA(VLOOKUP(P237,PGOPHER!A$2:G$181,7,FALSE),_xlfn.IFNA(VLOOKUP(P237,en!A$2:I$768,7,FALSE),-10000))</f>
        <v>1802.9362189999999</v>
      </c>
      <c r="S237">
        <f>IF(O237=O236,Q236+S236,Q237)</f>
        <v>44755.722911999997</v>
      </c>
      <c r="T237">
        <f>IF(O237=O236,T236+1,1)</f>
        <v>3</v>
      </c>
      <c r="U237">
        <f>IF(O237=O238,"",S237/T237)</f>
        <v>14918.574304</v>
      </c>
      <c r="V237" t="str">
        <f>IF(U237="","",IF(ABS(Q237-U237)&gt;V$1,"error",""))</f>
        <v/>
      </c>
    </row>
    <row r="238" spans="1:22" x14ac:dyDescent="0.55000000000000004">
      <c r="A238">
        <v>13605.44</v>
      </c>
      <c r="B238" s="1">
        <v>1.2290000000000001E-2</v>
      </c>
      <c r="C238" s="1">
        <v>1.2290000000000001E-2</v>
      </c>
      <c r="D238" s="2" t="s">
        <v>1121</v>
      </c>
      <c r="E238">
        <v>2</v>
      </c>
      <c r="F238" s="2" t="s">
        <v>2</v>
      </c>
      <c r="G238">
        <v>0</v>
      </c>
      <c r="H238">
        <v>20.5</v>
      </c>
      <c r="I238" s="2" t="s">
        <v>0</v>
      </c>
      <c r="J238">
        <v>1</v>
      </c>
      <c r="K238" s="2" t="s">
        <v>2</v>
      </c>
      <c r="L238">
        <v>0</v>
      </c>
      <c r="M238">
        <v>21.5</v>
      </c>
      <c r="N238" s="2" t="s">
        <v>1350</v>
      </c>
      <c r="O238" t="str">
        <f>D238&amp;"-"&amp;E238&amp;"-"&amp;F238&amp;"-"&amp;G238&amp;"-"&amp;H238</f>
        <v>A-2-e-0-20.5</v>
      </c>
      <c r="P238" t="str">
        <f>I238&amp;"-"&amp;J238&amp;"-"&amp;K238&amp;"-"&amp;L238&amp;"-"&amp;M238</f>
        <v>X-1-e-0-21.5</v>
      </c>
      <c r="Q238">
        <f>A238+R238</f>
        <v>15256.769235</v>
      </c>
      <c r="R238">
        <f>_xlfn.IFNA(VLOOKUP(P238,PGOPHER!A$2:G$181,7,FALSE),_xlfn.IFNA(VLOOKUP(P238,en!A$2:I$768,7,FALSE),-10000))</f>
        <v>1651.3292349999999</v>
      </c>
      <c r="S238">
        <f>IF(O238=O237,Q237+S237,Q238)</f>
        <v>15256.769235</v>
      </c>
      <c r="T238">
        <f>IF(O238=O237,T237+1,1)</f>
        <v>1</v>
      </c>
      <c r="U238" t="str">
        <f>IF(O238=O239,"",S238/T238)</f>
        <v/>
      </c>
      <c r="V238" t="str">
        <f>IF(U238="","",IF(ABS(Q238-U238)&gt;V$1,"error",""))</f>
        <v/>
      </c>
    </row>
    <row r="239" spans="1:22" x14ac:dyDescent="0.55000000000000004">
      <c r="A239">
        <v>13894.32</v>
      </c>
      <c r="B239" s="1">
        <v>4.2900000000000001E-2</v>
      </c>
      <c r="C239" s="1">
        <v>4.2900000000000001E-2</v>
      </c>
      <c r="D239" s="2" t="s">
        <v>1121</v>
      </c>
      <c r="E239">
        <v>2</v>
      </c>
      <c r="F239" s="2" t="s">
        <v>2</v>
      </c>
      <c r="G239">
        <v>0</v>
      </c>
      <c r="H239">
        <v>20.5</v>
      </c>
      <c r="I239" s="2" t="s">
        <v>0</v>
      </c>
      <c r="J239">
        <v>1</v>
      </c>
      <c r="K239" s="2" t="s">
        <v>2</v>
      </c>
      <c r="L239">
        <v>0</v>
      </c>
      <c r="M239">
        <v>19.5</v>
      </c>
      <c r="N239" s="2" t="s">
        <v>1354</v>
      </c>
      <c r="O239" t="str">
        <f>D239&amp;"-"&amp;E239&amp;"-"&amp;F239&amp;"-"&amp;G239&amp;"-"&amp;H239</f>
        <v>A-2-e-0-20.5</v>
      </c>
      <c r="P239" t="str">
        <f>I239&amp;"-"&amp;J239&amp;"-"&amp;K239&amp;"-"&amp;L239&amp;"-"&amp;M239</f>
        <v>X-1-e-0-19.5</v>
      </c>
      <c r="Q239">
        <f>A239+R239</f>
        <v>15256.795104999999</v>
      </c>
      <c r="R239">
        <f>_xlfn.IFNA(VLOOKUP(P239,PGOPHER!A$2:G$181,7,FALSE),_xlfn.IFNA(VLOOKUP(P239,en!A$2:I$768,7,FALSE),-10000))</f>
        <v>1362.475105</v>
      </c>
      <c r="S239">
        <f>IF(O239=O238,Q238+S238,Q239)</f>
        <v>30513.53847</v>
      </c>
      <c r="T239">
        <f>IF(O239=O238,T238+1,1)</f>
        <v>2</v>
      </c>
      <c r="U239" t="str">
        <f>IF(O239=O240,"",S239/T239)</f>
        <v/>
      </c>
      <c r="V239" t="str">
        <f>IF(U239="","",IF(ABS(Q239-U239)&gt;V$1,"error",""))</f>
        <v/>
      </c>
    </row>
    <row r="240" spans="1:22" x14ac:dyDescent="0.55000000000000004">
      <c r="A240">
        <v>13607.92</v>
      </c>
      <c r="B240" s="1">
        <v>7.2160000000000002E-2</v>
      </c>
      <c r="C240" s="1">
        <v>7.2160000000000002E-2</v>
      </c>
      <c r="D240" s="2" t="s">
        <v>1121</v>
      </c>
      <c r="E240">
        <v>2</v>
      </c>
      <c r="F240" s="2" t="s">
        <v>2</v>
      </c>
      <c r="G240">
        <v>0</v>
      </c>
      <c r="H240">
        <v>20.5</v>
      </c>
      <c r="I240" s="2" t="s">
        <v>0</v>
      </c>
      <c r="J240">
        <v>2</v>
      </c>
      <c r="K240" s="2" t="s">
        <v>1</v>
      </c>
      <c r="L240">
        <v>0</v>
      </c>
      <c r="M240">
        <v>20.5</v>
      </c>
      <c r="N240" s="2" t="s">
        <v>1351</v>
      </c>
      <c r="O240" t="str">
        <f>D240&amp;"-"&amp;E240&amp;"-"&amp;F240&amp;"-"&amp;G240&amp;"-"&amp;H240</f>
        <v>A-2-e-0-20.5</v>
      </c>
      <c r="P240" t="str">
        <f>I240&amp;"-"&amp;J240&amp;"-"&amp;K240&amp;"-"&amp;L240&amp;"-"&amp;M240</f>
        <v>X-2-f-0-20.5</v>
      </c>
      <c r="Q240">
        <f>A240+R240</f>
        <v>15256.701570000001</v>
      </c>
      <c r="R240">
        <f>_xlfn.IFNA(VLOOKUP(P240,PGOPHER!A$2:G$181,7,FALSE),_xlfn.IFNA(VLOOKUP(P240,en!A$2:I$768,7,FALSE),-10000))</f>
        <v>1648.7815700000001</v>
      </c>
      <c r="S240">
        <f>IF(O240=O239,Q239+S239,Q240)</f>
        <v>45770.333574999997</v>
      </c>
      <c r="T240">
        <f>IF(O240=O239,T239+1,1)</f>
        <v>3</v>
      </c>
      <c r="U240">
        <f>IF(O240=O241,"",S240/T240)</f>
        <v>15256.777858333333</v>
      </c>
      <c r="V240" t="str">
        <f>IF(U240="","",IF(ABS(Q240-U240)&gt;V$1,"error",""))</f>
        <v/>
      </c>
    </row>
    <row r="241" spans="1:22" x14ac:dyDescent="0.55000000000000004">
      <c r="A241">
        <v>13745.59</v>
      </c>
      <c r="B241" s="1">
        <v>9.6600000000000005E-2</v>
      </c>
      <c r="C241" s="1">
        <v>9.6600000000000005E-2</v>
      </c>
      <c r="D241" s="2" t="s">
        <v>1121</v>
      </c>
      <c r="E241">
        <v>2</v>
      </c>
      <c r="F241" s="2" t="s">
        <v>1</v>
      </c>
      <c r="G241">
        <v>0</v>
      </c>
      <c r="H241">
        <v>20.5</v>
      </c>
      <c r="I241" s="2" t="s">
        <v>0</v>
      </c>
      <c r="J241">
        <v>2</v>
      </c>
      <c r="K241" s="2" t="s">
        <v>1</v>
      </c>
      <c r="L241">
        <v>0</v>
      </c>
      <c r="M241">
        <v>19.5</v>
      </c>
      <c r="N241" s="2" t="s">
        <v>1353</v>
      </c>
      <c r="O241" t="str">
        <f>D241&amp;"-"&amp;E241&amp;"-"&amp;F241&amp;"-"&amp;G241&amp;"-"&amp;H241</f>
        <v>A-2-f-0-20.5</v>
      </c>
      <c r="P241" t="str">
        <f>I241&amp;"-"&amp;J241&amp;"-"&amp;K241&amp;"-"&amp;L241&amp;"-"&amp;M241</f>
        <v>X-2-f-0-19.5</v>
      </c>
      <c r="Q241">
        <f>A241+R241</f>
        <v>15246.747331</v>
      </c>
      <c r="R241">
        <f>_xlfn.IFNA(VLOOKUP(P241,PGOPHER!A$2:G$181,7,FALSE),_xlfn.IFNA(VLOOKUP(P241,en!A$2:I$768,7,FALSE),-10000))</f>
        <v>1501.1573310000001</v>
      </c>
      <c r="S241">
        <f>IF(O241=O240,Q240+S240,Q241)</f>
        <v>15246.747331</v>
      </c>
      <c r="T241">
        <f>IF(O241=O240,T240+1,1)</f>
        <v>1</v>
      </c>
      <c r="U241" t="str">
        <f>IF(O241=O242,"",S241/T241)</f>
        <v/>
      </c>
      <c r="V241" t="str">
        <f>IF(U241="","",IF(ABS(Q241-U241)&gt;V$1,"error",""))</f>
        <v/>
      </c>
    </row>
    <row r="242" spans="1:22" x14ac:dyDescent="0.55000000000000004">
      <c r="A242">
        <v>13743.06</v>
      </c>
      <c r="B242" s="1">
        <v>2.445E-2</v>
      </c>
      <c r="C242" s="1">
        <v>2.445E-2</v>
      </c>
      <c r="D242" s="2" t="s">
        <v>1121</v>
      </c>
      <c r="E242">
        <v>2</v>
      </c>
      <c r="F242" s="2" t="s">
        <v>1</v>
      </c>
      <c r="G242">
        <v>0</v>
      </c>
      <c r="H242">
        <v>20.5</v>
      </c>
      <c r="I242" s="2" t="s">
        <v>0</v>
      </c>
      <c r="J242">
        <v>1</v>
      </c>
      <c r="K242" s="2" t="s">
        <v>2</v>
      </c>
      <c r="L242">
        <v>0</v>
      </c>
      <c r="M242">
        <v>20.5</v>
      </c>
      <c r="N242" s="2" t="s">
        <v>1352</v>
      </c>
      <c r="O242" t="str">
        <f>D242&amp;"-"&amp;E242&amp;"-"&amp;F242&amp;"-"&amp;G242&amp;"-"&amp;H242</f>
        <v>A-2-f-0-20.5</v>
      </c>
      <c r="P242" t="str">
        <f>I242&amp;"-"&amp;J242&amp;"-"&amp;K242&amp;"-"&amp;L242&amp;"-"&amp;M242</f>
        <v>X-1-e-0-20.5</v>
      </c>
      <c r="Q242">
        <f>A242+R242</f>
        <v>15246.65825</v>
      </c>
      <c r="R242">
        <f>_xlfn.IFNA(VLOOKUP(P242,PGOPHER!A$2:G$181,7,FALSE),_xlfn.IFNA(VLOOKUP(P242,en!A$2:I$768,7,FALSE),-10000))</f>
        <v>1503.59825</v>
      </c>
      <c r="S242">
        <f>IF(O242=O241,Q241+S241,Q242)</f>
        <v>30493.494662000001</v>
      </c>
      <c r="T242">
        <f>IF(O242=O241,T241+1,1)</f>
        <v>2</v>
      </c>
      <c r="U242" t="str">
        <f>IF(O242=O243,"",S242/T242)</f>
        <v/>
      </c>
      <c r="V242" t="str">
        <f>IF(U242="","",IF(ABS(Q242-U242)&gt;V$1,"error",""))</f>
        <v/>
      </c>
    </row>
    <row r="243" spans="1:22" x14ac:dyDescent="0.55000000000000004">
      <c r="A243">
        <v>13443.69</v>
      </c>
      <c r="B243" s="1">
        <v>5.3240000000000003E-2</v>
      </c>
      <c r="C243" s="1">
        <v>5.3240000000000003E-2</v>
      </c>
      <c r="D243" s="2" t="s">
        <v>1121</v>
      </c>
      <c r="E243">
        <v>2</v>
      </c>
      <c r="F243" s="2" t="s">
        <v>1</v>
      </c>
      <c r="G243">
        <v>0</v>
      </c>
      <c r="H243">
        <v>20.5</v>
      </c>
      <c r="I243" s="2" t="s">
        <v>0</v>
      </c>
      <c r="J243">
        <v>2</v>
      </c>
      <c r="K243" s="2" t="s">
        <v>1</v>
      </c>
      <c r="L243">
        <v>0</v>
      </c>
      <c r="M243">
        <v>21.5</v>
      </c>
      <c r="N243" s="2" t="s">
        <v>1349</v>
      </c>
      <c r="O243" t="str">
        <f>D243&amp;"-"&amp;E243&amp;"-"&amp;F243&amp;"-"&amp;G243&amp;"-"&amp;H243</f>
        <v>A-2-f-0-20.5</v>
      </c>
      <c r="P243" t="str">
        <f>I243&amp;"-"&amp;J243&amp;"-"&amp;K243&amp;"-"&amp;L243&amp;"-"&amp;M243</f>
        <v>X-2-f-0-21.5</v>
      </c>
      <c r="Q243">
        <f>A243+R243</f>
        <v>15246.626219</v>
      </c>
      <c r="R243">
        <f>_xlfn.IFNA(VLOOKUP(P243,PGOPHER!A$2:G$181,7,FALSE),_xlfn.IFNA(VLOOKUP(P243,en!A$2:I$768,7,FALSE),-10000))</f>
        <v>1802.9362189999999</v>
      </c>
      <c r="S243">
        <f>IF(O243=O242,Q242+S242,Q243)</f>
        <v>45740.152912000005</v>
      </c>
      <c r="T243">
        <f>IF(O243=O242,T242+1,1)</f>
        <v>3</v>
      </c>
      <c r="U243">
        <f>IF(O243=O244,"",S243/T243)</f>
        <v>15246.717637333335</v>
      </c>
      <c r="V243" t="str">
        <f>IF(U243="","",IF(ABS(Q243-U243)&gt;V$1,"error",""))</f>
        <v/>
      </c>
    </row>
    <row r="244" spans="1:22" x14ac:dyDescent="0.55000000000000004">
      <c r="A244">
        <v>13330.72</v>
      </c>
      <c r="B244" s="1">
        <v>4.6190000000000002E-2</v>
      </c>
      <c r="C244" s="1">
        <v>4.6190000000000002E-2</v>
      </c>
      <c r="D244" s="2" t="s">
        <v>1121</v>
      </c>
      <c r="E244">
        <v>1</v>
      </c>
      <c r="F244" s="2" t="s">
        <v>2</v>
      </c>
      <c r="G244">
        <v>0</v>
      </c>
      <c r="H244">
        <v>21.5</v>
      </c>
      <c r="I244" s="2" t="s">
        <v>0</v>
      </c>
      <c r="J244">
        <v>1</v>
      </c>
      <c r="K244" s="2" t="s">
        <v>2</v>
      </c>
      <c r="L244">
        <v>0</v>
      </c>
      <c r="M244">
        <v>22.5</v>
      </c>
      <c r="N244" s="2" t="s">
        <v>1368</v>
      </c>
      <c r="O244" t="str">
        <f>D244&amp;"-"&amp;E244&amp;"-"&amp;F244&amp;"-"&amp;G244&amp;"-"&amp;H244</f>
        <v>A-1-e-0-21.5</v>
      </c>
      <c r="P244" t="str">
        <f>I244&amp;"-"&amp;J244&amp;"-"&amp;K244&amp;"-"&amp;L244&amp;"-"&amp;M244</f>
        <v>X-1-e-0-22.5</v>
      </c>
      <c r="Q244">
        <f>A244+R244</f>
        <v>15136.313552</v>
      </c>
      <c r="R244">
        <f>_xlfn.IFNA(VLOOKUP(P244,PGOPHER!A$2:G$181,7,FALSE),_xlfn.IFNA(VLOOKUP(P244,en!A$2:I$768,7,FALSE),-10000))</f>
        <v>1805.593552</v>
      </c>
      <c r="S244">
        <f>IF(O244=O243,Q243+S243,Q244)</f>
        <v>15136.313552</v>
      </c>
      <c r="T244">
        <f>IF(O244=O243,T243+1,1)</f>
        <v>1</v>
      </c>
      <c r="U244" t="str">
        <f>IF(O244=O245,"",S244/T244)</f>
        <v/>
      </c>
      <c r="V244" t="str">
        <f>IF(U244="","",IF(ABS(Q244-U244)&gt;V$1,"error",""))</f>
        <v/>
      </c>
    </row>
    <row r="245" spans="1:22" x14ac:dyDescent="0.55000000000000004">
      <c r="A245">
        <v>13632.67</v>
      </c>
      <c r="B245" s="1">
        <v>0.01</v>
      </c>
      <c r="C245" s="1">
        <v>0.01</v>
      </c>
      <c r="D245" s="2" t="s">
        <v>1121</v>
      </c>
      <c r="E245">
        <v>1</v>
      </c>
      <c r="F245" s="2" t="s">
        <v>2</v>
      </c>
      <c r="G245">
        <v>0</v>
      </c>
      <c r="H245">
        <v>21.5</v>
      </c>
      <c r="I245" s="2" t="s">
        <v>0</v>
      </c>
      <c r="J245">
        <v>1</v>
      </c>
      <c r="K245" s="2" t="s">
        <v>2</v>
      </c>
      <c r="L245">
        <v>0</v>
      </c>
      <c r="M245">
        <v>20.5</v>
      </c>
      <c r="N245" s="2" t="s">
        <v>1372</v>
      </c>
      <c r="O245" t="str">
        <f>D245&amp;"-"&amp;E245&amp;"-"&amp;F245&amp;"-"&amp;G245&amp;"-"&amp;H245</f>
        <v>A-1-e-0-21.5</v>
      </c>
      <c r="P245" t="str">
        <f>I245&amp;"-"&amp;J245&amp;"-"&amp;K245&amp;"-"&amp;L245&amp;"-"&amp;M245</f>
        <v>X-1-e-0-20.5</v>
      </c>
      <c r="Q245">
        <f>A245+R245</f>
        <v>15136.268250000001</v>
      </c>
      <c r="R245">
        <f>_xlfn.IFNA(VLOOKUP(P245,PGOPHER!A$2:G$181,7,FALSE),_xlfn.IFNA(VLOOKUP(P245,en!A$2:I$768,7,FALSE),-10000))</f>
        <v>1503.59825</v>
      </c>
      <c r="S245">
        <f>IF(O245=O244,Q244+S244,Q245)</f>
        <v>30272.627103999999</v>
      </c>
      <c r="T245">
        <f>IF(O245=O244,T244+1,1)</f>
        <v>2</v>
      </c>
      <c r="U245" t="str">
        <f>IF(O245=O246,"",S245/T245)</f>
        <v/>
      </c>
      <c r="V245" t="str">
        <f>IF(U245="","",IF(ABS(Q245-U245)&gt;V$1,"error",""))</f>
        <v/>
      </c>
    </row>
    <row r="246" spans="1:22" x14ac:dyDescent="0.55000000000000004">
      <c r="A246">
        <v>13333.29</v>
      </c>
      <c r="B246" s="1">
        <v>4.299E-2</v>
      </c>
      <c r="C246" s="1">
        <v>4.299E-2</v>
      </c>
      <c r="D246" s="2" t="s">
        <v>1121</v>
      </c>
      <c r="E246">
        <v>1</v>
      </c>
      <c r="F246" s="2" t="s">
        <v>2</v>
      </c>
      <c r="G246">
        <v>0</v>
      </c>
      <c r="H246">
        <v>21.5</v>
      </c>
      <c r="I246" s="2" t="s">
        <v>0</v>
      </c>
      <c r="J246">
        <v>2</v>
      </c>
      <c r="K246" s="2" t="s">
        <v>1</v>
      </c>
      <c r="L246">
        <v>0</v>
      </c>
      <c r="M246">
        <v>21.5</v>
      </c>
      <c r="N246" s="2" t="s">
        <v>1369</v>
      </c>
      <c r="O246" t="str">
        <f>D246&amp;"-"&amp;E246&amp;"-"&amp;F246&amp;"-"&amp;G246&amp;"-"&amp;H246</f>
        <v>A-1-e-0-21.5</v>
      </c>
      <c r="P246" t="str">
        <f>I246&amp;"-"&amp;J246&amp;"-"&amp;K246&amp;"-"&amp;L246&amp;"-"&amp;M246</f>
        <v>X-2-f-0-21.5</v>
      </c>
      <c r="Q246">
        <f>A246+R246</f>
        <v>15136.226219</v>
      </c>
      <c r="R246">
        <f>_xlfn.IFNA(VLOOKUP(P246,PGOPHER!A$2:G$181,7,FALSE),_xlfn.IFNA(VLOOKUP(P246,en!A$2:I$768,7,FALSE),-10000))</f>
        <v>1802.9362189999999</v>
      </c>
      <c r="S246">
        <f>IF(O246=O245,Q245+S245,Q246)</f>
        <v>45408.895354</v>
      </c>
      <c r="T246">
        <f>IF(O246=O245,T245+1,1)</f>
        <v>3</v>
      </c>
      <c r="U246">
        <f>IF(O246=O247,"",S246/T246)</f>
        <v>15136.298451333334</v>
      </c>
      <c r="V246" t="str">
        <f>IF(U246="","",IF(ABS(Q246-U246)&gt;V$1,"error",""))</f>
        <v/>
      </c>
    </row>
    <row r="247" spans="1:22" x14ac:dyDescent="0.55000000000000004">
      <c r="A247">
        <v>13421.64</v>
      </c>
      <c r="B247" s="1">
        <v>5.6529999999999997E-2</v>
      </c>
      <c r="C247" s="1">
        <v>5.6529999999999997E-2</v>
      </c>
      <c r="D247" s="2" t="s">
        <v>1121</v>
      </c>
      <c r="E247">
        <v>1</v>
      </c>
      <c r="F247" s="2" t="s">
        <v>1</v>
      </c>
      <c r="G247">
        <v>0</v>
      </c>
      <c r="H247">
        <v>21.5</v>
      </c>
      <c r="I247" s="2" t="s">
        <v>0</v>
      </c>
      <c r="J247">
        <v>2</v>
      </c>
      <c r="K247" s="2" t="s">
        <v>1</v>
      </c>
      <c r="L247">
        <v>0</v>
      </c>
      <c r="M247">
        <v>20.5</v>
      </c>
      <c r="N247" s="2" t="s">
        <v>1371</v>
      </c>
      <c r="O247" t="str">
        <f>D247&amp;"-"&amp;E247&amp;"-"&amp;F247&amp;"-"&amp;G247&amp;"-"&amp;H247</f>
        <v>A-1-f-0-21.5</v>
      </c>
      <c r="P247" t="str">
        <f>I247&amp;"-"&amp;J247&amp;"-"&amp;K247&amp;"-"&amp;L247&amp;"-"&amp;M247</f>
        <v>X-2-f-0-20.5</v>
      </c>
      <c r="Q247">
        <f>A247+R247</f>
        <v>15070.421569999999</v>
      </c>
      <c r="R247">
        <f>_xlfn.IFNA(VLOOKUP(P247,PGOPHER!A$2:G$181,7,FALSE),_xlfn.IFNA(VLOOKUP(P247,en!A$2:I$768,7,FALSE),-10000))</f>
        <v>1648.7815700000001</v>
      </c>
      <c r="S247">
        <f>IF(O247=O246,Q246+S246,Q247)</f>
        <v>15070.421569999999</v>
      </c>
      <c r="T247">
        <f>IF(O247=O246,T246+1,1)</f>
        <v>1</v>
      </c>
      <c r="U247" t="str">
        <f>IF(O247=O248,"",S247/T247)</f>
        <v/>
      </c>
      <c r="V247" t="str">
        <f>IF(U247="","",IF(ABS(Q247-U247)&gt;V$1,"error",""))</f>
        <v/>
      </c>
    </row>
    <row r="248" spans="1:22" x14ac:dyDescent="0.55000000000000004">
      <c r="A248">
        <v>13419.07</v>
      </c>
      <c r="B248" s="1">
        <v>2.5020000000000001E-2</v>
      </c>
      <c r="C248" s="1">
        <v>2.5020000000000001E-2</v>
      </c>
      <c r="D248" s="2" t="s">
        <v>1121</v>
      </c>
      <c r="E248">
        <v>1</v>
      </c>
      <c r="F248" s="2" t="s">
        <v>1</v>
      </c>
      <c r="G248">
        <v>0</v>
      </c>
      <c r="H248">
        <v>21.5</v>
      </c>
      <c r="I248" s="2" t="s">
        <v>0</v>
      </c>
      <c r="J248">
        <v>1</v>
      </c>
      <c r="K248" s="2" t="s">
        <v>2</v>
      </c>
      <c r="L248">
        <v>0</v>
      </c>
      <c r="M248">
        <v>21.5</v>
      </c>
      <c r="N248" s="2" t="s">
        <v>1370</v>
      </c>
      <c r="O248" t="str">
        <f>D248&amp;"-"&amp;E248&amp;"-"&amp;F248&amp;"-"&amp;G248&amp;"-"&amp;H248</f>
        <v>A-1-f-0-21.5</v>
      </c>
      <c r="P248" t="str">
        <f>I248&amp;"-"&amp;J248&amp;"-"&amp;K248&amp;"-"&amp;L248&amp;"-"&amp;M248</f>
        <v>X-1-e-0-21.5</v>
      </c>
      <c r="Q248">
        <f>A248+R248</f>
        <v>15070.399234999999</v>
      </c>
      <c r="R248">
        <f>_xlfn.IFNA(VLOOKUP(P248,PGOPHER!A$2:G$181,7,FALSE),_xlfn.IFNA(VLOOKUP(P248,en!A$2:I$768,7,FALSE),-10000))</f>
        <v>1651.3292349999999</v>
      </c>
      <c r="S248">
        <f>IF(O248=O247,Q247+S247,Q248)</f>
        <v>30140.843139999997</v>
      </c>
      <c r="T248">
        <f>IF(O248=O247,T247+1,1)</f>
        <v>2</v>
      </c>
      <c r="U248" t="str">
        <f>IF(O248=O249,"",S248/T248)</f>
        <v/>
      </c>
      <c r="V248" t="str">
        <f>IF(U248="","",IF(ABS(Q248-U248)&gt;V$1,"error",""))</f>
        <v/>
      </c>
    </row>
    <row r="249" spans="1:22" x14ac:dyDescent="0.55000000000000004">
      <c r="A249">
        <v>13106.72</v>
      </c>
      <c r="B249" s="1">
        <v>0.1096</v>
      </c>
      <c r="C249" s="1">
        <v>0.1096</v>
      </c>
      <c r="D249" s="2" t="s">
        <v>1121</v>
      </c>
      <c r="E249">
        <v>1</v>
      </c>
      <c r="F249" s="2" t="s">
        <v>1</v>
      </c>
      <c r="G249">
        <v>0</v>
      </c>
      <c r="H249">
        <v>21.5</v>
      </c>
      <c r="I249" s="2" t="s">
        <v>0</v>
      </c>
      <c r="J249">
        <v>2</v>
      </c>
      <c r="K249" s="2" t="s">
        <v>1</v>
      </c>
      <c r="L249">
        <v>0</v>
      </c>
      <c r="M249">
        <v>22.5</v>
      </c>
      <c r="N249" s="2" t="s">
        <v>1367</v>
      </c>
      <c r="O249" t="str">
        <f>D249&amp;"-"&amp;E249&amp;"-"&amp;F249&amp;"-"&amp;G249&amp;"-"&amp;H249</f>
        <v>A-1-f-0-21.5</v>
      </c>
      <c r="P249" t="str">
        <f>I249&amp;"-"&amp;J249&amp;"-"&amp;K249&amp;"-"&amp;L249&amp;"-"&amp;M249</f>
        <v>X-2-f-0-22.5</v>
      </c>
      <c r="Q249">
        <f>A249+R249</f>
        <v>15070.294001999999</v>
      </c>
      <c r="R249">
        <f>_xlfn.IFNA(VLOOKUP(P249,PGOPHER!A$2:G$181,7,FALSE),_xlfn.IFNA(VLOOKUP(P249,en!A$2:I$768,7,FALSE),-10000))</f>
        <v>1963.5740020000001</v>
      </c>
      <c r="S249">
        <f>IF(O249=O248,Q248+S248,Q249)</f>
        <v>45211.242374999994</v>
      </c>
      <c r="T249">
        <f>IF(O249=O248,T248+1,1)</f>
        <v>3</v>
      </c>
      <c r="U249">
        <f>IF(O249=O250,"",S249/T249)</f>
        <v>15070.414124999998</v>
      </c>
      <c r="V249" t="str">
        <f>IF(U249="","",IF(ABS(Q249-U249)&gt;V$1,"error",""))</f>
        <v/>
      </c>
    </row>
    <row r="250" spans="1:22" x14ac:dyDescent="0.55000000000000004">
      <c r="A250">
        <v>13605.44</v>
      </c>
      <c r="B250" s="1">
        <v>8.5809999999999997E-2</v>
      </c>
      <c r="C250" s="1">
        <v>8.5809999999999997E-2</v>
      </c>
      <c r="D250" s="2" t="s">
        <v>1121</v>
      </c>
      <c r="E250">
        <v>2</v>
      </c>
      <c r="F250" s="2" t="s">
        <v>2</v>
      </c>
      <c r="G250">
        <v>0</v>
      </c>
      <c r="H250">
        <v>21.5</v>
      </c>
      <c r="I250" s="2" t="s">
        <v>0</v>
      </c>
      <c r="J250">
        <v>1</v>
      </c>
      <c r="K250" s="2" t="s">
        <v>2</v>
      </c>
      <c r="L250">
        <v>0</v>
      </c>
      <c r="M250">
        <v>22.5</v>
      </c>
      <c r="N250" s="2" t="s">
        <v>1362</v>
      </c>
      <c r="O250" t="str">
        <f>D250&amp;"-"&amp;E250&amp;"-"&amp;F250&amp;"-"&amp;G250&amp;"-"&amp;H250</f>
        <v>A-2-e-0-21.5</v>
      </c>
      <c r="P250" t="str">
        <f>I250&amp;"-"&amp;J250&amp;"-"&amp;K250&amp;"-"&amp;L250&amp;"-"&amp;M250</f>
        <v>X-1-e-0-22.5</v>
      </c>
      <c r="Q250">
        <f>A250+R250</f>
        <v>15411.033552000001</v>
      </c>
      <c r="R250">
        <f>_xlfn.IFNA(VLOOKUP(P250,PGOPHER!A$2:G$181,7,FALSE),_xlfn.IFNA(VLOOKUP(P250,en!A$2:I$768,7,FALSE),-10000))</f>
        <v>1805.593552</v>
      </c>
      <c r="S250">
        <f>IF(O250=O249,Q249+S249,Q250)</f>
        <v>15411.033552000001</v>
      </c>
      <c r="T250">
        <f>IF(O250=O249,T249+1,1)</f>
        <v>1</v>
      </c>
      <c r="U250" t="str">
        <f>IF(O250=O251,"",S250/T250)</f>
        <v/>
      </c>
      <c r="V250" t="str">
        <f>IF(U250="","",IF(ABS(Q250-U250)&gt;V$1,"error",""))</f>
        <v/>
      </c>
    </row>
    <row r="251" spans="1:22" x14ac:dyDescent="0.55000000000000004">
      <c r="A251">
        <v>13907.6</v>
      </c>
      <c r="B251" s="1">
        <v>0.1113</v>
      </c>
      <c r="C251" s="1">
        <v>0.1113</v>
      </c>
      <c r="D251" s="2" t="s">
        <v>1121</v>
      </c>
      <c r="E251">
        <v>2</v>
      </c>
      <c r="F251" s="2" t="s">
        <v>2</v>
      </c>
      <c r="G251">
        <v>0</v>
      </c>
      <c r="H251">
        <v>21.5</v>
      </c>
      <c r="I251" s="2" t="s">
        <v>0</v>
      </c>
      <c r="J251">
        <v>1</v>
      </c>
      <c r="K251" s="2" t="s">
        <v>2</v>
      </c>
      <c r="L251">
        <v>0</v>
      </c>
      <c r="M251">
        <v>20.5</v>
      </c>
      <c r="N251" s="2" t="s">
        <v>1366</v>
      </c>
      <c r="O251" t="str">
        <f>D251&amp;"-"&amp;E251&amp;"-"&amp;F251&amp;"-"&amp;G251&amp;"-"&amp;H251</f>
        <v>A-2-e-0-21.5</v>
      </c>
      <c r="P251" t="str">
        <f>I251&amp;"-"&amp;J251&amp;"-"&amp;K251&amp;"-"&amp;L251&amp;"-"&amp;M251</f>
        <v>X-1-e-0-20.5</v>
      </c>
      <c r="Q251">
        <f>A251+R251</f>
        <v>15411.198250000001</v>
      </c>
      <c r="R251">
        <f>_xlfn.IFNA(VLOOKUP(P251,PGOPHER!A$2:G$181,7,FALSE),_xlfn.IFNA(VLOOKUP(P251,en!A$2:I$768,7,FALSE),-10000))</f>
        <v>1503.59825</v>
      </c>
      <c r="S251">
        <f>IF(O251=O250,Q250+S250,Q251)</f>
        <v>30822.067104000002</v>
      </c>
      <c r="T251">
        <f>IF(O251=O250,T250+1,1)</f>
        <v>2</v>
      </c>
      <c r="U251" t="str">
        <f>IF(O251=O252,"",S251/T251)</f>
        <v/>
      </c>
      <c r="V251" t="str">
        <f>IF(U251="","",IF(ABS(Q251-U251)&gt;V$1,"error",""))</f>
        <v/>
      </c>
    </row>
    <row r="252" spans="1:22" x14ac:dyDescent="0.55000000000000004">
      <c r="A252">
        <v>13608.16</v>
      </c>
      <c r="B252" s="1">
        <v>0.01</v>
      </c>
      <c r="C252" s="1">
        <v>0.01</v>
      </c>
      <c r="D252" s="2" t="s">
        <v>1121</v>
      </c>
      <c r="E252">
        <v>2</v>
      </c>
      <c r="F252" s="2" t="s">
        <v>2</v>
      </c>
      <c r="G252">
        <v>0</v>
      </c>
      <c r="H252">
        <v>21.5</v>
      </c>
      <c r="I252" s="2" t="s">
        <v>0</v>
      </c>
      <c r="J252">
        <v>2</v>
      </c>
      <c r="K252" s="2" t="s">
        <v>1</v>
      </c>
      <c r="L252">
        <v>0</v>
      </c>
      <c r="M252">
        <v>21.5</v>
      </c>
      <c r="N252" s="2" t="s">
        <v>1363</v>
      </c>
      <c r="O252" t="str">
        <f>D252&amp;"-"&amp;E252&amp;"-"&amp;F252&amp;"-"&amp;G252&amp;"-"&amp;H252</f>
        <v>A-2-e-0-21.5</v>
      </c>
      <c r="P252" t="str">
        <f>I252&amp;"-"&amp;J252&amp;"-"&amp;K252&amp;"-"&amp;L252&amp;"-"&amp;M252</f>
        <v>X-2-f-0-21.5</v>
      </c>
      <c r="Q252">
        <f>A252+R252</f>
        <v>15411.096218999999</v>
      </c>
      <c r="R252">
        <f>_xlfn.IFNA(VLOOKUP(P252,PGOPHER!A$2:G$181,7,FALSE),_xlfn.IFNA(VLOOKUP(P252,en!A$2:I$768,7,FALSE),-10000))</f>
        <v>1802.9362189999999</v>
      </c>
      <c r="S252">
        <f>IF(O252=O251,Q251+S251,Q252)</f>
        <v>46233.265354000003</v>
      </c>
      <c r="T252">
        <f>IF(O252=O251,T251+1,1)</f>
        <v>3</v>
      </c>
      <c r="U252">
        <f>IF(O252=O253,"",S252/T252)</f>
        <v>15411.088451333335</v>
      </c>
      <c r="V252" t="str">
        <f>IF(U252="","",IF(ABS(Q252-U252)&gt;V$1,"error",""))</f>
        <v/>
      </c>
    </row>
    <row r="253" spans="1:22" x14ac:dyDescent="0.55000000000000004">
      <c r="A253">
        <v>13750.85</v>
      </c>
      <c r="B253" s="1">
        <v>3.0870000000000002E-2</v>
      </c>
      <c r="C253" s="1">
        <v>3.0870000000000002E-2</v>
      </c>
      <c r="D253" s="2" t="s">
        <v>1121</v>
      </c>
      <c r="E253">
        <v>2</v>
      </c>
      <c r="F253" s="2" t="s">
        <v>1</v>
      </c>
      <c r="G253">
        <v>0</v>
      </c>
      <c r="H253">
        <v>21.5</v>
      </c>
      <c r="I253" s="2" t="s">
        <v>0</v>
      </c>
      <c r="J253">
        <v>2</v>
      </c>
      <c r="K253" s="2" t="s">
        <v>1</v>
      </c>
      <c r="L253">
        <v>0</v>
      </c>
      <c r="M253">
        <v>20.5</v>
      </c>
      <c r="N253" s="2" t="s">
        <v>1365</v>
      </c>
      <c r="O253" t="str">
        <f>D253&amp;"-"&amp;E253&amp;"-"&amp;F253&amp;"-"&amp;G253&amp;"-"&amp;H253</f>
        <v>A-2-f-0-21.5</v>
      </c>
      <c r="P253" t="str">
        <f>I253&amp;"-"&amp;J253&amp;"-"&amp;K253&amp;"-"&amp;L253&amp;"-"&amp;M253</f>
        <v>X-2-f-0-20.5</v>
      </c>
      <c r="Q253">
        <f>A253+R253</f>
        <v>15399.631570000001</v>
      </c>
      <c r="R253">
        <f>_xlfn.IFNA(VLOOKUP(P253,PGOPHER!A$2:G$181,7,FALSE),_xlfn.IFNA(VLOOKUP(P253,en!A$2:I$768,7,FALSE),-10000))</f>
        <v>1648.7815700000001</v>
      </c>
      <c r="S253">
        <f>IF(O253=O252,Q252+S252,Q253)</f>
        <v>15399.631570000001</v>
      </c>
      <c r="T253">
        <f>IF(O253=O252,T252+1,1)</f>
        <v>1</v>
      </c>
      <c r="U253" t="str">
        <f>IF(O253=O254,"",S253/T253)</f>
        <v/>
      </c>
      <c r="V253" t="str">
        <f>IF(U253="","",IF(ABS(Q253-U253)&gt;V$1,"error",""))</f>
        <v/>
      </c>
    </row>
    <row r="254" spans="1:22" x14ac:dyDescent="0.55000000000000004">
      <c r="A254">
        <v>13748.22</v>
      </c>
      <c r="B254" s="1">
        <v>8.2930000000000004E-2</v>
      </c>
      <c r="C254" s="1">
        <v>8.2930000000000004E-2</v>
      </c>
      <c r="D254" s="2" t="s">
        <v>1121</v>
      </c>
      <c r="E254">
        <v>2</v>
      </c>
      <c r="F254" s="2" t="s">
        <v>1</v>
      </c>
      <c r="G254">
        <v>0</v>
      </c>
      <c r="H254">
        <v>21.5</v>
      </c>
      <c r="I254" s="2" t="s">
        <v>0</v>
      </c>
      <c r="J254">
        <v>1</v>
      </c>
      <c r="K254" s="2" t="s">
        <v>2</v>
      </c>
      <c r="L254">
        <v>0</v>
      </c>
      <c r="M254">
        <v>21.5</v>
      </c>
      <c r="N254" s="2" t="s">
        <v>1364</v>
      </c>
      <c r="O254" t="str">
        <f>D254&amp;"-"&amp;E254&amp;"-"&amp;F254&amp;"-"&amp;G254&amp;"-"&amp;H254</f>
        <v>A-2-f-0-21.5</v>
      </c>
      <c r="P254" t="str">
        <f>I254&amp;"-"&amp;J254&amp;"-"&amp;K254&amp;"-"&amp;L254&amp;"-"&amp;M254</f>
        <v>X-1-e-0-21.5</v>
      </c>
      <c r="Q254">
        <f>A254+R254</f>
        <v>15399.549234999999</v>
      </c>
      <c r="R254">
        <f>_xlfn.IFNA(VLOOKUP(P254,PGOPHER!A$2:G$181,7,FALSE),_xlfn.IFNA(VLOOKUP(P254,en!A$2:I$768,7,FALSE),-10000))</f>
        <v>1651.3292349999999</v>
      </c>
      <c r="S254">
        <f>IF(O254=O253,Q253+S253,Q254)</f>
        <v>30799.263140000003</v>
      </c>
      <c r="T254">
        <f>IF(O254=O253,T253+1,1)</f>
        <v>2</v>
      </c>
      <c r="U254" t="str">
        <f>IF(O254=O255,"",S254/T254)</f>
        <v/>
      </c>
      <c r="V254" t="str">
        <f>IF(U254="","",IF(ABS(Q254-U254)&gt;V$1,"error",""))</f>
        <v/>
      </c>
    </row>
    <row r="255" spans="1:22" x14ac:dyDescent="0.55000000000000004">
      <c r="A255">
        <v>13436.06</v>
      </c>
      <c r="B255" s="1">
        <v>3.5779999999999999E-2</v>
      </c>
      <c r="C255" s="1">
        <v>3.5779999999999999E-2</v>
      </c>
      <c r="D255" s="2" t="s">
        <v>1121</v>
      </c>
      <c r="E255">
        <v>2</v>
      </c>
      <c r="F255" s="2" t="s">
        <v>1</v>
      </c>
      <c r="G255">
        <v>0</v>
      </c>
      <c r="H255">
        <v>21.5</v>
      </c>
      <c r="I255" s="2" t="s">
        <v>0</v>
      </c>
      <c r="J255">
        <v>2</v>
      </c>
      <c r="K255" s="2" t="s">
        <v>1</v>
      </c>
      <c r="L255">
        <v>0</v>
      </c>
      <c r="M255">
        <v>22.5</v>
      </c>
      <c r="N255" s="2" t="s">
        <v>1361</v>
      </c>
      <c r="O255" t="str">
        <f>D255&amp;"-"&amp;E255&amp;"-"&amp;F255&amp;"-"&amp;G255&amp;"-"&amp;H255</f>
        <v>A-2-f-0-21.5</v>
      </c>
      <c r="P255" t="str">
        <f>I255&amp;"-"&amp;J255&amp;"-"&amp;K255&amp;"-"&amp;L255&amp;"-"&amp;M255</f>
        <v>X-2-f-0-22.5</v>
      </c>
      <c r="Q255">
        <f>A255+R255</f>
        <v>15399.634001999999</v>
      </c>
      <c r="R255">
        <f>_xlfn.IFNA(VLOOKUP(P255,PGOPHER!A$2:G$181,7,FALSE),_xlfn.IFNA(VLOOKUP(P255,en!A$2:I$768,7,FALSE),-10000))</f>
        <v>1963.5740020000001</v>
      </c>
      <c r="S255">
        <f>IF(O255=O254,Q254+S254,Q255)</f>
        <v>46198.812375000001</v>
      </c>
      <c r="T255">
        <f>IF(O255=O254,T254+1,1)</f>
        <v>3</v>
      </c>
      <c r="U255">
        <f>IF(O255=O256,"",S255/T255)</f>
        <v>15399.604125</v>
      </c>
      <c r="V255" t="str">
        <f>IF(U255="","",IF(ABS(Q255-U255)&gt;V$1,"error",""))</f>
        <v/>
      </c>
    </row>
    <row r="256" spans="1:22" x14ac:dyDescent="0.55000000000000004">
      <c r="A256">
        <v>13329.45</v>
      </c>
      <c r="B256" s="1">
        <v>5.8020000000000002E-2</v>
      </c>
      <c r="C256" s="1">
        <v>5.8020000000000002E-2</v>
      </c>
      <c r="D256" s="2" t="s">
        <v>1121</v>
      </c>
      <c r="E256">
        <v>1</v>
      </c>
      <c r="F256" s="2" t="s">
        <v>2</v>
      </c>
      <c r="G256">
        <v>0</v>
      </c>
      <c r="H256">
        <v>22.5</v>
      </c>
      <c r="I256" s="2" t="s">
        <v>0</v>
      </c>
      <c r="J256">
        <v>1</v>
      </c>
      <c r="K256" s="2" t="s">
        <v>2</v>
      </c>
      <c r="L256">
        <v>0</v>
      </c>
      <c r="M256">
        <v>23.5</v>
      </c>
      <c r="N256" s="2" t="s">
        <v>1379</v>
      </c>
      <c r="O256" t="str">
        <f>D256&amp;"-"&amp;E256&amp;"-"&amp;F256&amp;"-"&amp;G256&amp;"-"&amp;H256</f>
        <v>A-1-e-0-22.5</v>
      </c>
      <c r="P256" t="str">
        <f>I256&amp;"-"&amp;J256&amp;"-"&amp;K256&amp;"-"&amp;L256&amp;"-"&amp;M256</f>
        <v>X-1-e-0-23.5</v>
      </c>
      <c r="Q256">
        <f>A256+R256</f>
        <v>15295.783748000002</v>
      </c>
      <c r="R256">
        <f>_xlfn.IFNA(VLOOKUP(P256,PGOPHER!A$2:G$181,7,FALSE),_xlfn.IFNA(VLOOKUP(P256,en!A$2:I$768,7,FALSE),-10000))</f>
        <v>1966.333748</v>
      </c>
      <c r="S256">
        <f>IF(O256=O255,Q255+S255,Q256)</f>
        <v>15295.783748000002</v>
      </c>
      <c r="T256">
        <f>IF(O256=O255,T255+1,1)</f>
        <v>1</v>
      </c>
      <c r="U256" t="str">
        <f>IF(O256=O257,"",S256/T256)</f>
        <v/>
      </c>
      <c r="V256" t="str">
        <f>IF(U256="","",IF(ABS(Q256-U256)&gt;V$1,"error",""))</f>
        <v/>
      </c>
    </row>
    <row r="257" spans="1:22" x14ac:dyDescent="0.55000000000000004">
      <c r="A257">
        <v>13644.4</v>
      </c>
      <c r="B257" s="1">
        <v>1.6930000000000001E-2</v>
      </c>
      <c r="C257" s="1">
        <v>1.6930000000000001E-2</v>
      </c>
      <c r="D257" s="2" t="s">
        <v>1121</v>
      </c>
      <c r="E257">
        <v>1</v>
      </c>
      <c r="F257" s="2" t="s">
        <v>2</v>
      </c>
      <c r="G257">
        <v>0</v>
      </c>
      <c r="H257">
        <v>22.5</v>
      </c>
      <c r="I257" s="2" t="s">
        <v>0</v>
      </c>
      <c r="J257">
        <v>1</v>
      </c>
      <c r="K257" s="2" t="s">
        <v>2</v>
      </c>
      <c r="L257">
        <v>0</v>
      </c>
      <c r="M257">
        <v>21.5</v>
      </c>
      <c r="N257" s="2" t="s">
        <v>1383</v>
      </c>
      <c r="O257" t="str">
        <f>D257&amp;"-"&amp;E257&amp;"-"&amp;F257&amp;"-"&amp;G257&amp;"-"&amp;H257</f>
        <v>A-1-e-0-22.5</v>
      </c>
      <c r="P257" t="str">
        <f>I257&amp;"-"&amp;J257&amp;"-"&amp;K257&amp;"-"&amp;L257&amp;"-"&amp;M257</f>
        <v>X-1-e-0-21.5</v>
      </c>
      <c r="Q257">
        <f>A257+R257</f>
        <v>15295.729234999999</v>
      </c>
      <c r="R257">
        <f>_xlfn.IFNA(VLOOKUP(P257,PGOPHER!A$2:G$181,7,FALSE),_xlfn.IFNA(VLOOKUP(P257,en!A$2:I$768,7,FALSE),-10000))</f>
        <v>1651.3292349999999</v>
      </c>
      <c r="S257">
        <f>IF(O257=O256,Q256+S256,Q257)</f>
        <v>30591.567496000003</v>
      </c>
      <c r="T257">
        <f>IF(O257=O256,T256+1,1)</f>
        <v>2</v>
      </c>
      <c r="U257" t="str">
        <f>IF(O257=O258,"",S257/T257)</f>
        <v/>
      </c>
      <c r="V257" t="str">
        <f>IF(U257="","",IF(ABS(Q257-U257)&gt;V$1,"error",""))</f>
        <v/>
      </c>
    </row>
    <row r="258" spans="1:22" x14ac:dyDescent="0.55000000000000004">
      <c r="A258">
        <v>13332.14</v>
      </c>
      <c r="B258" s="1">
        <v>2.4510000000000001E-2</v>
      </c>
      <c r="C258" s="1">
        <v>2.4510000000000001E-2</v>
      </c>
      <c r="D258" s="2" t="s">
        <v>1121</v>
      </c>
      <c r="E258">
        <v>1</v>
      </c>
      <c r="F258" s="2" t="s">
        <v>2</v>
      </c>
      <c r="G258">
        <v>0</v>
      </c>
      <c r="H258">
        <v>22.5</v>
      </c>
      <c r="I258" s="2" t="s">
        <v>0</v>
      </c>
      <c r="J258">
        <v>2</v>
      </c>
      <c r="K258" s="2" t="s">
        <v>1</v>
      </c>
      <c r="L258">
        <v>0</v>
      </c>
      <c r="M258">
        <v>22.5</v>
      </c>
      <c r="N258" s="2" t="s">
        <v>1380</v>
      </c>
      <c r="O258" t="str">
        <f>D258&amp;"-"&amp;E258&amp;"-"&amp;F258&amp;"-"&amp;G258&amp;"-"&amp;H258</f>
        <v>A-1-e-0-22.5</v>
      </c>
      <c r="P258" t="str">
        <f>I258&amp;"-"&amp;J258&amp;"-"&amp;K258&amp;"-"&amp;L258&amp;"-"&amp;M258</f>
        <v>X-2-f-0-22.5</v>
      </c>
      <c r="Q258">
        <f>A258+R258</f>
        <v>15295.714001999999</v>
      </c>
      <c r="R258">
        <f>_xlfn.IFNA(VLOOKUP(P258,PGOPHER!A$2:G$181,7,FALSE),_xlfn.IFNA(VLOOKUP(P258,en!A$2:I$768,7,FALSE),-10000))</f>
        <v>1963.5740020000001</v>
      </c>
      <c r="S258">
        <f>IF(O258=O257,Q257+S257,Q258)</f>
        <v>45887.296731000002</v>
      </c>
      <c r="T258">
        <f>IF(O258=O257,T257+1,1)</f>
        <v>3</v>
      </c>
      <c r="U258">
        <f>IF(O258=O259,"",S258/T258)</f>
        <v>15295.765577</v>
      </c>
      <c r="V258" t="str">
        <f>IF(U258="","",IF(ABS(Q258-U258)&gt;V$1,"error",""))</f>
        <v/>
      </c>
    </row>
    <row r="259" spans="1:22" x14ac:dyDescent="0.55000000000000004">
      <c r="A259">
        <v>13425.94</v>
      </c>
      <c r="B259" s="1">
        <v>2.9190000000000001E-2</v>
      </c>
      <c r="C259" s="1">
        <v>2.9190000000000001E-2</v>
      </c>
      <c r="D259" s="2" t="s">
        <v>1121</v>
      </c>
      <c r="E259">
        <v>1</v>
      </c>
      <c r="F259" s="2" t="s">
        <v>1</v>
      </c>
      <c r="G259">
        <v>0</v>
      </c>
      <c r="H259">
        <v>22.5</v>
      </c>
      <c r="I259" s="2" t="s">
        <v>0</v>
      </c>
      <c r="J259">
        <v>2</v>
      </c>
      <c r="K259" s="2" t="s">
        <v>1</v>
      </c>
      <c r="L259">
        <v>0</v>
      </c>
      <c r="M259">
        <v>21.5</v>
      </c>
      <c r="N259" s="2" t="s">
        <v>1382</v>
      </c>
      <c r="O259" t="str">
        <f>D259&amp;"-"&amp;E259&amp;"-"&amp;F259&amp;"-"&amp;G259&amp;"-"&amp;H259</f>
        <v>A-1-f-0-22.5</v>
      </c>
      <c r="P259" t="str">
        <f>I259&amp;"-"&amp;J259&amp;"-"&amp;K259&amp;"-"&amp;L259&amp;"-"&amp;M259</f>
        <v>X-2-f-0-21.5</v>
      </c>
      <c r="Q259">
        <f>A259+R259</f>
        <v>15228.876219</v>
      </c>
      <c r="R259">
        <f>_xlfn.IFNA(VLOOKUP(P259,PGOPHER!A$2:G$181,7,FALSE),_xlfn.IFNA(VLOOKUP(P259,en!A$2:I$768,7,FALSE),-10000))</f>
        <v>1802.9362189999999</v>
      </c>
      <c r="S259">
        <f>IF(O259=O258,Q258+S258,Q259)</f>
        <v>15228.876219</v>
      </c>
      <c r="T259">
        <f>IF(O259=O258,T258+1,1)</f>
        <v>1</v>
      </c>
      <c r="U259" t="str">
        <f>IF(O259=O260,"",S259/T259)</f>
        <v/>
      </c>
      <c r="V259" t="str">
        <f>IF(U259="","",IF(ABS(Q259-U259)&gt;V$1,"error",""))</f>
        <v/>
      </c>
    </row>
    <row r="260" spans="1:22" x14ac:dyDescent="0.55000000000000004">
      <c r="A260">
        <v>13423.3</v>
      </c>
      <c r="B260" s="1">
        <v>4.1369999999999997E-2</v>
      </c>
      <c r="C260" s="1">
        <v>4.1369999999999997E-2</v>
      </c>
      <c r="D260" s="2" t="s">
        <v>1121</v>
      </c>
      <c r="E260">
        <v>1</v>
      </c>
      <c r="F260" s="2" t="s">
        <v>1</v>
      </c>
      <c r="G260">
        <v>0</v>
      </c>
      <c r="H260">
        <v>22.5</v>
      </c>
      <c r="I260" s="2" t="s">
        <v>0</v>
      </c>
      <c r="J260">
        <v>1</v>
      </c>
      <c r="K260" s="2" t="s">
        <v>2</v>
      </c>
      <c r="L260">
        <v>0</v>
      </c>
      <c r="M260">
        <v>22.5</v>
      </c>
      <c r="N260" s="2" t="s">
        <v>1381</v>
      </c>
      <c r="O260" t="str">
        <f>D260&amp;"-"&amp;E260&amp;"-"&amp;F260&amp;"-"&amp;G260&amp;"-"&amp;H260</f>
        <v>A-1-f-0-22.5</v>
      </c>
      <c r="P260" t="str">
        <f>I260&amp;"-"&amp;J260&amp;"-"&amp;K260&amp;"-"&amp;L260&amp;"-"&amp;M260</f>
        <v>X-1-e-0-22.5</v>
      </c>
      <c r="Q260">
        <f>A260+R260</f>
        <v>15228.893552</v>
      </c>
      <c r="R260">
        <f>_xlfn.IFNA(VLOOKUP(P260,PGOPHER!A$2:G$181,7,FALSE),_xlfn.IFNA(VLOOKUP(P260,en!A$2:I$768,7,FALSE),-10000))</f>
        <v>1805.593552</v>
      </c>
      <c r="S260">
        <f>IF(O260=O259,Q259+S259,Q260)</f>
        <v>30457.752438</v>
      </c>
      <c r="T260">
        <f>IF(O260=O259,T259+1,1)</f>
        <v>2</v>
      </c>
      <c r="U260" t="str">
        <f>IF(O260=O261,"",S260/T260)</f>
        <v/>
      </c>
      <c r="V260" t="str">
        <f>IF(U260="","",IF(ABS(Q260-U260)&gt;V$1,"error",""))</f>
        <v/>
      </c>
    </row>
    <row r="261" spans="1:22" x14ac:dyDescent="0.55000000000000004">
      <c r="A261">
        <v>13098.18</v>
      </c>
      <c r="B261" s="1">
        <v>9.5350000000000004E-2</v>
      </c>
      <c r="C261" s="1">
        <v>9.5350000000000004E-2</v>
      </c>
      <c r="D261" s="2" t="s">
        <v>1121</v>
      </c>
      <c r="E261">
        <v>1</v>
      </c>
      <c r="F261" s="2" t="s">
        <v>1</v>
      </c>
      <c r="G261">
        <v>0</v>
      </c>
      <c r="H261">
        <v>22.5</v>
      </c>
      <c r="I261" s="2" t="s">
        <v>0</v>
      </c>
      <c r="J261">
        <v>2</v>
      </c>
      <c r="K261" s="2" t="s">
        <v>1</v>
      </c>
      <c r="L261">
        <v>0</v>
      </c>
      <c r="M261">
        <v>23.5</v>
      </c>
      <c r="N261" s="2" t="s">
        <v>1378</v>
      </c>
      <c r="O261" t="str">
        <f>D261&amp;"-"&amp;E261&amp;"-"&amp;F261&amp;"-"&amp;G261&amp;"-"&amp;H261</f>
        <v>A-1-f-0-22.5</v>
      </c>
      <c r="P261" t="str">
        <f>I261&amp;"-"&amp;J261&amp;"-"&amp;K261&amp;"-"&amp;L261&amp;"-"&amp;M261</f>
        <v>X-2-f-0-23.5</v>
      </c>
      <c r="Q261">
        <f>A261+R261</f>
        <v>15228.785053</v>
      </c>
      <c r="R261">
        <f>_xlfn.IFNA(VLOOKUP(P261,PGOPHER!A$2:G$181,7,FALSE),_xlfn.IFNA(VLOOKUP(P261,en!A$2:I$768,7,FALSE),-10000))</f>
        <v>2130.6050530000002</v>
      </c>
      <c r="S261">
        <f>IF(O261=O260,Q260+S260,Q261)</f>
        <v>45686.645989999997</v>
      </c>
      <c r="T261">
        <f>IF(O261=O260,T260+1,1)</f>
        <v>3</v>
      </c>
      <c r="U261">
        <f>IF(O261=O262,"",S261/T261)</f>
        <v>15228.881996666665</v>
      </c>
      <c r="V261" t="str">
        <f>IF(U261="","",IF(ABS(Q261-U261)&gt;V$1,"error",""))</f>
        <v/>
      </c>
    </row>
    <row r="262" spans="1:22" x14ac:dyDescent="0.55000000000000004">
      <c r="A262">
        <v>13608.75</v>
      </c>
      <c r="B262" s="1">
        <v>5.8790000000000002E-2</v>
      </c>
      <c r="C262" s="1">
        <v>5.8790000000000002E-2</v>
      </c>
      <c r="D262" s="2" t="s">
        <v>1121</v>
      </c>
      <c r="E262">
        <v>2</v>
      </c>
      <c r="F262" s="2" t="s">
        <v>2</v>
      </c>
      <c r="G262">
        <v>0</v>
      </c>
      <c r="H262">
        <v>22.5</v>
      </c>
      <c r="I262" s="2" t="s">
        <v>0</v>
      </c>
      <c r="J262">
        <v>2</v>
      </c>
      <c r="K262" s="2" t="s">
        <v>1</v>
      </c>
      <c r="L262">
        <v>0</v>
      </c>
      <c r="M262">
        <v>22.5</v>
      </c>
      <c r="N262" s="2" t="s">
        <v>1374</v>
      </c>
      <c r="O262" t="str">
        <f>D262&amp;"-"&amp;E262&amp;"-"&amp;F262&amp;"-"&amp;G262&amp;"-"&amp;H262</f>
        <v>A-2-e-0-22.5</v>
      </c>
      <c r="P262" t="str">
        <f>I262&amp;"-"&amp;J262&amp;"-"&amp;K262&amp;"-"&amp;L262&amp;"-"&amp;M262</f>
        <v>X-2-f-0-22.5</v>
      </c>
      <c r="Q262">
        <f>A262+R262</f>
        <v>15572.324001999999</v>
      </c>
      <c r="R262">
        <f>_xlfn.IFNA(VLOOKUP(P262,PGOPHER!A$2:G$181,7,FALSE),_xlfn.IFNA(VLOOKUP(P262,en!A$2:I$768,7,FALSE),-10000))</f>
        <v>1963.5740020000001</v>
      </c>
      <c r="S262">
        <f>IF(O262=O261,Q261+S261,Q262)</f>
        <v>15572.324001999999</v>
      </c>
      <c r="T262">
        <f>IF(O262=O261,T261+1,1)</f>
        <v>1</v>
      </c>
      <c r="U262" t="str">
        <f>IF(O262=O263,"",S262/T262)</f>
        <v/>
      </c>
      <c r="V262" t="str">
        <f>IF(U262="","",IF(ABS(Q262-U262)&gt;V$1,"error",""))</f>
        <v/>
      </c>
    </row>
    <row r="263" spans="1:22" x14ac:dyDescent="0.55000000000000004">
      <c r="A263">
        <v>13921.11</v>
      </c>
      <c r="B263" s="1">
        <v>5.8790000000000002E-2</v>
      </c>
      <c r="C263" s="1">
        <v>5.8790000000000002E-2</v>
      </c>
      <c r="D263" s="2" t="s">
        <v>1121</v>
      </c>
      <c r="E263">
        <v>2</v>
      </c>
      <c r="F263" s="2" t="s">
        <v>2</v>
      </c>
      <c r="G263">
        <v>0</v>
      </c>
      <c r="H263">
        <v>22.5</v>
      </c>
      <c r="I263" s="2" t="s">
        <v>0</v>
      </c>
      <c r="J263">
        <v>1</v>
      </c>
      <c r="K263" s="2" t="s">
        <v>2</v>
      </c>
      <c r="L263">
        <v>0</v>
      </c>
      <c r="M263">
        <v>21.5</v>
      </c>
      <c r="N263" s="2" t="s">
        <v>1377</v>
      </c>
      <c r="O263" t="str">
        <f>D263&amp;"-"&amp;E263&amp;"-"&amp;F263&amp;"-"&amp;G263&amp;"-"&amp;H263</f>
        <v>A-2-e-0-22.5</v>
      </c>
      <c r="P263" t="str">
        <f>I263&amp;"-"&amp;J263&amp;"-"&amp;K263&amp;"-"&amp;L263&amp;"-"&amp;M263</f>
        <v>X-1-e-0-21.5</v>
      </c>
      <c r="Q263">
        <f>A263+R263</f>
        <v>15572.439235</v>
      </c>
      <c r="R263">
        <f>_xlfn.IFNA(VLOOKUP(P263,PGOPHER!A$2:G$181,7,FALSE),_xlfn.IFNA(VLOOKUP(P263,en!A$2:I$768,7,FALSE),-10000))</f>
        <v>1651.3292349999999</v>
      </c>
      <c r="S263">
        <f>IF(O263=O262,Q262+S262,Q263)</f>
        <v>31144.648003999999</v>
      </c>
      <c r="T263">
        <f>IF(O263=O262,T262+1,1)</f>
        <v>2</v>
      </c>
      <c r="U263">
        <f>IF(O263=O264,"",S263/T263)</f>
        <v>15572.324001999999</v>
      </c>
      <c r="V263" t="str">
        <f>IF(U263="","",IF(ABS(Q263-U263)&gt;V$1,"error",""))</f>
        <v/>
      </c>
    </row>
    <row r="264" spans="1:22" x14ac:dyDescent="0.55000000000000004">
      <c r="A264">
        <v>13756.27</v>
      </c>
      <c r="B264" s="1">
        <v>0.01</v>
      </c>
      <c r="C264" s="1">
        <v>0.01</v>
      </c>
      <c r="D264" s="2" t="s">
        <v>1121</v>
      </c>
      <c r="E264">
        <v>2</v>
      </c>
      <c r="F264" s="2" t="s">
        <v>1</v>
      </c>
      <c r="G264">
        <v>0</v>
      </c>
      <c r="H264">
        <v>22.5</v>
      </c>
      <c r="I264" s="2" t="s">
        <v>0</v>
      </c>
      <c r="J264">
        <v>2</v>
      </c>
      <c r="K264" s="2" t="s">
        <v>1</v>
      </c>
      <c r="L264">
        <v>0</v>
      </c>
      <c r="M264">
        <v>21.5</v>
      </c>
      <c r="N264" s="2" t="s">
        <v>1376</v>
      </c>
      <c r="O264" t="str">
        <f>D264&amp;"-"&amp;E264&amp;"-"&amp;F264&amp;"-"&amp;G264&amp;"-"&amp;H264</f>
        <v>A-2-f-0-22.5</v>
      </c>
      <c r="P264" t="str">
        <f>I264&amp;"-"&amp;J264&amp;"-"&amp;K264&amp;"-"&amp;L264&amp;"-"&amp;M264</f>
        <v>X-2-f-0-21.5</v>
      </c>
      <c r="Q264">
        <f>A264+R264</f>
        <v>15559.206219</v>
      </c>
      <c r="R264">
        <f>_xlfn.IFNA(VLOOKUP(P264,PGOPHER!A$2:G$181,7,FALSE),_xlfn.IFNA(VLOOKUP(P264,en!A$2:I$768,7,FALSE),-10000))</f>
        <v>1802.9362189999999</v>
      </c>
      <c r="S264">
        <f>IF(O264=O263,Q263+S263,Q264)</f>
        <v>15559.206219</v>
      </c>
      <c r="T264">
        <f>IF(O264=O263,T263+1,1)</f>
        <v>1</v>
      </c>
      <c r="U264" t="str">
        <f>IF(O264=O265,"",S264/T264)</f>
        <v/>
      </c>
      <c r="V264" t="str">
        <f>IF(U264="","",IF(ABS(Q264-U264)&gt;V$1,"error",""))</f>
        <v/>
      </c>
    </row>
    <row r="265" spans="1:22" x14ac:dyDescent="0.55000000000000004">
      <c r="A265">
        <v>13753.6</v>
      </c>
      <c r="B265" s="1">
        <v>1.7299999999999999E-2</v>
      </c>
      <c r="C265" s="1">
        <v>1.7299999999999999E-2</v>
      </c>
      <c r="D265" s="2" t="s">
        <v>1121</v>
      </c>
      <c r="E265">
        <v>2</v>
      </c>
      <c r="F265" s="2" t="s">
        <v>1</v>
      </c>
      <c r="G265">
        <v>0</v>
      </c>
      <c r="H265">
        <v>22.5</v>
      </c>
      <c r="I265" s="2" t="s">
        <v>0</v>
      </c>
      <c r="J265">
        <v>1</v>
      </c>
      <c r="K265" s="2" t="s">
        <v>2</v>
      </c>
      <c r="L265">
        <v>0</v>
      </c>
      <c r="M265">
        <v>22.5</v>
      </c>
      <c r="N265" s="2" t="s">
        <v>1375</v>
      </c>
      <c r="O265" t="str">
        <f>D265&amp;"-"&amp;E265&amp;"-"&amp;F265&amp;"-"&amp;G265&amp;"-"&amp;H265</f>
        <v>A-2-f-0-22.5</v>
      </c>
      <c r="P265" t="str">
        <f>I265&amp;"-"&amp;J265&amp;"-"&amp;K265&amp;"-"&amp;L265&amp;"-"&amp;M265</f>
        <v>X-1-e-0-22.5</v>
      </c>
      <c r="Q265">
        <f>A265+R265</f>
        <v>15559.193552000001</v>
      </c>
      <c r="R265">
        <f>_xlfn.IFNA(VLOOKUP(P265,PGOPHER!A$2:G$181,7,FALSE),_xlfn.IFNA(VLOOKUP(P265,en!A$2:I$768,7,FALSE),-10000))</f>
        <v>1805.593552</v>
      </c>
      <c r="S265">
        <f>IF(O265=O264,Q264+S264,Q265)</f>
        <v>31118.412437999999</v>
      </c>
      <c r="T265">
        <f>IF(O265=O264,T264+1,1)</f>
        <v>2</v>
      </c>
      <c r="U265" t="str">
        <f>IF(O265=O266,"",S265/T265)</f>
        <v/>
      </c>
      <c r="V265" t="str">
        <f>IF(U265="","",IF(ABS(Q265-U265)&gt;V$1,"error",""))</f>
        <v/>
      </c>
    </row>
    <row r="266" spans="1:22" x14ac:dyDescent="0.55000000000000004">
      <c r="A266">
        <v>13428.61</v>
      </c>
      <c r="B266" s="1">
        <v>1.3769999999999999E-2</v>
      </c>
      <c r="C266" s="1">
        <v>1.3769999999999999E-2</v>
      </c>
      <c r="D266" s="2" t="s">
        <v>1121</v>
      </c>
      <c r="E266">
        <v>2</v>
      </c>
      <c r="F266" s="2" t="s">
        <v>1</v>
      </c>
      <c r="G266">
        <v>0</v>
      </c>
      <c r="H266">
        <v>22.5</v>
      </c>
      <c r="I266" s="2" t="s">
        <v>0</v>
      </c>
      <c r="J266">
        <v>2</v>
      </c>
      <c r="K266" s="2" t="s">
        <v>1</v>
      </c>
      <c r="L266">
        <v>0</v>
      </c>
      <c r="M266">
        <v>23.5</v>
      </c>
      <c r="N266" s="2" t="s">
        <v>1373</v>
      </c>
      <c r="O266" t="str">
        <f>D266&amp;"-"&amp;E266&amp;"-"&amp;F266&amp;"-"&amp;G266&amp;"-"&amp;H266</f>
        <v>A-2-f-0-22.5</v>
      </c>
      <c r="P266" t="str">
        <f>I266&amp;"-"&amp;J266&amp;"-"&amp;K266&amp;"-"&amp;L266&amp;"-"&amp;M266</f>
        <v>X-2-f-0-23.5</v>
      </c>
      <c r="Q266">
        <f>A266+R266</f>
        <v>15559.215053</v>
      </c>
      <c r="R266">
        <f>_xlfn.IFNA(VLOOKUP(P266,PGOPHER!A$2:G$181,7,FALSE),_xlfn.IFNA(VLOOKUP(P266,en!A$2:I$768,7,FALSE),-10000))</f>
        <v>2130.6050530000002</v>
      </c>
      <c r="S266">
        <f>IF(O266=O265,Q265+S265,Q266)</f>
        <v>46677.605989999996</v>
      </c>
      <c r="T266">
        <f>IF(O266=O265,T265+1,1)</f>
        <v>3</v>
      </c>
      <c r="U266">
        <f>IF(O266=O267,"",S266/T266)</f>
        <v>15559.201996666665</v>
      </c>
      <c r="V266" t="str">
        <f>IF(U266="","",IF(ABS(Q266-U266)&gt;V$1,"error",""))</f>
        <v/>
      </c>
    </row>
    <row r="267" spans="1:22" x14ac:dyDescent="0.55000000000000004">
      <c r="A267">
        <v>13328.12</v>
      </c>
      <c r="B267" s="1">
        <v>0.01</v>
      </c>
      <c r="C267" s="1">
        <v>0.01</v>
      </c>
      <c r="D267" s="2" t="s">
        <v>1121</v>
      </c>
      <c r="E267">
        <v>1</v>
      </c>
      <c r="F267" s="2" t="s">
        <v>2</v>
      </c>
      <c r="G267">
        <v>0</v>
      </c>
      <c r="H267">
        <v>23.5</v>
      </c>
      <c r="I267" s="2" t="s">
        <v>0</v>
      </c>
      <c r="J267">
        <v>1</v>
      </c>
      <c r="K267" s="2" t="s">
        <v>2</v>
      </c>
      <c r="L267">
        <v>0</v>
      </c>
      <c r="M267">
        <v>24.5</v>
      </c>
      <c r="N267" s="2" t="s">
        <v>1390</v>
      </c>
      <c r="O267" t="str">
        <f>D267&amp;"-"&amp;E267&amp;"-"&amp;F267&amp;"-"&amp;G267&amp;"-"&amp;H267</f>
        <v>A-1-e-0-23.5</v>
      </c>
      <c r="P267" t="str">
        <f>I267&amp;"-"&amp;J267&amp;"-"&amp;K267&amp;"-"&amp;L267&amp;"-"&amp;M267</f>
        <v>X-1-e-0-24.5</v>
      </c>
      <c r="Q267">
        <f>A267+R267</f>
        <v>15461.590032</v>
      </c>
      <c r="R267">
        <f>_xlfn.IFNA(VLOOKUP(P267,PGOPHER!A$2:G$181,7,FALSE),_xlfn.IFNA(VLOOKUP(P267,en!A$2:I$768,7,FALSE),-10000))</f>
        <v>2133.4700320000002</v>
      </c>
      <c r="S267">
        <f>IF(O267=O266,Q266+S266,Q267)</f>
        <v>15461.590032</v>
      </c>
      <c r="T267">
        <f>IF(O267=O266,T266+1,1)</f>
        <v>1</v>
      </c>
      <c r="U267" t="str">
        <f>IF(O267=O268,"",S267/T267)</f>
        <v/>
      </c>
      <c r="V267" t="str">
        <f>IF(U267="","",IF(ABS(Q267-U267)&gt;V$1,"error",""))</f>
        <v/>
      </c>
    </row>
    <row r="268" spans="1:22" x14ac:dyDescent="0.55000000000000004">
      <c r="A268">
        <v>13655.94</v>
      </c>
      <c r="B268" s="1">
        <v>6.3810000000000006E-2</v>
      </c>
      <c r="C268" s="1">
        <v>6.3810000000000006E-2</v>
      </c>
      <c r="D268" s="2" t="s">
        <v>1121</v>
      </c>
      <c r="E268">
        <v>1</v>
      </c>
      <c r="F268" s="2" t="s">
        <v>2</v>
      </c>
      <c r="G268">
        <v>0</v>
      </c>
      <c r="H268">
        <v>23.5</v>
      </c>
      <c r="I268" s="2" t="s">
        <v>0</v>
      </c>
      <c r="J268">
        <v>1</v>
      </c>
      <c r="K268" s="2" t="s">
        <v>2</v>
      </c>
      <c r="L268">
        <v>0</v>
      </c>
      <c r="M268">
        <v>22.5</v>
      </c>
      <c r="N268" s="2" t="s">
        <v>1394</v>
      </c>
      <c r="O268" t="str">
        <f>D268&amp;"-"&amp;E268&amp;"-"&amp;F268&amp;"-"&amp;G268&amp;"-"&amp;H268</f>
        <v>A-1-e-0-23.5</v>
      </c>
      <c r="P268" t="str">
        <f>I268&amp;"-"&amp;J268&amp;"-"&amp;K268&amp;"-"&amp;L268&amp;"-"&amp;M268</f>
        <v>X-1-e-0-22.5</v>
      </c>
      <c r="Q268">
        <f>A268+R268</f>
        <v>15461.533552000001</v>
      </c>
      <c r="R268">
        <f>_xlfn.IFNA(VLOOKUP(P268,PGOPHER!A$2:G$181,7,FALSE),_xlfn.IFNA(VLOOKUP(P268,en!A$2:I$768,7,FALSE),-10000))</f>
        <v>1805.593552</v>
      </c>
      <c r="S268">
        <f>IF(O268=O267,Q267+S267,Q268)</f>
        <v>30923.180064</v>
      </c>
      <c r="T268">
        <f>IF(O268=O267,T267+1,1)</f>
        <v>2</v>
      </c>
      <c r="U268" t="str">
        <f>IF(O268=O269,"",S268/T268)</f>
        <v/>
      </c>
      <c r="V268" t="str">
        <f>IF(U268="","",IF(ABS(Q268-U268)&gt;V$1,"error",""))</f>
        <v/>
      </c>
    </row>
    <row r="269" spans="1:22" x14ac:dyDescent="0.55000000000000004">
      <c r="A269">
        <v>13331.04</v>
      </c>
      <c r="B269" s="1">
        <v>6.6250000000000003E-2</v>
      </c>
      <c r="C269" s="1">
        <v>6.6250000000000003E-2</v>
      </c>
      <c r="D269" s="2" t="s">
        <v>1121</v>
      </c>
      <c r="E269">
        <v>1</v>
      </c>
      <c r="F269" s="2" t="s">
        <v>2</v>
      </c>
      <c r="G269">
        <v>0</v>
      </c>
      <c r="H269">
        <v>23.5</v>
      </c>
      <c r="I269" s="2" t="s">
        <v>0</v>
      </c>
      <c r="J269">
        <v>2</v>
      </c>
      <c r="K269" s="2" t="s">
        <v>1</v>
      </c>
      <c r="L269">
        <v>0</v>
      </c>
      <c r="M269">
        <v>23.5</v>
      </c>
      <c r="N269" s="2" t="s">
        <v>1391</v>
      </c>
      <c r="O269" t="str">
        <f>D269&amp;"-"&amp;E269&amp;"-"&amp;F269&amp;"-"&amp;G269&amp;"-"&amp;H269</f>
        <v>A-1-e-0-23.5</v>
      </c>
      <c r="P269" t="str">
        <f>I269&amp;"-"&amp;J269&amp;"-"&amp;K269&amp;"-"&amp;L269&amp;"-"&amp;M269</f>
        <v>X-2-f-0-23.5</v>
      </c>
      <c r="Q269">
        <f>A269+R269</f>
        <v>15461.645053</v>
      </c>
      <c r="R269">
        <f>_xlfn.IFNA(VLOOKUP(P269,PGOPHER!A$2:G$181,7,FALSE),_xlfn.IFNA(VLOOKUP(P269,en!A$2:I$768,7,FALSE),-10000))</f>
        <v>2130.6050530000002</v>
      </c>
      <c r="S269">
        <f>IF(O269=O268,Q268+S268,Q269)</f>
        <v>46384.713616000001</v>
      </c>
      <c r="T269">
        <f>IF(O269=O268,T268+1,1)</f>
        <v>3</v>
      </c>
      <c r="U269">
        <f>IF(O269=O270,"",S269/T269)</f>
        <v>15461.571205333334</v>
      </c>
      <c r="V269" t="str">
        <f>IF(U269="","",IF(ABS(Q269-U269)&gt;V$1,"error",""))</f>
        <v/>
      </c>
    </row>
    <row r="270" spans="1:22" x14ac:dyDescent="0.55000000000000004">
      <c r="A270">
        <v>13430.4</v>
      </c>
      <c r="B270" s="1">
        <v>2.4129999999999999E-2</v>
      </c>
      <c r="C270" s="1">
        <v>2.4129999999999999E-2</v>
      </c>
      <c r="D270" s="2" t="s">
        <v>1121</v>
      </c>
      <c r="E270">
        <v>1</v>
      </c>
      <c r="F270" s="2" t="s">
        <v>1</v>
      </c>
      <c r="G270">
        <v>0</v>
      </c>
      <c r="H270">
        <v>23.5</v>
      </c>
      <c r="I270" s="2" t="s">
        <v>0</v>
      </c>
      <c r="J270">
        <v>2</v>
      </c>
      <c r="K270" s="2" t="s">
        <v>1</v>
      </c>
      <c r="L270">
        <v>0</v>
      </c>
      <c r="M270">
        <v>22.5</v>
      </c>
      <c r="N270" s="2" t="s">
        <v>1393</v>
      </c>
      <c r="O270" t="str">
        <f>D270&amp;"-"&amp;E270&amp;"-"&amp;F270&amp;"-"&amp;G270&amp;"-"&amp;H270</f>
        <v>A-1-f-0-23.5</v>
      </c>
      <c r="P270" t="str">
        <f>I270&amp;"-"&amp;J270&amp;"-"&amp;K270&amp;"-"&amp;L270&amp;"-"&amp;M270</f>
        <v>X-2-f-0-22.5</v>
      </c>
      <c r="Q270">
        <f>A270+R270</f>
        <v>15393.974001999999</v>
      </c>
      <c r="R270">
        <f>_xlfn.IFNA(VLOOKUP(P270,PGOPHER!A$2:G$181,7,FALSE),_xlfn.IFNA(VLOOKUP(P270,en!A$2:I$768,7,FALSE),-10000))</f>
        <v>1963.5740020000001</v>
      </c>
      <c r="S270">
        <f>IF(O270=O269,Q269+S269,Q270)</f>
        <v>15393.974001999999</v>
      </c>
      <c r="T270">
        <f>IF(O270=O269,T269+1,1)</f>
        <v>1</v>
      </c>
      <c r="U270" t="str">
        <f>IF(O270=O271,"",S270/T270)</f>
        <v/>
      </c>
      <c r="V270" t="str">
        <f>IF(U270="","",IF(ABS(Q270-U270)&gt;V$1,"error",""))</f>
        <v/>
      </c>
    </row>
    <row r="271" spans="1:22" x14ac:dyDescent="0.55000000000000004">
      <c r="A271">
        <v>13427.69</v>
      </c>
      <c r="B271" s="1">
        <v>3.8339999999999999E-2</v>
      </c>
      <c r="C271" s="1">
        <v>3.8339999999999999E-2</v>
      </c>
      <c r="D271" s="2" t="s">
        <v>1121</v>
      </c>
      <c r="E271">
        <v>1</v>
      </c>
      <c r="F271" s="2" t="s">
        <v>1</v>
      </c>
      <c r="G271">
        <v>0</v>
      </c>
      <c r="H271">
        <v>23.5</v>
      </c>
      <c r="I271" s="2" t="s">
        <v>0</v>
      </c>
      <c r="J271">
        <v>1</v>
      </c>
      <c r="K271" s="2" t="s">
        <v>2</v>
      </c>
      <c r="L271">
        <v>0</v>
      </c>
      <c r="M271">
        <v>23.5</v>
      </c>
      <c r="N271" s="2" t="s">
        <v>1392</v>
      </c>
      <c r="O271" t="str">
        <f>D271&amp;"-"&amp;E271&amp;"-"&amp;F271&amp;"-"&amp;G271&amp;"-"&amp;H271</f>
        <v>A-1-f-0-23.5</v>
      </c>
      <c r="P271" t="str">
        <f>I271&amp;"-"&amp;J271&amp;"-"&amp;K271&amp;"-"&amp;L271&amp;"-"&amp;M271</f>
        <v>X-1-e-0-23.5</v>
      </c>
      <c r="Q271">
        <f>A271+R271</f>
        <v>15394.023748</v>
      </c>
      <c r="R271">
        <f>_xlfn.IFNA(VLOOKUP(P271,PGOPHER!A$2:G$181,7,FALSE),_xlfn.IFNA(VLOOKUP(P271,en!A$2:I$768,7,FALSE),-10000))</f>
        <v>1966.333748</v>
      </c>
      <c r="S271">
        <f>IF(O271=O270,Q270+S270,Q271)</f>
        <v>30787.948003999998</v>
      </c>
      <c r="T271">
        <f>IF(O271=O270,T270+1,1)</f>
        <v>2</v>
      </c>
      <c r="U271" t="str">
        <f>IF(O271=O272,"",S271/T271)</f>
        <v/>
      </c>
      <c r="V271" t="str">
        <f>IF(U271="","",IF(ABS(Q271-U271)&gt;V$1,"error",""))</f>
        <v/>
      </c>
    </row>
    <row r="272" spans="1:22" x14ac:dyDescent="0.55000000000000004">
      <c r="A272">
        <v>13089.86</v>
      </c>
      <c r="B272" s="1">
        <v>0.16689999999999999</v>
      </c>
      <c r="C272" s="1">
        <v>0.16689999999999999</v>
      </c>
      <c r="D272" s="2" t="s">
        <v>1121</v>
      </c>
      <c r="E272">
        <v>1</v>
      </c>
      <c r="F272" s="2" t="s">
        <v>1</v>
      </c>
      <c r="G272">
        <v>0</v>
      </c>
      <c r="H272">
        <v>23.5</v>
      </c>
      <c r="I272" s="2" t="s">
        <v>0</v>
      </c>
      <c r="J272">
        <v>2</v>
      </c>
      <c r="K272" s="2" t="s">
        <v>1</v>
      </c>
      <c r="L272">
        <v>0</v>
      </c>
      <c r="M272">
        <v>24.5</v>
      </c>
      <c r="N272" s="2" t="s">
        <v>1389</v>
      </c>
      <c r="O272" t="str">
        <f>D272&amp;"-"&amp;E272&amp;"-"&amp;F272&amp;"-"&amp;G272&amp;"-"&amp;H272</f>
        <v>A-1-f-0-23.5</v>
      </c>
      <c r="P272" t="str">
        <f>I272&amp;"-"&amp;J272&amp;"-"&amp;K272&amp;"-"&amp;L272&amp;"-"&amp;M272</f>
        <v>X-2-f-0-24.5</v>
      </c>
      <c r="Q272">
        <f>A272+R272</f>
        <v>15393.838982000001</v>
      </c>
      <c r="R272">
        <f>_xlfn.IFNA(VLOOKUP(P272,PGOPHER!A$2:G$181,7,FALSE),_xlfn.IFNA(VLOOKUP(P272,en!A$2:I$768,7,FALSE),-10000))</f>
        <v>2303.9789820000001</v>
      </c>
      <c r="S272">
        <f>IF(O272=O271,Q271+S271,Q272)</f>
        <v>46181.971751999998</v>
      </c>
      <c r="T272">
        <f>IF(O272=O271,T271+1,1)</f>
        <v>3</v>
      </c>
      <c r="U272">
        <f>IF(O272=O273,"",S272/T272)</f>
        <v>15393.990583999999</v>
      </c>
      <c r="V272" t="str">
        <f>IF(U272="","",IF(ABS(Q272-U272)&gt;V$1,"error",""))</f>
        <v/>
      </c>
    </row>
    <row r="273" spans="1:22" x14ac:dyDescent="0.55000000000000004">
      <c r="A273">
        <v>13609.59</v>
      </c>
      <c r="B273" s="1">
        <v>7.7969999999999998E-2</v>
      </c>
      <c r="C273" s="1">
        <v>7.7969999999999998E-2</v>
      </c>
      <c r="D273" s="2" t="s">
        <v>1121</v>
      </c>
      <c r="E273">
        <v>2</v>
      </c>
      <c r="F273" s="2" t="s">
        <v>2</v>
      </c>
      <c r="G273">
        <v>0</v>
      </c>
      <c r="H273">
        <v>23.5</v>
      </c>
      <c r="I273" s="2" t="s">
        <v>0</v>
      </c>
      <c r="J273">
        <v>2</v>
      </c>
      <c r="K273" s="2" t="s">
        <v>1</v>
      </c>
      <c r="L273">
        <v>0</v>
      </c>
      <c r="M273">
        <v>23.5</v>
      </c>
      <c r="N273" s="2" t="s">
        <v>1385</v>
      </c>
      <c r="O273" t="str">
        <f>D273&amp;"-"&amp;E273&amp;"-"&amp;F273&amp;"-"&amp;G273&amp;"-"&amp;H273</f>
        <v>A-2-e-0-23.5</v>
      </c>
      <c r="P273" t="str">
        <f>I273&amp;"-"&amp;J273&amp;"-"&amp;K273&amp;"-"&amp;L273&amp;"-"&amp;M273</f>
        <v>X-2-f-0-23.5</v>
      </c>
      <c r="Q273">
        <f>A273+R273</f>
        <v>15740.195052999999</v>
      </c>
      <c r="R273">
        <f>_xlfn.IFNA(VLOOKUP(P273,PGOPHER!A$2:G$181,7,FALSE),_xlfn.IFNA(VLOOKUP(P273,en!A$2:I$768,7,FALSE),-10000))</f>
        <v>2130.6050530000002</v>
      </c>
      <c r="S273">
        <f>IF(O273=O272,Q272+S272,Q273)</f>
        <v>15740.195052999999</v>
      </c>
      <c r="T273">
        <f>IF(O273=O272,T272+1,1)</f>
        <v>1</v>
      </c>
      <c r="U273" t="str">
        <f>IF(O273=O274,"",S273/T273)</f>
        <v/>
      </c>
      <c r="V273" t="str">
        <f>IF(U273="","",IF(ABS(Q273-U273)&gt;V$1,"error",""))</f>
        <v/>
      </c>
    </row>
    <row r="274" spans="1:22" x14ac:dyDescent="0.55000000000000004">
      <c r="A274">
        <v>13934.75</v>
      </c>
      <c r="B274" s="1">
        <v>7.7969999999999998E-2</v>
      </c>
      <c r="C274" s="1">
        <v>7.7969999999999998E-2</v>
      </c>
      <c r="D274" s="2" t="s">
        <v>1121</v>
      </c>
      <c r="E274">
        <v>2</v>
      </c>
      <c r="F274" s="2" t="s">
        <v>2</v>
      </c>
      <c r="G274">
        <v>0</v>
      </c>
      <c r="H274">
        <v>23.5</v>
      </c>
      <c r="I274" s="2" t="s">
        <v>0</v>
      </c>
      <c r="J274">
        <v>1</v>
      </c>
      <c r="K274" s="2" t="s">
        <v>2</v>
      </c>
      <c r="L274">
        <v>0</v>
      </c>
      <c r="M274">
        <v>22.5</v>
      </c>
      <c r="N274" s="2" t="s">
        <v>1388</v>
      </c>
      <c r="O274" t="str">
        <f>D274&amp;"-"&amp;E274&amp;"-"&amp;F274&amp;"-"&amp;G274&amp;"-"&amp;H274</f>
        <v>A-2-e-0-23.5</v>
      </c>
      <c r="P274" t="str">
        <f>I274&amp;"-"&amp;J274&amp;"-"&amp;K274&amp;"-"&amp;L274&amp;"-"&amp;M274</f>
        <v>X-1-e-0-22.5</v>
      </c>
      <c r="Q274">
        <f>A274+R274</f>
        <v>15740.343552</v>
      </c>
      <c r="R274">
        <f>_xlfn.IFNA(VLOOKUP(P274,PGOPHER!A$2:G$181,7,FALSE),_xlfn.IFNA(VLOOKUP(P274,en!A$2:I$768,7,FALSE),-10000))</f>
        <v>1805.593552</v>
      </c>
      <c r="S274">
        <f>IF(O274=O273,Q273+S273,Q274)</f>
        <v>31480.390105999999</v>
      </c>
      <c r="T274">
        <f>IF(O274=O273,T273+1,1)</f>
        <v>2</v>
      </c>
      <c r="U274">
        <f>IF(O274=O275,"",S274/T274)</f>
        <v>15740.195052999999</v>
      </c>
      <c r="V274" t="str">
        <f>IF(U274="","",IF(ABS(Q274-U274)&gt;V$1,"error",""))</f>
        <v/>
      </c>
    </row>
    <row r="275" spans="1:22" x14ac:dyDescent="0.55000000000000004">
      <c r="A275">
        <v>13761.71</v>
      </c>
      <c r="B275" s="1">
        <v>1.346E-2</v>
      </c>
      <c r="C275" s="1">
        <v>1.346E-2</v>
      </c>
      <c r="D275" s="2" t="s">
        <v>1121</v>
      </c>
      <c r="E275">
        <v>2</v>
      </c>
      <c r="F275" s="2" t="s">
        <v>1</v>
      </c>
      <c r="G275">
        <v>0</v>
      </c>
      <c r="H275">
        <v>23.5</v>
      </c>
      <c r="I275" s="2" t="s">
        <v>0</v>
      </c>
      <c r="J275">
        <v>2</v>
      </c>
      <c r="K275" s="2" t="s">
        <v>1</v>
      </c>
      <c r="L275">
        <v>0</v>
      </c>
      <c r="M275">
        <v>22.5</v>
      </c>
      <c r="N275" s="2" t="s">
        <v>1387</v>
      </c>
      <c r="O275" t="str">
        <f>D275&amp;"-"&amp;E275&amp;"-"&amp;F275&amp;"-"&amp;G275&amp;"-"&amp;H275</f>
        <v>A-2-f-0-23.5</v>
      </c>
      <c r="P275" t="str">
        <f>I275&amp;"-"&amp;J275&amp;"-"&amp;K275&amp;"-"&amp;L275&amp;"-"&amp;M275</f>
        <v>X-2-f-0-22.5</v>
      </c>
      <c r="Q275">
        <f>A275+R275</f>
        <v>15725.284001999999</v>
      </c>
      <c r="R275">
        <f>_xlfn.IFNA(VLOOKUP(P275,PGOPHER!A$2:G$181,7,FALSE),_xlfn.IFNA(VLOOKUP(P275,en!A$2:I$768,7,FALSE),-10000))</f>
        <v>1963.5740020000001</v>
      </c>
      <c r="S275">
        <f>IF(O275=O274,Q274+S274,Q275)</f>
        <v>15725.284001999999</v>
      </c>
      <c r="T275">
        <f>IF(O275=O274,T274+1,1)</f>
        <v>1</v>
      </c>
      <c r="U275" t="str">
        <f>IF(O275=O276,"",S275/T275)</f>
        <v/>
      </c>
      <c r="V275" t="str">
        <f>IF(U275="","",IF(ABS(Q275-U275)&gt;V$1,"error",""))</f>
        <v/>
      </c>
    </row>
    <row r="276" spans="1:22" x14ac:dyDescent="0.55000000000000004">
      <c r="A276">
        <v>13758.98</v>
      </c>
      <c r="B276" s="1">
        <v>2.3199999999999998E-2</v>
      </c>
      <c r="C276" s="1">
        <v>2.3199999999999998E-2</v>
      </c>
      <c r="D276" s="2" t="s">
        <v>1121</v>
      </c>
      <c r="E276">
        <v>2</v>
      </c>
      <c r="F276" s="2" t="s">
        <v>1</v>
      </c>
      <c r="G276">
        <v>0</v>
      </c>
      <c r="H276">
        <v>23.5</v>
      </c>
      <c r="I276" s="2" t="s">
        <v>0</v>
      </c>
      <c r="J276">
        <v>1</v>
      </c>
      <c r="K276" s="2" t="s">
        <v>2</v>
      </c>
      <c r="L276">
        <v>0</v>
      </c>
      <c r="M276">
        <v>23.5</v>
      </c>
      <c r="N276" s="2" t="s">
        <v>1386</v>
      </c>
      <c r="O276" t="str">
        <f>D276&amp;"-"&amp;E276&amp;"-"&amp;F276&amp;"-"&amp;G276&amp;"-"&amp;H276</f>
        <v>A-2-f-0-23.5</v>
      </c>
      <c r="P276" t="str">
        <f>I276&amp;"-"&amp;J276&amp;"-"&amp;K276&amp;"-"&amp;L276&amp;"-"&amp;M276</f>
        <v>X-1-e-0-23.5</v>
      </c>
      <c r="Q276">
        <f>A276+R276</f>
        <v>15725.313748</v>
      </c>
      <c r="R276">
        <f>_xlfn.IFNA(VLOOKUP(P276,PGOPHER!A$2:G$181,7,FALSE),_xlfn.IFNA(VLOOKUP(P276,en!A$2:I$768,7,FALSE),-10000))</f>
        <v>1966.333748</v>
      </c>
      <c r="S276">
        <f>IF(O276=O275,Q275+S275,Q276)</f>
        <v>31450.568003999997</v>
      </c>
      <c r="T276">
        <f>IF(O276=O275,T275+1,1)</f>
        <v>2</v>
      </c>
      <c r="U276" t="str">
        <f>IF(O276=O277,"",S276/T276)</f>
        <v/>
      </c>
      <c r="V276" t="str">
        <f>IF(U276="","",IF(ABS(Q276-U276)&gt;V$1,"error",""))</f>
        <v/>
      </c>
    </row>
    <row r="277" spans="1:22" x14ac:dyDescent="0.55000000000000004">
      <c r="A277">
        <v>13421.07</v>
      </c>
      <c r="B277" s="1">
        <v>0.26619999999999999</v>
      </c>
      <c r="C277" s="1">
        <v>0.26619999999999999</v>
      </c>
      <c r="D277" s="2" t="s">
        <v>1121</v>
      </c>
      <c r="E277">
        <v>2</v>
      </c>
      <c r="F277" s="2" t="s">
        <v>1</v>
      </c>
      <c r="G277">
        <v>0</v>
      </c>
      <c r="H277">
        <v>23.5</v>
      </c>
      <c r="I277" s="2" t="s">
        <v>0</v>
      </c>
      <c r="J277">
        <v>2</v>
      </c>
      <c r="K277" s="2" t="s">
        <v>1</v>
      </c>
      <c r="L277">
        <v>0</v>
      </c>
      <c r="M277">
        <v>24.5</v>
      </c>
      <c r="N277" s="2" t="s">
        <v>1384</v>
      </c>
      <c r="O277" t="str">
        <f>D277&amp;"-"&amp;E277&amp;"-"&amp;F277&amp;"-"&amp;G277&amp;"-"&amp;H277</f>
        <v>A-2-f-0-23.5</v>
      </c>
      <c r="P277" t="str">
        <f>I277&amp;"-"&amp;J277&amp;"-"&amp;K277&amp;"-"&amp;L277&amp;"-"&amp;M277</f>
        <v>X-2-f-0-24.5</v>
      </c>
      <c r="Q277">
        <f>A277+R277</f>
        <v>15725.048982</v>
      </c>
      <c r="R277">
        <f>_xlfn.IFNA(VLOOKUP(P277,PGOPHER!A$2:G$181,7,FALSE),_xlfn.IFNA(VLOOKUP(P277,en!A$2:I$768,7,FALSE),-10000))</f>
        <v>2303.9789820000001</v>
      </c>
      <c r="S277">
        <f>IF(O277=O276,Q276+S276,Q277)</f>
        <v>47175.881752000001</v>
      </c>
      <c r="T277">
        <f>IF(O277=O276,T276+1,1)</f>
        <v>3</v>
      </c>
      <c r="U277">
        <f>IF(O277=O278,"",S277/T277)</f>
        <v>15725.293917333334</v>
      </c>
      <c r="V277" t="str">
        <f>IF(U277="","",IF(ABS(Q277-U277)&gt;V$1,"error",""))</f>
        <v/>
      </c>
    </row>
    <row r="278" spans="1:22" x14ac:dyDescent="0.55000000000000004">
      <c r="A278">
        <v>13326.88</v>
      </c>
      <c r="B278" s="1">
        <v>1.187E-2</v>
      </c>
      <c r="C278" s="1">
        <v>1.187E-2</v>
      </c>
      <c r="D278" s="2" t="s">
        <v>1121</v>
      </c>
      <c r="E278">
        <v>1</v>
      </c>
      <c r="F278" s="2" t="s">
        <v>2</v>
      </c>
      <c r="G278">
        <v>0</v>
      </c>
      <c r="H278">
        <v>24.5</v>
      </c>
      <c r="I278" s="2" t="s">
        <v>0</v>
      </c>
      <c r="J278">
        <v>1</v>
      </c>
      <c r="K278" s="2" t="s">
        <v>2</v>
      </c>
      <c r="L278">
        <v>0</v>
      </c>
      <c r="M278">
        <v>25.5</v>
      </c>
      <c r="N278" s="2" t="s">
        <v>1651</v>
      </c>
      <c r="O278" t="str">
        <f>D278&amp;"-"&amp;E278&amp;"-"&amp;F278&amp;"-"&amp;G278&amp;"-"&amp;H278</f>
        <v>A-1-e-0-24.5</v>
      </c>
      <c r="P278" t="str">
        <f>I278&amp;"-"&amp;J278&amp;"-"&amp;K278&amp;"-"&amp;L278&amp;"-"&amp;M278</f>
        <v>X-1-e-0-25.5</v>
      </c>
      <c r="Q278">
        <f>A278+R278</f>
        <v>15633.820901999999</v>
      </c>
      <c r="R278">
        <f>_xlfn.IFNA(VLOOKUP(P278,PGOPHER!A$2:G$181,7,FALSE),_xlfn.IFNA(VLOOKUP(P278,en!A$2:I$768,7,FALSE),-10000))</f>
        <v>2306.9409019999998</v>
      </c>
      <c r="S278">
        <f>IF(O278=O277,Q277+S277,Q278)</f>
        <v>15633.820901999999</v>
      </c>
      <c r="T278">
        <f>IF(O278=O277,T277+1,1)</f>
        <v>1</v>
      </c>
      <c r="U278" t="str">
        <f>IF(O278=O279,"",S278/T278)</f>
        <v/>
      </c>
      <c r="V278" t="str">
        <f>IF(U278="","",IF(ABS(Q278-U278)&gt;V$1,"error",""))</f>
        <v/>
      </c>
    </row>
    <row r="279" spans="1:22" x14ac:dyDescent="0.55000000000000004">
      <c r="A279">
        <v>13667.45</v>
      </c>
      <c r="B279" s="1">
        <v>3.705E-2</v>
      </c>
      <c r="C279" s="1">
        <v>3.705E-2</v>
      </c>
      <c r="D279" s="2" t="s">
        <v>1121</v>
      </c>
      <c r="E279">
        <v>1</v>
      </c>
      <c r="F279" s="2" t="s">
        <v>2</v>
      </c>
      <c r="G279">
        <v>0</v>
      </c>
      <c r="H279">
        <v>24.5</v>
      </c>
      <c r="I279" s="2" t="s">
        <v>0</v>
      </c>
      <c r="J279">
        <v>1</v>
      </c>
      <c r="K279" s="2" t="s">
        <v>2</v>
      </c>
      <c r="L279">
        <v>0</v>
      </c>
      <c r="M279">
        <v>23.5</v>
      </c>
      <c r="N279" s="2" t="s">
        <v>1403</v>
      </c>
      <c r="O279" t="str">
        <f>D279&amp;"-"&amp;E279&amp;"-"&amp;F279&amp;"-"&amp;G279&amp;"-"&amp;H279</f>
        <v>A-1-e-0-24.5</v>
      </c>
      <c r="P279" t="str">
        <f>I279&amp;"-"&amp;J279&amp;"-"&amp;K279&amp;"-"&amp;L279&amp;"-"&amp;M279</f>
        <v>X-1-e-0-23.5</v>
      </c>
      <c r="Q279">
        <f>A279+R279</f>
        <v>15633.783748000002</v>
      </c>
      <c r="R279">
        <f>_xlfn.IFNA(VLOOKUP(P279,PGOPHER!A$2:G$181,7,FALSE),_xlfn.IFNA(VLOOKUP(P279,en!A$2:I$768,7,FALSE),-10000))</f>
        <v>1966.333748</v>
      </c>
      <c r="S279">
        <f>IF(O279=O278,Q278+S278,Q279)</f>
        <v>31267.641803999999</v>
      </c>
      <c r="T279">
        <f>IF(O279=O278,T278+1,1)</f>
        <v>2</v>
      </c>
      <c r="U279" t="str">
        <f>IF(O279=O280,"",S279/T279)</f>
        <v/>
      </c>
      <c r="V279" t="str">
        <f>IF(U279="","",IF(ABS(Q279-U279)&gt;V$1,"error",""))</f>
        <v/>
      </c>
    </row>
    <row r="280" spans="1:22" x14ac:dyDescent="0.55000000000000004">
      <c r="A280">
        <v>13329.84</v>
      </c>
      <c r="B280" s="1">
        <v>2.019E-2</v>
      </c>
      <c r="C280" s="1">
        <v>2.019E-2</v>
      </c>
      <c r="D280" s="2" t="s">
        <v>1121</v>
      </c>
      <c r="E280">
        <v>1</v>
      </c>
      <c r="F280" s="2" t="s">
        <v>2</v>
      </c>
      <c r="G280">
        <v>0</v>
      </c>
      <c r="H280">
        <v>24.5</v>
      </c>
      <c r="I280" s="2" t="s">
        <v>0</v>
      </c>
      <c r="J280">
        <v>2</v>
      </c>
      <c r="K280" s="2" t="s">
        <v>1</v>
      </c>
      <c r="L280">
        <v>0</v>
      </c>
      <c r="M280">
        <v>24.5</v>
      </c>
      <c r="N280" s="2" t="s">
        <v>1400</v>
      </c>
      <c r="O280" t="str">
        <f>D280&amp;"-"&amp;E280&amp;"-"&amp;F280&amp;"-"&amp;G280&amp;"-"&amp;H280</f>
        <v>A-1-e-0-24.5</v>
      </c>
      <c r="P280" t="str">
        <f>I280&amp;"-"&amp;J280&amp;"-"&amp;K280&amp;"-"&amp;L280&amp;"-"&amp;M280</f>
        <v>X-2-f-0-24.5</v>
      </c>
      <c r="Q280">
        <f>A280+R280</f>
        <v>15633.818982000001</v>
      </c>
      <c r="R280">
        <f>_xlfn.IFNA(VLOOKUP(P280,PGOPHER!A$2:G$181,7,FALSE),_xlfn.IFNA(VLOOKUP(P280,en!A$2:I$768,7,FALSE),-10000))</f>
        <v>2303.9789820000001</v>
      </c>
      <c r="S280">
        <f>IF(O280=O279,Q279+S279,Q280)</f>
        <v>46901.425552000001</v>
      </c>
      <c r="T280">
        <f>IF(O280=O279,T279+1,1)</f>
        <v>3</v>
      </c>
      <c r="U280">
        <f>IF(O280=O281,"",S280/T280)</f>
        <v>15633.808517333333</v>
      </c>
      <c r="V280" t="str">
        <f>IF(U280="","",IF(ABS(Q280-U280)&gt;V$1,"error",""))</f>
        <v/>
      </c>
    </row>
    <row r="281" spans="1:22" x14ac:dyDescent="0.55000000000000004">
      <c r="A281">
        <v>13435.08</v>
      </c>
      <c r="B281" s="1">
        <v>1.874E-2</v>
      </c>
      <c r="C281" s="1">
        <v>1.874E-2</v>
      </c>
      <c r="D281" s="2" t="s">
        <v>1121</v>
      </c>
      <c r="E281">
        <v>1</v>
      </c>
      <c r="F281" s="2" t="s">
        <v>1</v>
      </c>
      <c r="G281">
        <v>0</v>
      </c>
      <c r="H281">
        <v>24.5</v>
      </c>
      <c r="I281" s="2" t="s">
        <v>0</v>
      </c>
      <c r="J281">
        <v>2</v>
      </c>
      <c r="K281" s="2" t="s">
        <v>1</v>
      </c>
      <c r="L281">
        <v>0</v>
      </c>
      <c r="M281">
        <v>23.5</v>
      </c>
      <c r="N281" s="2" t="s">
        <v>1402</v>
      </c>
      <c r="O281" t="str">
        <f>D281&amp;"-"&amp;E281&amp;"-"&amp;F281&amp;"-"&amp;G281&amp;"-"&amp;H281</f>
        <v>A-1-f-0-24.5</v>
      </c>
      <c r="P281" t="str">
        <f>I281&amp;"-"&amp;J281&amp;"-"&amp;K281&amp;"-"&amp;L281&amp;"-"&amp;M281</f>
        <v>X-2-f-0-23.5</v>
      </c>
      <c r="Q281">
        <f>A281+R281</f>
        <v>15565.685053000001</v>
      </c>
      <c r="R281">
        <f>_xlfn.IFNA(VLOOKUP(P281,PGOPHER!A$2:G$181,7,FALSE),_xlfn.IFNA(VLOOKUP(P281,en!A$2:I$768,7,FALSE),-10000))</f>
        <v>2130.6050530000002</v>
      </c>
      <c r="S281">
        <f>IF(O281=O280,Q280+S280,Q281)</f>
        <v>15565.685053000001</v>
      </c>
      <c r="T281">
        <f>IF(O281=O280,T280+1,1)</f>
        <v>1</v>
      </c>
      <c r="U281" t="str">
        <f>IF(O281=O282,"",S281/T281)</f>
        <v/>
      </c>
      <c r="V281" t="str">
        <f>IF(U281="","",IF(ABS(Q281-U281)&gt;V$1,"error",""))</f>
        <v/>
      </c>
    </row>
    <row r="282" spans="1:22" x14ac:dyDescent="0.55000000000000004">
      <c r="A282">
        <v>13432.25</v>
      </c>
      <c r="B282" s="1">
        <v>1.874E-2</v>
      </c>
      <c r="C282" s="1">
        <v>1.874E-2</v>
      </c>
      <c r="D282" s="2" t="s">
        <v>1121</v>
      </c>
      <c r="E282">
        <v>1</v>
      </c>
      <c r="F282" s="2" t="s">
        <v>1</v>
      </c>
      <c r="G282">
        <v>0</v>
      </c>
      <c r="H282">
        <v>24.5</v>
      </c>
      <c r="I282" s="2" t="s">
        <v>0</v>
      </c>
      <c r="J282">
        <v>1</v>
      </c>
      <c r="K282" s="2" t="s">
        <v>2</v>
      </c>
      <c r="L282">
        <v>0</v>
      </c>
      <c r="M282">
        <v>24.5</v>
      </c>
      <c r="N282" s="2" t="s">
        <v>1401</v>
      </c>
      <c r="O282" t="str">
        <f>D282&amp;"-"&amp;E282&amp;"-"&amp;F282&amp;"-"&amp;G282&amp;"-"&amp;H282</f>
        <v>A-1-f-0-24.5</v>
      </c>
      <c r="P282" t="str">
        <f>I282&amp;"-"&amp;J282&amp;"-"&amp;K282&amp;"-"&amp;L282&amp;"-"&amp;M282</f>
        <v>X-1-e-0-24.5</v>
      </c>
      <c r="Q282">
        <f>A282+R282</f>
        <v>15565.720032000001</v>
      </c>
      <c r="R282">
        <f>_xlfn.IFNA(VLOOKUP(P282,PGOPHER!A$2:G$181,7,FALSE),_xlfn.IFNA(VLOOKUP(P282,en!A$2:I$768,7,FALSE),-10000))</f>
        <v>2133.4700320000002</v>
      </c>
      <c r="S282">
        <f>IF(O282=O281,Q281+S281,Q282)</f>
        <v>31131.370106000002</v>
      </c>
      <c r="T282">
        <f>IF(O282=O281,T281+1,1)</f>
        <v>2</v>
      </c>
      <c r="U282">
        <f>IF(O282=O283,"",S282/T282)</f>
        <v>15565.685053000001</v>
      </c>
      <c r="V282" t="str">
        <f>IF(U282="","",IF(ABS(Q282-U282)&gt;V$1,"error",""))</f>
        <v/>
      </c>
    </row>
    <row r="283" spans="1:22" x14ac:dyDescent="0.55000000000000004">
      <c r="A283">
        <v>13610.87</v>
      </c>
      <c r="B283" s="1">
        <v>9.4869999999999996E-2</v>
      </c>
      <c r="C283" s="1">
        <v>9.4869999999999996E-2</v>
      </c>
      <c r="D283" s="2" t="s">
        <v>1121</v>
      </c>
      <c r="E283">
        <v>2</v>
      </c>
      <c r="F283" s="2" t="s">
        <v>2</v>
      </c>
      <c r="G283">
        <v>0</v>
      </c>
      <c r="H283">
        <v>24.5</v>
      </c>
      <c r="I283" s="2" t="s">
        <v>0</v>
      </c>
      <c r="J283">
        <v>2</v>
      </c>
      <c r="K283" s="2" t="s">
        <v>1</v>
      </c>
      <c r="L283">
        <v>0</v>
      </c>
      <c r="M283">
        <v>24.5</v>
      </c>
      <c r="N283" s="2" t="s">
        <v>1396</v>
      </c>
      <c r="O283" t="str">
        <f>D283&amp;"-"&amp;E283&amp;"-"&amp;F283&amp;"-"&amp;G283&amp;"-"&amp;H283</f>
        <v>A-2-e-0-24.5</v>
      </c>
      <c r="P283" t="str">
        <f>I283&amp;"-"&amp;J283&amp;"-"&amp;K283&amp;"-"&amp;L283&amp;"-"&amp;M283</f>
        <v>X-2-f-0-24.5</v>
      </c>
      <c r="Q283">
        <f>A283+R283</f>
        <v>15914.848982000001</v>
      </c>
      <c r="R283">
        <f>_xlfn.IFNA(VLOOKUP(P283,PGOPHER!A$2:G$181,7,FALSE),_xlfn.IFNA(VLOOKUP(P283,en!A$2:I$768,7,FALSE),-10000))</f>
        <v>2303.9789820000001</v>
      </c>
      <c r="S283">
        <f>IF(O283=O282,Q282+S282,Q283)</f>
        <v>15914.848982000001</v>
      </c>
      <c r="T283">
        <f>IF(O283=O282,T282+1,1)</f>
        <v>1</v>
      </c>
      <c r="U283" t="str">
        <f>IF(O283=O284,"",S283/T283)</f>
        <v/>
      </c>
      <c r="V283" t="str">
        <f>IF(U283="","",IF(ABS(Q283-U283)&gt;V$1,"error",""))</f>
        <v/>
      </c>
    </row>
    <row r="284" spans="1:22" x14ac:dyDescent="0.55000000000000004">
      <c r="A284">
        <v>13948.7</v>
      </c>
      <c r="B284" s="1">
        <v>9.4869999999999996E-2</v>
      </c>
      <c r="C284" s="1">
        <v>9.4869999999999996E-2</v>
      </c>
      <c r="D284" s="2" t="s">
        <v>1121</v>
      </c>
      <c r="E284">
        <v>2</v>
      </c>
      <c r="F284" s="2" t="s">
        <v>2</v>
      </c>
      <c r="G284">
        <v>0</v>
      </c>
      <c r="H284">
        <v>24.5</v>
      </c>
      <c r="I284" s="2" t="s">
        <v>0</v>
      </c>
      <c r="J284">
        <v>1</v>
      </c>
      <c r="K284" s="2" t="s">
        <v>2</v>
      </c>
      <c r="L284">
        <v>0</v>
      </c>
      <c r="M284">
        <v>23.5</v>
      </c>
      <c r="N284" s="2" t="s">
        <v>1399</v>
      </c>
      <c r="O284" t="str">
        <f>D284&amp;"-"&amp;E284&amp;"-"&amp;F284&amp;"-"&amp;G284&amp;"-"&amp;H284</f>
        <v>A-2-e-0-24.5</v>
      </c>
      <c r="P284" t="str">
        <f>I284&amp;"-"&amp;J284&amp;"-"&amp;K284&amp;"-"&amp;L284&amp;"-"&amp;M284</f>
        <v>X-1-e-0-23.5</v>
      </c>
      <c r="Q284">
        <f>A284+R284</f>
        <v>15915.033748000002</v>
      </c>
      <c r="R284">
        <f>_xlfn.IFNA(VLOOKUP(P284,PGOPHER!A$2:G$181,7,FALSE),_xlfn.IFNA(VLOOKUP(P284,en!A$2:I$768,7,FALSE),-10000))</f>
        <v>1966.333748</v>
      </c>
      <c r="S284">
        <f>IF(O284=O283,Q283+S283,Q284)</f>
        <v>31829.697964000003</v>
      </c>
      <c r="T284">
        <f>IF(O284=O283,T283+1,1)</f>
        <v>2</v>
      </c>
      <c r="U284">
        <f>IF(O284=O285,"",S284/T284)</f>
        <v>15914.848982000001</v>
      </c>
      <c r="V284" t="str">
        <f>IF(U284="","",IF(ABS(Q284-U284)&gt;V$1,"error",""))</f>
        <v/>
      </c>
    </row>
    <row r="285" spans="1:22" x14ac:dyDescent="0.55000000000000004">
      <c r="A285">
        <v>13767.38</v>
      </c>
      <c r="B285" s="1">
        <v>0.26169999999999999</v>
      </c>
      <c r="C285" s="1">
        <v>0.26169999999999999</v>
      </c>
      <c r="D285" s="2" t="s">
        <v>1121</v>
      </c>
      <c r="E285">
        <v>2</v>
      </c>
      <c r="F285" s="2" t="s">
        <v>1</v>
      </c>
      <c r="G285">
        <v>0</v>
      </c>
      <c r="H285">
        <v>24.5</v>
      </c>
      <c r="I285" s="2" t="s">
        <v>0</v>
      </c>
      <c r="J285">
        <v>2</v>
      </c>
      <c r="K285" s="2" t="s">
        <v>1</v>
      </c>
      <c r="L285">
        <v>0</v>
      </c>
      <c r="M285">
        <v>23.5</v>
      </c>
      <c r="N285" s="2" t="s">
        <v>1398</v>
      </c>
      <c r="O285" t="str">
        <f>D285&amp;"-"&amp;E285&amp;"-"&amp;F285&amp;"-"&amp;G285&amp;"-"&amp;H285</f>
        <v>A-2-f-0-24.5</v>
      </c>
      <c r="P285" t="str">
        <f>I285&amp;"-"&amp;J285&amp;"-"&amp;K285&amp;"-"&amp;L285&amp;"-"&amp;M285</f>
        <v>X-2-f-0-23.5</v>
      </c>
      <c r="Q285">
        <f>A285+R285</f>
        <v>15897.985053</v>
      </c>
      <c r="R285">
        <f>_xlfn.IFNA(VLOOKUP(P285,PGOPHER!A$2:G$181,7,FALSE),_xlfn.IFNA(VLOOKUP(P285,en!A$2:I$768,7,FALSE),-10000))</f>
        <v>2130.6050530000002</v>
      </c>
      <c r="S285">
        <f>IF(O285=O284,Q284+S284,Q285)</f>
        <v>15897.985053</v>
      </c>
      <c r="T285">
        <f>IF(O285=O284,T284+1,1)</f>
        <v>1</v>
      </c>
      <c r="U285" t="str">
        <f>IF(O285=O286,"",S285/T285)</f>
        <v/>
      </c>
      <c r="V285" t="str">
        <f>IF(U285="","",IF(ABS(Q285-U285)&gt;V$1,"error",""))</f>
        <v/>
      </c>
    </row>
    <row r="286" spans="1:22" x14ac:dyDescent="0.55000000000000004">
      <c r="A286">
        <v>13764.53</v>
      </c>
      <c r="B286" s="1">
        <v>0.29110000000000003</v>
      </c>
      <c r="C286" s="1">
        <v>0.29110000000000003</v>
      </c>
      <c r="D286" s="2" t="s">
        <v>1121</v>
      </c>
      <c r="E286">
        <v>2</v>
      </c>
      <c r="F286" s="2" t="s">
        <v>1</v>
      </c>
      <c r="G286">
        <v>0</v>
      </c>
      <c r="H286">
        <v>24.5</v>
      </c>
      <c r="I286" s="2" t="s">
        <v>0</v>
      </c>
      <c r="J286">
        <v>1</v>
      </c>
      <c r="K286" s="2" t="s">
        <v>2</v>
      </c>
      <c r="L286">
        <v>0</v>
      </c>
      <c r="M286">
        <v>24.5</v>
      </c>
      <c r="N286" s="2" t="s">
        <v>1397</v>
      </c>
      <c r="O286" t="str">
        <f>D286&amp;"-"&amp;E286&amp;"-"&amp;F286&amp;"-"&amp;G286&amp;"-"&amp;H286</f>
        <v>A-2-f-0-24.5</v>
      </c>
      <c r="P286" t="str">
        <f>I286&amp;"-"&amp;J286&amp;"-"&amp;K286&amp;"-"&amp;L286&amp;"-"&amp;M286</f>
        <v>X-1-e-0-24.5</v>
      </c>
      <c r="Q286">
        <f>A286+R286</f>
        <v>15898.000032</v>
      </c>
      <c r="R286">
        <f>_xlfn.IFNA(VLOOKUP(P286,PGOPHER!A$2:G$181,7,FALSE),_xlfn.IFNA(VLOOKUP(P286,en!A$2:I$768,7,FALSE),-10000))</f>
        <v>2133.4700320000002</v>
      </c>
      <c r="S286">
        <f>IF(O286=O285,Q285+S285,Q286)</f>
        <v>31795.970106000001</v>
      </c>
      <c r="T286">
        <f>IF(O286=O285,T285+1,1)</f>
        <v>2</v>
      </c>
      <c r="U286" t="str">
        <f>IF(O286=O287,"",S286/T286)</f>
        <v/>
      </c>
      <c r="V286" t="str">
        <f>IF(U286="","",IF(ABS(Q286-U286)&gt;V$1,"error",""))</f>
        <v/>
      </c>
    </row>
    <row r="287" spans="1:22" x14ac:dyDescent="0.55000000000000004">
      <c r="A287">
        <v>13413.65</v>
      </c>
      <c r="B287" s="1">
        <v>0.72809999999999997</v>
      </c>
      <c r="C287" s="1">
        <v>0.72809999999999997</v>
      </c>
      <c r="D287" s="2" t="s">
        <v>1121</v>
      </c>
      <c r="E287">
        <v>2</v>
      </c>
      <c r="F287" s="2" t="s">
        <v>1</v>
      </c>
      <c r="G287">
        <v>0</v>
      </c>
      <c r="H287">
        <v>24.5</v>
      </c>
      <c r="I287" s="2" t="s">
        <v>0</v>
      </c>
      <c r="J287">
        <v>2</v>
      </c>
      <c r="K287" s="2" t="s">
        <v>1</v>
      </c>
      <c r="L287">
        <v>0</v>
      </c>
      <c r="M287">
        <v>25.5</v>
      </c>
      <c r="N287" s="2" t="s">
        <v>1395</v>
      </c>
      <c r="O287" t="str">
        <f>D287&amp;"-"&amp;E287&amp;"-"&amp;F287&amp;"-"&amp;G287&amp;"-"&amp;H287</f>
        <v>A-2-f-0-24.5</v>
      </c>
      <c r="P287" t="str">
        <f>I287&amp;"-"&amp;J287&amp;"-"&amp;K287&amp;"-"&amp;L287&amp;"-"&amp;M287</f>
        <v>X-2-f-0-25.5</v>
      </c>
      <c r="Q287">
        <f>A287+R287</f>
        <v>15897.244128</v>
      </c>
      <c r="R287">
        <f>_xlfn.IFNA(VLOOKUP(P287,PGOPHER!A$2:G$181,7,FALSE),_xlfn.IFNA(VLOOKUP(P287,en!A$2:I$768,7,FALSE),-10000))</f>
        <v>2483.5941280000002</v>
      </c>
      <c r="S287">
        <f>IF(O287=O286,Q286+S286,Q287)</f>
        <v>47693.970138000004</v>
      </c>
      <c r="T287">
        <f>IF(O287=O286,T286+1,1)</f>
        <v>3</v>
      </c>
      <c r="U287">
        <f>IF(O287=O288,"",S287/T287)</f>
        <v>15897.990046000001</v>
      </c>
      <c r="V287" t="str">
        <f>IF(U287="","",IF(ABS(Q287-U287)&gt;V$1,"error",""))</f>
        <v>error</v>
      </c>
    </row>
    <row r="288" spans="1:22" x14ac:dyDescent="0.55000000000000004">
      <c r="A288">
        <v>13325.56</v>
      </c>
      <c r="B288" s="1">
        <v>0.01</v>
      </c>
      <c r="C288" s="1">
        <v>0.01</v>
      </c>
      <c r="D288" s="2" t="s">
        <v>1121</v>
      </c>
      <c r="E288">
        <v>1</v>
      </c>
      <c r="F288" s="2" t="s">
        <v>2</v>
      </c>
      <c r="G288">
        <v>0</v>
      </c>
      <c r="H288">
        <v>25.5</v>
      </c>
      <c r="I288" s="2" t="s">
        <v>0</v>
      </c>
      <c r="J288">
        <v>1</v>
      </c>
      <c r="K288" s="2" t="s">
        <v>2</v>
      </c>
      <c r="L288">
        <v>0</v>
      </c>
      <c r="M288">
        <v>26.5</v>
      </c>
      <c r="N288" s="2" t="s">
        <v>1409</v>
      </c>
      <c r="O288" t="str">
        <f>D288&amp;"-"&amp;E288&amp;"-"&amp;F288&amp;"-"&amp;G288&amp;"-"&amp;H288</f>
        <v>A-1-e-0-25.5</v>
      </c>
      <c r="P288" t="str">
        <f>I288&amp;"-"&amp;J288&amp;"-"&amp;K288&amp;"-"&amp;L288&amp;"-"&amp;M288</f>
        <v>X-1-e-0-26.5</v>
      </c>
      <c r="Q288">
        <f>A288+R288</f>
        <v>15812.224214999998</v>
      </c>
      <c r="R288">
        <f>_xlfn.IFNA(VLOOKUP(P288,PGOPHER!A$2:G$181,7,FALSE),_xlfn.IFNA(VLOOKUP(P288,en!A$2:I$768,7,FALSE),-10000))</f>
        <v>2486.6642149999998</v>
      </c>
      <c r="S288">
        <f>IF(O288=O287,Q287+S287,Q288)</f>
        <v>15812.224214999998</v>
      </c>
      <c r="T288">
        <f>IF(O288=O287,T287+1,1)</f>
        <v>1</v>
      </c>
      <c r="U288" t="str">
        <f>IF(O288=O289,"",S288/T288)</f>
        <v/>
      </c>
      <c r="V288" t="str">
        <f>IF(U288="","",IF(ABS(Q288-U288)&gt;V$1,"error",""))</f>
        <v/>
      </c>
    </row>
    <row r="289" spans="1:22" x14ac:dyDescent="0.55000000000000004">
      <c r="A289">
        <v>13678.73</v>
      </c>
      <c r="B289" s="1">
        <v>3.1099999999999999E-2</v>
      </c>
      <c r="C289" s="1">
        <v>3.1099999999999999E-2</v>
      </c>
      <c r="D289" s="2" t="s">
        <v>1121</v>
      </c>
      <c r="E289">
        <v>1</v>
      </c>
      <c r="F289" s="2" t="s">
        <v>2</v>
      </c>
      <c r="G289">
        <v>0</v>
      </c>
      <c r="H289">
        <v>25.5</v>
      </c>
      <c r="I289" s="2" t="s">
        <v>0</v>
      </c>
      <c r="J289">
        <v>1</v>
      </c>
      <c r="K289" s="2" t="s">
        <v>2</v>
      </c>
      <c r="L289">
        <v>0</v>
      </c>
      <c r="M289">
        <v>24.5</v>
      </c>
      <c r="N289" s="2" t="s">
        <v>1413</v>
      </c>
      <c r="O289" t="str">
        <f>D289&amp;"-"&amp;E289&amp;"-"&amp;F289&amp;"-"&amp;G289&amp;"-"&amp;H289</f>
        <v>A-1-e-0-25.5</v>
      </c>
      <c r="P289" t="str">
        <f>I289&amp;"-"&amp;J289&amp;"-"&amp;K289&amp;"-"&amp;L289&amp;"-"&amp;M289</f>
        <v>X-1-e-0-24.5</v>
      </c>
      <c r="Q289">
        <f>A289+R289</f>
        <v>15812.200032000001</v>
      </c>
      <c r="R289">
        <f>_xlfn.IFNA(VLOOKUP(P289,PGOPHER!A$2:G$181,7,FALSE),_xlfn.IFNA(VLOOKUP(P289,en!A$2:I$768,7,FALSE),-10000))</f>
        <v>2133.4700320000002</v>
      </c>
      <c r="S289">
        <f>IF(O289=O288,Q288+S288,Q289)</f>
        <v>31624.448429999997</v>
      </c>
      <c r="T289">
        <f>IF(O289=O288,T288+1,1)</f>
        <v>2</v>
      </c>
      <c r="U289" t="str">
        <f>IF(O289=O290,"",S289/T289)</f>
        <v/>
      </c>
      <c r="V289" t="str">
        <f>IF(U289="","",IF(ABS(Q289-U289)&gt;V$1,"error",""))</f>
        <v/>
      </c>
    </row>
    <row r="290" spans="1:22" x14ac:dyDescent="0.55000000000000004">
      <c r="A290">
        <v>13328.66</v>
      </c>
      <c r="B290" s="1">
        <v>3.6749999999999998E-2</v>
      </c>
      <c r="C290" s="1">
        <v>3.6749999999999998E-2</v>
      </c>
      <c r="D290" s="2" t="s">
        <v>1121</v>
      </c>
      <c r="E290">
        <v>1</v>
      </c>
      <c r="F290" s="2" t="s">
        <v>2</v>
      </c>
      <c r="G290">
        <v>0</v>
      </c>
      <c r="H290">
        <v>25.5</v>
      </c>
      <c r="I290" s="2" t="s">
        <v>0</v>
      </c>
      <c r="J290">
        <v>2</v>
      </c>
      <c r="K290" s="2" t="s">
        <v>1</v>
      </c>
      <c r="L290">
        <v>0</v>
      </c>
      <c r="M290">
        <v>25.5</v>
      </c>
      <c r="N290" s="2" t="s">
        <v>1410</v>
      </c>
      <c r="O290" t="str">
        <f>D290&amp;"-"&amp;E290&amp;"-"&amp;F290&amp;"-"&amp;G290&amp;"-"&amp;H290</f>
        <v>A-1-e-0-25.5</v>
      </c>
      <c r="P290" t="str">
        <f>I290&amp;"-"&amp;J290&amp;"-"&amp;K290&amp;"-"&amp;L290&amp;"-"&amp;M290</f>
        <v>X-2-f-0-25.5</v>
      </c>
      <c r="Q290">
        <f>A290+R290</f>
        <v>15812.254128</v>
      </c>
      <c r="R290">
        <f>_xlfn.IFNA(VLOOKUP(P290,PGOPHER!A$2:G$181,7,FALSE),_xlfn.IFNA(VLOOKUP(P290,en!A$2:I$768,7,FALSE),-10000))</f>
        <v>2483.5941280000002</v>
      </c>
      <c r="S290">
        <f>IF(O290=O289,Q289+S289,Q290)</f>
        <v>47436.648461999997</v>
      </c>
      <c r="T290">
        <f>IF(O290=O289,T289+1,1)</f>
        <v>3</v>
      </c>
      <c r="U290">
        <f>IF(O290=O291,"",S290/T290)</f>
        <v>15812.216154</v>
      </c>
      <c r="V290" t="str">
        <f>IF(U290="","",IF(ABS(Q290-U290)&gt;V$1,"error",""))</f>
        <v/>
      </c>
    </row>
    <row r="291" spans="1:22" x14ac:dyDescent="0.55000000000000004">
      <c r="A291">
        <v>13439.86</v>
      </c>
      <c r="B291" s="1">
        <v>3.3140000000000003E-2</v>
      </c>
      <c r="C291" s="1">
        <v>3.3140000000000003E-2</v>
      </c>
      <c r="D291" s="2" t="s">
        <v>1121</v>
      </c>
      <c r="E291">
        <v>1</v>
      </c>
      <c r="F291" s="2" t="s">
        <v>1</v>
      </c>
      <c r="G291">
        <v>0</v>
      </c>
      <c r="H291">
        <v>25.5</v>
      </c>
      <c r="I291" s="2" t="s">
        <v>0</v>
      </c>
      <c r="J291">
        <v>2</v>
      </c>
      <c r="K291" s="2" t="s">
        <v>1</v>
      </c>
      <c r="L291">
        <v>0</v>
      </c>
      <c r="M291">
        <v>24.5</v>
      </c>
      <c r="N291" s="2" t="s">
        <v>1412</v>
      </c>
      <c r="O291" t="str">
        <f>D291&amp;"-"&amp;E291&amp;"-"&amp;F291&amp;"-"&amp;G291&amp;"-"&amp;H291</f>
        <v>A-1-f-0-25.5</v>
      </c>
      <c r="P291" t="str">
        <f>I291&amp;"-"&amp;J291&amp;"-"&amp;K291&amp;"-"&amp;L291&amp;"-"&amp;M291</f>
        <v>X-2-f-0-24.5</v>
      </c>
      <c r="Q291">
        <f>A291+R291</f>
        <v>15743.838982000001</v>
      </c>
      <c r="R291">
        <f>_xlfn.IFNA(VLOOKUP(P291,PGOPHER!A$2:G$181,7,FALSE),_xlfn.IFNA(VLOOKUP(P291,en!A$2:I$768,7,FALSE),-10000))</f>
        <v>2303.9789820000001</v>
      </c>
      <c r="S291">
        <f>IF(O291=O290,Q290+S290,Q291)</f>
        <v>15743.838982000001</v>
      </c>
      <c r="T291">
        <f>IF(O291=O290,T290+1,1)</f>
        <v>1</v>
      </c>
      <c r="U291" t="str">
        <f>IF(O291=O292,"",S291/T291)</f>
        <v/>
      </c>
      <c r="V291" t="str">
        <f>IF(U291="","",IF(ABS(Q291-U291)&gt;V$1,"error",""))</f>
        <v/>
      </c>
    </row>
    <row r="292" spans="1:22" x14ac:dyDescent="0.55000000000000004">
      <c r="A292">
        <v>13436.96</v>
      </c>
      <c r="B292" s="1">
        <v>3.3140000000000003E-2</v>
      </c>
      <c r="C292" s="1">
        <v>3.3140000000000003E-2</v>
      </c>
      <c r="D292" s="2" t="s">
        <v>1121</v>
      </c>
      <c r="E292">
        <v>1</v>
      </c>
      <c r="F292" s="2" t="s">
        <v>1</v>
      </c>
      <c r="G292">
        <v>0</v>
      </c>
      <c r="H292">
        <v>25.5</v>
      </c>
      <c r="I292" s="2" t="s">
        <v>0</v>
      </c>
      <c r="J292">
        <v>1</v>
      </c>
      <c r="K292" s="2" t="s">
        <v>2</v>
      </c>
      <c r="L292">
        <v>0</v>
      </c>
      <c r="M292">
        <v>25.5</v>
      </c>
      <c r="N292" s="2" t="s">
        <v>1411</v>
      </c>
      <c r="O292" t="str">
        <f>D292&amp;"-"&amp;E292&amp;"-"&amp;F292&amp;"-"&amp;G292&amp;"-"&amp;H292</f>
        <v>A-1-f-0-25.5</v>
      </c>
      <c r="P292" t="str">
        <f>I292&amp;"-"&amp;J292&amp;"-"&amp;K292&amp;"-"&amp;L292&amp;"-"&amp;M292</f>
        <v>X-1-e-0-25.5</v>
      </c>
      <c r="Q292">
        <f>A292+R292</f>
        <v>15743.900901999999</v>
      </c>
      <c r="R292">
        <f>_xlfn.IFNA(VLOOKUP(P292,PGOPHER!A$2:G$181,7,FALSE),_xlfn.IFNA(VLOOKUP(P292,en!A$2:I$768,7,FALSE),-10000))</f>
        <v>2306.9409019999998</v>
      </c>
      <c r="S292">
        <f>IF(O292=O291,Q291+S291,Q292)</f>
        <v>31487.677964000002</v>
      </c>
      <c r="T292">
        <f>IF(O292=O291,T291+1,1)</f>
        <v>2</v>
      </c>
      <c r="U292">
        <f>IF(O292=O293,"",S292/T292)</f>
        <v>15743.838982000001</v>
      </c>
      <c r="V292" t="str">
        <f>IF(U292="","",IF(ABS(Q292-U292)&gt;V$1,"error",""))</f>
        <v/>
      </c>
    </row>
    <row r="293" spans="1:22" x14ac:dyDescent="0.55000000000000004">
      <c r="A293">
        <v>13612.31</v>
      </c>
      <c r="B293" s="1">
        <v>2.4729999999999999E-2</v>
      </c>
      <c r="C293" s="1">
        <v>2.4729999999999999E-2</v>
      </c>
      <c r="D293" s="2" t="s">
        <v>1121</v>
      </c>
      <c r="E293">
        <v>2</v>
      </c>
      <c r="F293" s="2" t="s">
        <v>2</v>
      </c>
      <c r="G293">
        <v>0</v>
      </c>
      <c r="H293">
        <v>25.5</v>
      </c>
      <c r="I293" s="2" t="s">
        <v>0</v>
      </c>
      <c r="J293">
        <v>2</v>
      </c>
      <c r="K293" s="2" t="s">
        <v>1</v>
      </c>
      <c r="L293">
        <v>0</v>
      </c>
      <c r="M293">
        <v>25.5</v>
      </c>
      <c r="N293" s="2" t="s">
        <v>1405</v>
      </c>
      <c r="O293" t="str">
        <f>D293&amp;"-"&amp;E293&amp;"-"&amp;F293&amp;"-"&amp;G293&amp;"-"&amp;H293</f>
        <v>A-2-e-0-25.5</v>
      </c>
      <c r="P293" t="str">
        <f>I293&amp;"-"&amp;J293&amp;"-"&amp;K293&amp;"-"&amp;L293&amp;"-"&amp;M293</f>
        <v>X-2-f-0-25.5</v>
      </c>
      <c r="Q293">
        <f>A293+R293</f>
        <v>16095.904128</v>
      </c>
      <c r="R293">
        <f>_xlfn.IFNA(VLOOKUP(P293,PGOPHER!A$2:G$181,7,FALSE),_xlfn.IFNA(VLOOKUP(P293,en!A$2:I$768,7,FALSE),-10000))</f>
        <v>2483.5941280000002</v>
      </c>
      <c r="S293">
        <f>IF(O293=O292,Q292+S292,Q293)</f>
        <v>16095.904128</v>
      </c>
      <c r="T293">
        <f>IF(O293=O292,T292+1,1)</f>
        <v>1</v>
      </c>
      <c r="U293" t="str">
        <f>IF(O293=O294,"",S293/T293)</f>
        <v/>
      </c>
      <c r="V293" t="str">
        <f>IF(U293="","",IF(ABS(Q293-U293)&gt;V$1,"error",""))</f>
        <v/>
      </c>
    </row>
    <row r="294" spans="1:22" x14ac:dyDescent="0.55000000000000004">
      <c r="A294">
        <v>13962.48</v>
      </c>
      <c r="B294" s="1">
        <v>2.4729999999999999E-2</v>
      </c>
      <c r="C294" s="1">
        <v>2.4729999999999999E-2</v>
      </c>
      <c r="D294" s="2" t="s">
        <v>1121</v>
      </c>
      <c r="E294">
        <v>2</v>
      </c>
      <c r="F294" s="2" t="s">
        <v>2</v>
      </c>
      <c r="G294">
        <v>0</v>
      </c>
      <c r="H294">
        <v>25.5</v>
      </c>
      <c r="I294" s="2" t="s">
        <v>0</v>
      </c>
      <c r="J294">
        <v>1</v>
      </c>
      <c r="K294" s="2" t="s">
        <v>2</v>
      </c>
      <c r="L294">
        <v>0</v>
      </c>
      <c r="M294">
        <v>24.5</v>
      </c>
      <c r="N294" s="2" t="s">
        <v>1408</v>
      </c>
      <c r="O294" t="str">
        <f>D294&amp;"-"&amp;E294&amp;"-"&amp;F294&amp;"-"&amp;G294&amp;"-"&amp;H294</f>
        <v>A-2-e-0-25.5</v>
      </c>
      <c r="P294" t="str">
        <f>I294&amp;"-"&amp;J294&amp;"-"&amp;K294&amp;"-"&amp;L294&amp;"-"&amp;M294</f>
        <v>X-1-e-0-24.5</v>
      </c>
      <c r="Q294">
        <f>A294+R294</f>
        <v>16095.950032000001</v>
      </c>
      <c r="R294">
        <f>_xlfn.IFNA(VLOOKUP(P294,PGOPHER!A$2:G$181,7,FALSE),_xlfn.IFNA(VLOOKUP(P294,en!A$2:I$768,7,FALSE),-10000))</f>
        <v>2133.4700320000002</v>
      </c>
      <c r="S294">
        <f>IF(O294=O293,Q293+S293,Q294)</f>
        <v>32191.808256</v>
      </c>
      <c r="T294">
        <f>IF(O294=O293,T293+1,1)</f>
        <v>2</v>
      </c>
      <c r="U294">
        <f>IF(O294=O295,"",S294/T294)</f>
        <v>16095.904128</v>
      </c>
      <c r="V294" t="str">
        <f>IF(U294="","",IF(ABS(Q294-U294)&gt;V$1,"error",""))</f>
        <v/>
      </c>
    </row>
    <row r="295" spans="1:22" x14ac:dyDescent="0.55000000000000004">
      <c r="A295">
        <v>13773.06</v>
      </c>
      <c r="B295" s="1">
        <v>0.42830000000000001</v>
      </c>
      <c r="C295" s="1">
        <v>0.42830000000000001</v>
      </c>
      <c r="D295" s="2" t="s">
        <v>1121</v>
      </c>
      <c r="E295">
        <v>2</v>
      </c>
      <c r="F295" s="2" t="s">
        <v>1</v>
      </c>
      <c r="G295">
        <v>0</v>
      </c>
      <c r="H295">
        <v>25.5</v>
      </c>
      <c r="I295" s="2" t="s">
        <v>0</v>
      </c>
      <c r="J295">
        <v>2</v>
      </c>
      <c r="K295" s="2" t="s">
        <v>1</v>
      </c>
      <c r="L295">
        <v>0</v>
      </c>
      <c r="M295">
        <v>24.5</v>
      </c>
      <c r="N295" s="2" t="s">
        <v>1407</v>
      </c>
      <c r="O295" t="str">
        <f>D295&amp;"-"&amp;E295&amp;"-"&amp;F295&amp;"-"&amp;G295&amp;"-"&amp;H295</f>
        <v>A-2-f-0-25.5</v>
      </c>
      <c r="P295" t="str">
        <f>I295&amp;"-"&amp;J295&amp;"-"&amp;K295&amp;"-"&amp;L295&amp;"-"&amp;M295</f>
        <v>X-2-f-0-24.5</v>
      </c>
      <c r="Q295">
        <f>A295+R295</f>
        <v>16077.038982</v>
      </c>
      <c r="R295">
        <f>_xlfn.IFNA(VLOOKUP(P295,PGOPHER!A$2:G$181,7,FALSE),_xlfn.IFNA(VLOOKUP(P295,en!A$2:I$768,7,FALSE),-10000))</f>
        <v>2303.9789820000001</v>
      </c>
      <c r="S295">
        <f>IF(O295=O294,Q294+S294,Q295)</f>
        <v>16077.038982</v>
      </c>
      <c r="T295">
        <f>IF(O295=O294,T294+1,1)</f>
        <v>1</v>
      </c>
      <c r="U295" t="str">
        <f>IF(O295=O296,"",S295/T295)</f>
        <v/>
      </c>
      <c r="V295" t="str">
        <f>IF(U295="","",IF(ABS(Q295-U295)&gt;V$1,"error",""))</f>
        <v/>
      </c>
    </row>
    <row r="296" spans="1:22" x14ac:dyDescent="0.55000000000000004">
      <c r="A296">
        <v>13770.14</v>
      </c>
      <c r="B296" s="1">
        <v>0.43709999999999999</v>
      </c>
      <c r="C296" s="1">
        <v>0.43709999999999999</v>
      </c>
      <c r="D296" s="2" t="s">
        <v>1121</v>
      </c>
      <c r="E296">
        <v>2</v>
      </c>
      <c r="F296" s="2" t="s">
        <v>1</v>
      </c>
      <c r="G296">
        <v>0</v>
      </c>
      <c r="H296">
        <v>25.5</v>
      </c>
      <c r="I296" s="2" t="s">
        <v>0</v>
      </c>
      <c r="J296">
        <v>1</v>
      </c>
      <c r="K296" s="2" t="s">
        <v>2</v>
      </c>
      <c r="L296">
        <v>0</v>
      </c>
      <c r="M296">
        <v>25.5</v>
      </c>
      <c r="N296" s="2" t="s">
        <v>1406</v>
      </c>
      <c r="O296" t="str">
        <f>D296&amp;"-"&amp;E296&amp;"-"&amp;F296&amp;"-"&amp;G296&amp;"-"&amp;H296</f>
        <v>A-2-f-0-25.5</v>
      </c>
      <c r="P296" t="str">
        <f>I296&amp;"-"&amp;J296&amp;"-"&amp;K296&amp;"-"&amp;L296&amp;"-"&amp;M296</f>
        <v>X-1-e-0-25.5</v>
      </c>
      <c r="Q296">
        <f>A296+R296</f>
        <v>16077.080902</v>
      </c>
      <c r="R296">
        <f>_xlfn.IFNA(VLOOKUP(P296,PGOPHER!A$2:G$181,7,FALSE),_xlfn.IFNA(VLOOKUP(P296,en!A$2:I$768,7,FALSE),-10000))</f>
        <v>2306.9409019999998</v>
      </c>
      <c r="S296">
        <f>IF(O296=O295,Q295+S295,Q296)</f>
        <v>32154.077964</v>
      </c>
      <c r="T296">
        <f>IF(O296=O295,T295+1,1)</f>
        <v>2</v>
      </c>
      <c r="U296" t="str">
        <f>IF(O296=O297,"",S296/T296)</f>
        <v/>
      </c>
      <c r="V296" t="str">
        <f>IF(U296="","",IF(ABS(Q296-U296)&gt;V$1,"error",""))</f>
        <v/>
      </c>
    </row>
    <row r="297" spans="1:22" x14ac:dyDescent="0.55000000000000004">
      <c r="A297">
        <v>13406.37</v>
      </c>
      <c r="B297" s="1">
        <v>1.256</v>
      </c>
      <c r="C297" s="1">
        <v>1.256</v>
      </c>
      <c r="D297" s="2" t="s">
        <v>1121</v>
      </c>
      <c r="E297">
        <v>2</v>
      </c>
      <c r="F297" s="2" t="s">
        <v>1</v>
      </c>
      <c r="G297">
        <v>0</v>
      </c>
      <c r="H297">
        <v>25.5</v>
      </c>
      <c r="I297" s="2" t="s">
        <v>0</v>
      </c>
      <c r="J297">
        <v>2</v>
      </c>
      <c r="K297" s="2" t="s">
        <v>1</v>
      </c>
      <c r="L297">
        <v>0</v>
      </c>
      <c r="M297">
        <v>26.5</v>
      </c>
      <c r="N297" s="2" t="s">
        <v>1404</v>
      </c>
      <c r="O297" t="str">
        <f>D297&amp;"-"&amp;E297&amp;"-"&amp;F297&amp;"-"&amp;G297&amp;"-"&amp;H297</f>
        <v>A-2-f-0-25.5</v>
      </c>
      <c r="P297" t="str">
        <f>I297&amp;"-"&amp;J297&amp;"-"&amp;K297&amp;"-"&amp;L297&amp;"-"&amp;M297</f>
        <v>X-2-f-0-26.5</v>
      </c>
      <c r="Q297">
        <f>A297+R297</f>
        <v>16075.771643</v>
      </c>
      <c r="R297">
        <f>_xlfn.IFNA(VLOOKUP(P297,PGOPHER!A$2:G$181,7,FALSE),_xlfn.IFNA(VLOOKUP(P297,en!A$2:I$768,7,FALSE),-10000))</f>
        <v>2669.4016430000001</v>
      </c>
      <c r="S297">
        <f>IF(O297=O296,Q296+S296,Q297)</f>
        <v>48231.158865999998</v>
      </c>
      <c r="T297">
        <f>IF(O297=O296,T296+1,1)</f>
        <v>3</v>
      </c>
      <c r="U297">
        <f>IF(O297=O298,"",S297/T297)</f>
        <v>16077.052955333333</v>
      </c>
      <c r="V297" t="str">
        <f>IF(U297="","",IF(ABS(Q297-U297)&gt;V$1,"error",""))</f>
        <v>error</v>
      </c>
    </row>
    <row r="298" spans="1:22" x14ac:dyDescent="0.55000000000000004">
      <c r="A298">
        <v>13324.34</v>
      </c>
      <c r="B298" s="1">
        <v>0.01</v>
      </c>
      <c r="C298" s="1">
        <v>0.01</v>
      </c>
      <c r="D298" s="2" t="s">
        <v>1121</v>
      </c>
      <c r="E298">
        <v>1</v>
      </c>
      <c r="F298" s="2" t="s">
        <v>2</v>
      </c>
      <c r="G298">
        <v>0</v>
      </c>
      <c r="H298">
        <v>26.5</v>
      </c>
      <c r="I298" s="2" t="s">
        <v>0</v>
      </c>
      <c r="J298">
        <v>1</v>
      </c>
      <c r="K298" s="2" t="s">
        <v>2</v>
      </c>
      <c r="L298">
        <v>0</v>
      </c>
      <c r="M298">
        <v>27.5</v>
      </c>
      <c r="N298" s="2" t="s">
        <v>1419</v>
      </c>
      <c r="O298" t="str">
        <f>D298&amp;"-"&amp;E298&amp;"-"&amp;F298&amp;"-"&amp;G298&amp;"-"&amp;H298</f>
        <v>A-1-e-0-26.5</v>
      </c>
      <c r="P298" t="str">
        <f>I298&amp;"-"&amp;J298&amp;"-"&amp;K298&amp;"-"&amp;L298&amp;"-"&amp;M298</f>
        <v>X-1-e-0-27.5</v>
      </c>
      <c r="Q298">
        <f>A298+R298</f>
        <v>15996.909894</v>
      </c>
      <c r="R298">
        <f>_xlfn.IFNA(VLOOKUP(P298,PGOPHER!A$2:G$181,7,FALSE),_xlfn.IFNA(VLOOKUP(P298,en!A$2:I$768,7,FALSE),-10000))</f>
        <v>2672.5698940000002</v>
      </c>
      <c r="S298">
        <f>IF(O298=O297,Q297+S297,Q298)</f>
        <v>15996.909894</v>
      </c>
      <c r="T298">
        <f>IF(O298=O297,T297+1,1)</f>
        <v>1</v>
      </c>
      <c r="U298" t="str">
        <f>IF(O298=O299,"",S298/T298)</f>
        <v/>
      </c>
      <c r="V298" t="str">
        <f>IF(U298="","",IF(ABS(Q298-U298)&gt;V$1,"error",""))</f>
        <v/>
      </c>
    </row>
    <row r="299" spans="1:22" x14ac:dyDescent="0.55000000000000004">
      <c r="A299">
        <v>13689.97</v>
      </c>
      <c r="B299" s="1">
        <v>0.01</v>
      </c>
      <c r="C299" s="1">
        <v>0.01</v>
      </c>
      <c r="D299" s="2" t="s">
        <v>1121</v>
      </c>
      <c r="E299">
        <v>1</v>
      </c>
      <c r="F299" s="2" t="s">
        <v>2</v>
      </c>
      <c r="G299">
        <v>0</v>
      </c>
      <c r="H299">
        <v>26.5</v>
      </c>
      <c r="I299" s="2" t="s">
        <v>0</v>
      </c>
      <c r="J299">
        <v>1</v>
      </c>
      <c r="K299" s="2" t="s">
        <v>2</v>
      </c>
      <c r="L299">
        <v>0</v>
      </c>
      <c r="M299">
        <v>25.5</v>
      </c>
      <c r="N299" s="2" t="s">
        <v>1423</v>
      </c>
      <c r="O299" t="str">
        <f>D299&amp;"-"&amp;E299&amp;"-"&amp;F299&amp;"-"&amp;G299&amp;"-"&amp;H299</f>
        <v>A-1-e-0-26.5</v>
      </c>
      <c r="P299" t="str">
        <f>I299&amp;"-"&amp;J299&amp;"-"&amp;K299&amp;"-"&amp;L299&amp;"-"&amp;M299</f>
        <v>X-1-e-0-25.5</v>
      </c>
      <c r="Q299">
        <f>A299+R299</f>
        <v>15996.910902</v>
      </c>
      <c r="R299">
        <f>_xlfn.IFNA(VLOOKUP(P299,PGOPHER!A$2:G$181,7,FALSE),_xlfn.IFNA(VLOOKUP(P299,en!A$2:I$768,7,FALSE),-10000))</f>
        <v>2306.9409019999998</v>
      </c>
      <c r="S299">
        <f>IF(O299=O298,Q298+S298,Q299)</f>
        <v>31993.819788000001</v>
      </c>
      <c r="T299">
        <f>IF(O299=O298,T298+1,1)</f>
        <v>2</v>
      </c>
      <c r="U299" t="str">
        <f>IF(O299=O300,"",S299/T299)</f>
        <v/>
      </c>
      <c r="V299" t="str">
        <f>IF(U299="","",IF(ABS(Q299-U299)&gt;V$1,"error",""))</f>
        <v/>
      </c>
    </row>
    <row r="300" spans="1:22" x14ac:dyDescent="0.55000000000000004">
      <c r="A300">
        <v>13327.53</v>
      </c>
      <c r="B300" s="1">
        <v>0.1095</v>
      </c>
      <c r="C300" s="1">
        <v>0.1095</v>
      </c>
      <c r="D300" s="2" t="s">
        <v>1121</v>
      </c>
      <c r="E300">
        <v>1</v>
      </c>
      <c r="F300" s="2" t="s">
        <v>2</v>
      </c>
      <c r="G300">
        <v>0</v>
      </c>
      <c r="H300">
        <v>26.5</v>
      </c>
      <c r="I300" s="2" t="s">
        <v>0</v>
      </c>
      <c r="J300">
        <v>2</v>
      </c>
      <c r="K300" s="2" t="s">
        <v>1</v>
      </c>
      <c r="L300">
        <v>0</v>
      </c>
      <c r="M300">
        <v>26.5</v>
      </c>
      <c r="N300" s="2" t="s">
        <v>1420</v>
      </c>
      <c r="O300" t="str">
        <f>D300&amp;"-"&amp;E300&amp;"-"&amp;F300&amp;"-"&amp;G300&amp;"-"&amp;H300</f>
        <v>A-1-e-0-26.5</v>
      </c>
      <c r="P300" t="str">
        <f>I300&amp;"-"&amp;J300&amp;"-"&amp;K300&amp;"-"&amp;L300&amp;"-"&amp;M300</f>
        <v>X-2-f-0-26.5</v>
      </c>
      <c r="Q300">
        <f>A300+R300</f>
        <v>15996.931643</v>
      </c>
      <c r="R300">
        <f>_xlfn.IFNA(VLOOKUP(P300,PGOPHER!A$2:G$181,7,FALSE),_xlfn.IFNA(VLOOKUP(P300,en!A$2:I$768,7,FALSE),-10000))</f>
        <v>2669.4016430000001</v>
      </c>
      <c r="S300">
        <f>IF(O300=O299,Q299+S299,Q300)</f>
        <v>47990.730689999997</v>
      </c>
      <c r="T300">
        <f>IF(O300=O299,T299+1,1)</f>
        <v>3</v>
      </c>
      <c r="U300">
        <f>IF(O300=O301,"",S300/T300)</f>
        <v>15996.91023</v>
      </c>
      <c r="V300" t="str">
        <f>IF(U300="","",IF(ABS(Q300-U300)&gt;V$1,"error",""))</f>
        <v/>
      </c>
    </row>
    <row r="301" spans="1:22" x14ac:dyDescent="0.55000000000000004">
      <c r="A301">
        <v>13444.78</v>
      </c>
      <c r="B301" s="1">
        <v>2.12E-2</v>
      </c>
      <c r="C301" s="1">
        <v>2.12E-2</v>
      </c>
      <c r="D301" s="2" t="s">
        <v>1121</v>
      </c>
      <c r="E301">
        <v>1</v>
      </c>
      <c r="F301" s="2" t="s">
        <v>1</v>
      </c>
      <c r="G301">
        <v>0</v>
      </c>
      <c r="H301">
        <v>26.5</v>
      </c>
      <c r="I301" s="2" t="s">
        <v>0</v>
      </c>
      <c r="J301">
        <v>2</v>
      </c>
      <c r="K301" s="2" t="s">
        <v>1</v>
      </c>
      <c r="L301">
        <v>0</v>
      </c>
      <c r="M301">
        <v>25.5</v>
      </c>
      <c r="N301" s="2" t="s">
        <v>1422</v>
      </c>
      <c r="O301" t="str">
        <f>D301&amp;"-"&amp;E301&amp;"-"&amp;F301&amp;"-"&amp;G301&amp;"-"&amp;H301</f>
        <v>A-1-f-0-26.5</v>
      </c>
      <c r="P301" t="str">
        <f>I301&amp;"-"&amp;J301&amp;"-"&amp;K301&amp;"-"&amp;L301&amp;"-"&amp;M301</f>
        <v>X-2-f-0-25.5</v>
      </c>
      <c r="Q301">
        <f>A301+R301</f>
        <v>15928.374128000001</v>
      </c>
      <c r="R301">
        <f>_xlfn.IFNA(VLOOKUP(P301,PGOPHER!A$2:G$181,7,FALSE),_xlfn.IFNA(VLOOKUP(P301,en!A$2:I$768,7,FALSE),-10000))</f>
        <v>2483.5941280000002</v>
      </c>
      <c r="S301">
        <f>IF(O301=O300,Q300+S300,Q301)</f>
        <v>15928.374128000001</v>
      </c>
      <c r="T301">
        <f>IF(O301=O300,T300+1,1)</f>
        <v>1</v>
      </c>
      <c r="U301" t="str">
        <f>IF(O301=O302,"",S301/T301)</f>
        <v/>
      </c>
      <c r="V301" t="str">
        <f>IF(U301="","",IF(ABS(Q301-U301)&gt;V$1,"error",""))</f>
        <v/>
      </c>
    </row>
    <row r="302" spans="1:22" x14ac:dyDescent="0.55000000000000004">
      <c r="A302">
        <v>13441.68</v>
      </c>
      <c r="B302" s="1">
        <v>2.12E-2</v>
      </c>
      <c r="C302" s="1">
        <v>2.12E-2</v>
      </c>
      <c r="D302" s="2" t="s">
        <v>1121</v>
      </c>
      <c r="E302">
        <v>1</v>
      </c>
      <c r="F302" s="2" t="s">
        <v>1</v>
      </c>
      <c r="G302">
        <v>0</v>
      </c>
      <c r="H302">
        <v>26.5</v>
      </c>
      <c r="I302" s="2" t="s">
        <v>0</v>
      </c>
      <c r="J302">
        <v>1</v>
      </c>
      <c r="K302" s="2" t="s">
        <v>2</v>
      </c>
      <c r="L302">
        <v>0</v>
      </c>
      <c r="M302">
        <v>26.5</v>
      </c>
      <c r="N302" s="2" t="s">
        <v>1421</v>
      </c>
      <c r="O302" t="str">
        <f>D302&amp;"-"&amp;E302&amp;"-"&amp;F302&amp;"-"&amp;G302&amp;"-"&amp;H302</f>
        <v>A-1-f-0-26.5</v>
      </c>
      <c r="P302" t="str">
        <f>I302&amp;"-"&amp;J302&amp;"-"&amp;K302&amp;"-"&amp;L302&amp;"-"&amp;M302</f>
        <v>X-1-e-0-26.5</v>
      </c>
      <c r="Q302">
        <f>A302+R302</f>
        <v>15928.344215000001</v>
      </c>
      <c r="R302">
        <f>_xlfn.IFNA(VLOOKUP(P302,PGOPHER!A$2:G$181,7,FALSE),_xlfn.IFNA(VLOOKUP(P302,en!A$2:I$768,7,FALSE),-10000))</f>
        <v>2486.6642149999998</v>
      </c>
      <c r="S302">
        <f>IF(O302=O301,Q301+S301,Q302)</f>
        <v>31856.748256000003</v>
      </c>
      <c r="T302">
        <f>IF(O302=O301,T301+1,1)</f>
        <v>2</v>
      </c>
      <c r="U302">
        <f>IF(O302=O303,"",S302/T302)</f>
        <v>15928.374128000001</v>
      </c>
      <c r="V302" t="str">
        <f>IF(U302="","",IF(ABS(Q302-U302)&gt;V$1,"error",""))</f>
        <v/>
      </c>
    </row>
    <row r="303" spans="1:22" x14ac:dyDescent="0.55000000000000004">
      <c r="A303">
        <v>13614.05</v>
      </c>
      <c r="B303" s="1">
        <v>0.10780000000000001</v>
      </c>
      <c r="C303" s="1">
        <v>0.10780000000000001</v>
      </c>
      <c r="D303" s="2" t="s">
        <v>1121</v>
      </c>
      <c r="E303">
        <v>2</v>
      </c>
      <c r="F303" s="2" t="s">
        <v>2</v>
      </c>
      <c r="G303">
        <v>0</v>
      </c>
      <c r="H303">
        <v>26.5</v>
      </c>
      <c r="I303" s="2" t="s">
        <v>0</v>
      </c>
      <c r="J303">
        <v>2</v>
      </c>
      <c r="K303" s="2" t="s">
        <v>1</v>
      </c>
      <c r="L303">
        <v>0</v>
      </c>
      <c r="M303">
        <v>26.5</v>
      </c>
      <c r="N303" s="2" t="s">
        <v>1415</v>
      </c>
      <c r="O303" t="str">
        <f>D303&amp;"-"&amp;E303&amp;"-"&amp;F303&amp;"-"&amp;G303&amp;"-"&amp;H303</f>
        <v>A-2-e-0-26.5</v>
      </c>
      <c r="P303" t="str">
        <f>I303&amp;"-"&amp;J303&amp;"-"&amp;K303&amp;"-"&amp;L303&amp;"-"&amp;M303</f>
        <v>X-2-f-0-26.5</v>
      </c>
      <c r="Q303">
        <f>A303+R303</f>
        <v>16283.451643</v>
      </c>
      <c r="R303">
        <f>_xlfn.IFNA(VLOOKUP(P303,PGOPHER!A$2:G$181,7,FALSE),_xlfn.IFNA(VLOOKUP(P303,en!A$2:I$768,7,FALSE),-10000))</f>
        <v>2669.4016430000001</v>
      </c>
      <c r="S303">
        <f>IF(O303=O302,Q302+S302,Q303)</f>
        <v>16283.451643</v>
      </c>
      <c r="T303">
        <f>IF(O303=O302,T302+1,1)</f>
        <v>1</v>
      </c>
      <c r="U303" t="str">
        <f>IF(O303=O304,"",S303/T303)</f>
        <v/>
      </c>
      <c r="V303" t="str">
        <f>IF(U303="","",IF(ABS(Q303-U303)&gt;V$1,"error",""))</f>
        <v/>
      </c>
    </row>
    <row r="304" spans="1:22" x14ac:dyDescent="0.55000000000000004">
      <c r="A304">
        <v>13976.44</v>
      </c>
      <c r="B304" s="1">
        <v>0.10780000000000001</v>
      </c>
      <c r="C304" s="1">
        <v>0.10780000000000001</v>
      </c>
      <c r="D304" s="2" t="s">
        <v>1121</v>
      </c>
      <c r="E304">
        <v>2</v>
      </c>
      <c r="F304" s="2" t="s">
        <v>2</v>
      </c>
      <c r="G304">
        <v>0</v>
      </c>
      <c r="H304">
        <v>26.5</v>
      </c>
      <c r="I304" s="2" t="s">
        <v>0</v>
      </c>
      <c r="J304">
        <v>1</v>
      </c>
      <c r="K304" s="2" t="s">
        <v>2</v>
      </c>
      <c r="L304">
        <v>0</v>
      </c>
      <c r="M304">
        <v>25.5</v>
      </c>
      <c r="N304" s="2" t="s">
        <v>1418</v>
      </c>
      <c r="O304" t="str">
        <f>D304&amp;"-"&amp;E304&amp;"-"&amp;F304&amp;"-"&amp;G304&amp;"-"&amp;H304</f>
        <v>A-2-e-0-26.5</v>
      </c>
      <c r="P304" t="str">
        <f>I304&amp;"-"&amp;J304&amp;"-"&amp;K304&amp;"-"&amp;L304&amp;"-"&amp;M304</f>
        <v>X-1-e-0-25.5</v>
      </c>
      <c r="Q304">
        <f>A304+R304</f>
        <v>16283.380902000001</v>
      </c>
      <c r="R304">
        <f>_xlfn.IFNA(VLOOKUP(P304,PGOPHER!A$2:G$181,7,FALSE),_xlfn.IFNA(VLOOKUP(P304,en!A$2:I$768,7,FALSE),-10000))</f>
        <v>2306.9409019999998</v>
      </c>
      <c r="S304">
        <f>IF(O304=O303,Q303+S303,Q304)</f>
        <v>32566.903286000001</v>
      </c>
      <c r="T304">
        <f>IF(O304=O303,T303+1,1)</f>
        <v>2</v>
      </c>
      <c r="U304">
        <f>IF(O304=O305,"",S304/T304)</f>
        <v>16283.451643</v>
      </c>
      <c r="V304" t="str">
        <f>IF(U304="","",IF(ABS(Q304-U304)&gt;V$1,"error",""))</f>
        <v/>
      </c>
    </row>
    <row r="305" spans="1:22" x14ac:dyDescent="0.55000000000000004">
      <c r="A305">
        <v>13778.87</v>
      </c>
      <c r="B305" s="1">
        <v>0.70489999999999997</v>
      </c>
      <c r="C305" s="1">
        <v>0.70489999999999997</v>
      </c>
      <c r="D305" s="2" t="s">
        <v>1121</v>
      </c>
      <c r="E305">
        <v>2</v>
      </c>
      <c r="F305" s="2" t="s">
        <v>1</v>
      </c>
      <c r="G305">
        <v>0</v>
      </c>
      <c r="H305">
        <v>26.5</v>
      </c>
      <c r="I305" s="2" t="s">
        <v>0</v>
      </c>
      <c r="J305">
        <v>2</v>
      </c>
      <c r="K305" s="2" t="s">
        <v>1</v>
      </c>
      <c r="L305">
        <v>0</v>
      </c>
      <c r="M305">
        <v>25.5</v>
      </c>
      <c r="N305" s="2" t="s">
        <v>1417</v>
      </c>
      <c r="O305" t="str">
        <f>D305&amp;"-"&amp;E305&amp;"-"&amp;F305&amp;"-"&amp;G305&amp;"-"&amp;H305</f>
        <v>A-2-f-0-26.5</v>
      </c>
      <c r="P305" t="str">
        <f>I305&amp;"-"&amp;J305&amp;"-"&amp;K305&amp;"-"&amp;L305&amp;"-"&amp;M305</f>
        <v>X-2-f-0-25.5</v>
      </c>
      <c r="Q305">
        <f>A305+R305</f>
        <v>16262.464128000001</v>
      </c>
      <c r="R305">
        <f>_xlfn.IFNA(VLOOKUP(P305,PGOPHER!A$2:G$181,7,FALSE),_xlfn.IFNA(VLOOKUP(P305,en!A$2:I$768,7,FALSE),-10000))</f>
        <v>2483.5941280000002</v>
      </c>
      <c r="S305">
        <f>IF(O305=O304,Q304+S304,Q305)</f>
        <v>16262.464128000001</v>
      </c>
      <c r="T305">
        <f>IF(O305=O304,T304+1,1)</f>
        <v>1</v>
      </c>
      <c r="U305" t="str">
        <f>IF(O305=O306,"",S305/T305)</f>
        <v/>
      </c>
      <c r="V305" t="str">
        <f>IF(U305="","",IF(ABS(Q305-U305)&gt;V$1,"error",""))</f>
        <v/>
      </c>
    </row>
    <row r="306" spans="1:22" x14ac:dyDescent="0.55000000000000004">
      <c r="A306">
        <v>13775.77</v>
      </c>
      <c r="B306" s="1">
        <v>0.69140000000000001</v>
      </c>
      <c r="C306" s="1">
        <v>0.69140000000000001</v>
      </c>
      <c r="D306" s="2" t="s">
        <v>1121</v>
      </c>
      <c r="E306">
        <v>2</v>
      </c>
      <c r="F306" s="2" t="s">
        <v>1</v>
      </c>
      <c r="G306">
        <v>0</v>
      </c>
      <c r="H306">
        <v>26.5</v>
      </c>
      <c r="I306" s="2" t="s">
        <v>0</v>
      </c>
      <c r="J306">
        <v>1</v>
      </c>
      <c r="K306" s="2" t="s">
        <v>2</v>
      </c>
      <c r="L306">
        <v>0</v>
      </c>
      <c r="M306">
        <v>26.5</v>
      </c>
      <c r="N306" s="2" t="s">
        <v>1416</v>
      </c>
      <c r="O306" t="str">
        <f>D306&amp;"-"&amp;E306&amp;"-"&amp;F306&amp;"-"&amp;G306&amp;"-"&amp;H306</f>
        <v>A-2-f-0-26.5</v>
      </c>
      <c r="P306" t="str">
        <f>I306&amp;"-"&amp;J306&amp;"-"&amp;K306&amp;"-"&amp;L306&amp;"-"&amp;M306</f>
        <v>X-1-e-0-26.5</v>
      </c>
      <c r="Q306">
        <f>A306+R306</f>
        <v>16262.434215000001</v>
      </c>
      <c r="R306">
        <f>_xlfn.IFNA(VLOOKUP(P306,PGOPHER!A$2:G$181,7,FALSE),_xlfn.IFNA(VLOOKUP(P306,en!A$2:I$768,7,FALSE),-10000))</f>
        <v>2486.6642149999998</v>
      </c>
      <c r="S306">
        <f>IF(O306=O305,Q305+S305,Q306)</f>
        <v>32524.928256000003</v>
      </c>
      <c r="T306">
        <f>IF(O306=O305,T305+1,1)</f>
        <v>2</v>
      </c>
      <c r="U306" t="str">
        <f>IF(O306=O307,"",S306/T306)</f>
        <v/>
      </c>
      <c r="V306" t="str">
        <f>IF(U306="","",IF(ABS(Q306-U306)&gt;V$1,"error",""))</f>
        <v/>
      </c>
    </row>
    <row r="307" spans="1:22" x14ac:dyDescent="0.55000000000000004">
      <c r="A307">
        <v>13399.25</v>
      </c>
      <c r="B307" s="1">
        <v>1.851</v>
      </c>
      <c r="C307" s="1">
        <v>1.851</v>
      </c>
      <c r="D307" s="2" t="s">
        <v>1121</v>
      </c>
      <c r="E307">
        <v>2</v>
      </c>
      <c r="F307" s="2" t="s">
        <v>1</v>
      </c>
      <c r="G307">
        <v>0</v>
      </c>
      <c r="H307">
        <v>26.5</v>
      </c>
      <c r="I307" s="2" t="s">
        <v>0</v>
      </c>
      <c r="J307">
        <v>2</v>
      </c>
      <c r="K307" s="2" t="s">
        <v>1</v>
      </c>
      <c r="L307">
        <v>0</v>
      </c>
      <c r="M307">
        <v>27.5</v>
      </c>
      <c r="N307" s="2" t="s">
        <v>1414</v>
      </c>
      <c r="O307" t="str">
        <f>D307&amp;"-"&amp;E307&amp;"-"&amp;F307&amp;"-"&amp;G307&amp;"-"&amp;H307</f>
        <v>A-2-f-0-26.5</v>
      </c>
      <c r="P307" t="str">
        <f>I307&amp;"-"&amp;J307&amp;"-"&amp;K307&amp;"-"&amp;L307&amp;"-"&amp;M307</f>
        <v>X-2-f-0-27.5</v>
      </c>
      <c r="Q307">
        <f>A307+R307</f>
        <v>16260.551164</v>
      </c>
      <c r="R307">
        <f>_xlfn.IFNA(VLOOKUP(P307,PGOPHER!A$2:G$181,7,FALSE),_xlfn.IFNA(VLOOKUP(P307,en!A$2:I$768,7,FALSE),-10000))</f>
        <v>2861.301164</v>
      </c>
      <c r="S307">
        <f>IF(O307=O306,Q306+S306,Q307)</f>
        <v>48787.362471</v>
      </c>
      <c r="T307">
        <f>IF(O307=O306,T306+1,1)</f>
        <v>3</v>
      </c>
      <c r="U307">
        <f>IF(O307=O308,"",S307/T307)</f>
        <v>16262.454157</v>
      </c>
      <c r="V307" t="str">
        <f>IF(U307="","",IF(ABS(Q307-U307)&gt;V$1,"error",""))</f>
        <v>error</v>
      </c>
    </row>
    <row r="308" spans="1:22" x14ac:dyDescent="0.55000000000000004">
      <c r="A308">
        <v>13323.16</v>
      </c>
      <c r="B308" s="1">
        <v>2.0330000000000001E-2</v>
      </c>
      <c r="C308" s="1">
        <v>2.0330000000000001E-2</v>
      </c>
      <c r="D308" s="2" t="s">
        <v>1121</v>
      </c>
      <c r="E308">
        <v>1</v>
      </c>
      <c r="F308" s="2" t="s">
        <v>2</v>
      </c>
      <c r="G308">
        <v>0</v>
      </c>
      <c r="H308">
        <v>27.5</v>
      </c>
      <c r="I308" s="2" t="s">
        <v>0</v>
      </c>
      <c r="J308">
        <v>1</v>
      </c>
      <c r="K308" s="2" t="s">
        <v>2</v>
      </c>
      <c r="L308">
        <v>0</v>
      </c>
      <c r="M308">
        <v>28.5</v>
      </c>
      <c r="N308" s="2" t="s">
        <v>1428</v>
      </c>
      <c r="O308" t="str">
        <f>D308&amp;"-"&amp;E308&amp;"-"&amp;F308&amp;"-"&amp;G308&amp;"-"&amp;H308</f>
        <v>A-1-e-0-27.5</v>
      </c>
      <c r="P308" t="str">
        <f>I308&amp;"-"&amp;J308&amp;"-"&amp;K308&amp;"-"&amp;L308&amp;"-"&amp;M308</f>
        <v>X-1-e-0-28.5</v>
      </c>
      <c r="Q308">
        <f>A308+R308</f>
        <v>16187.734124999999</v>
      </c>
      <c r="R308">
        <f>_xlfn.IFNA(VLOOKUP(P308,PGOPHER!A$2:G$181,7,FALSE),_xlfn.IFNA(VLOOKUP(P308,en!A$2:I$768,7,FALSE),-10000))</f>
        <v>2864.5741250000001</v>
      </c>
      <c r="S308">
        <f>IF(O308=O307,Q307+S307,Q308)</f>
        <v>16187.734124999999</v>
      </c>
      <c r="T308">
        <f>IF(O308=O307,T307+1,1)</f>
        <v>1</v>
      </c>
      <c r="U308" t="str">
        <f>IF(O308=O309,"",S308/T308)</f>
        <v/>
      </c>
      <c r="V308" t="str">
        <f>IF(U308="","",IF(ABS(Q308-U308)&gt;V$1,"error",""))</f>
        <v/>
      </c>
    </row>
    <row r="309" spans="1:22" x14ac:dyDescent="0.55000000000000004">
      <c r="A309">
        <v>13701.12</v>
      </c>
      <c r="B309" s="1">
        <v>5.0779999999999999E-2</v>
      </c>
      <c r="C309" s="1">
        <v>5.0779999999999999E-2</v>
      </c>
      <c r="D309" s="2" t="s">
        <v>1121</v>
      </c>
      <c r="E309">
        <v>1</v>
      </c>
      <c r="F309" s="2" t="s">
        <v>2</v>
      </c>
      <c r="G309">
        <v>0</v>
      </c>
      <c r="H309">
        <v>27.5</v>
      </c>
      <c r="I309" s="2" t="s">
        <v>0</v>
      </c>
      <c r="J309">
        <v>1</v>
      </c>
      <c r="K309" s="2" t="s">
        <v>2</v>
      </c>
      <c r="L309">
        <v>0</v>
      </c>
      <c r="M309">
        <v>26.5</v>
      </c>
      <c r="N309" s="2" t="s">
        <v>1432</v>
      </c>
      <c r="O309" t="str">
        <f>D309&amp;"-"&amp;E309&amp;"-"&amp;F309&amp;"-"&amp;G309&amp;"-"&amp;H309</f>
        <v>A-1-e-0-27.5</v>
      </c>
      <c r="P309" t="str">
        <f>I309&amp;"-"&amp;J309&amp;"-"&amp;K309&amp;"-"&amp;L309&amp;"-"&amp;M309</f>
        <v>X-1-e-0-26.5</v>
      </c>
      <c r="Q309">
        <f>A309+R309</f>
        <v>16187.784215</v>
      </c>
      <c r="R309">
        <f>_xlfn.IFNA(VLOOKUP(P309,PGOPHER!A$2:G$181,7,FALSE),_xlfn.IFNA(VLOOKUP(P309,en!A$2:I$768,7,FALSE),-10000))</f>
        <v>2486.6642149999998</v>
      </c>
      <c r="S309">
        <f>IF(O309=O308,Q308+S308,Q309)</f>
        <v>32375.468249999998</v>
      </c>
      <c r="T309">
        <f>IF(O309=O308,T308+1,1)</f>
        <v>2</v>
      </c>
      <c r="U309" t="str">
        <f>IF(O309=O310,"",S309/T309)</f>
        <v/>
      </c>
      <c r="V309" t="str">
        <f>IF(U309="","",IF(ABS(Q309-U309)&gt;V$1,"error",""))</f>
        <v/>
      </c>
    </row>
    <row r="310" spans="1:22" x14ac:dyDescent="0.55000000000000004">
      <c r="A310">
        <v>13326.43</v>
      </c>
      <c r="B310" s="1">
        <v>1.3729999999999999E-2</v>
      </c>
      <c r="C310" s="1">
        <v>1.3729999999999999E-2</v>
      </c>
      <c r="D310" s="2" t="s">
        <v>1121</v>
      </c>
      <c r="E310">
        <v>1</v>
      </c>
      <c r="F310" s="2" t="s">
        <v>2</v>
      </c>
      <c r="G310">
        <v>0</v>
      </c>
      <c r="H310">
        <v>27.5</v>
      </c>
      <c r="I310" s="2" t="s">
        <v>0</v>
      </c>
      <c r="J310">
        <v>2</v>
      </c>
      <c r="K310" s="2" t="s">
        <v>1</v>
      </c>
      <c r="L310">
        <v>0</v>
      </c>
      <c r="M310">
        <v>27.5</v>
      </c>
      <c r="N310" s="2" t="s">
        <v>1429</v>
      </c>
      <c r="O310" t="str">
        <f>D310&amp;"-"&amp;E310&amp;"-"&amp;F310&amp;"-"&amp;G310&amp;"-"&amp;H310</f>
        <v>A-1-e-0-27.5</v>
      </c>
      <c r="P310" t="str">
        <f>I310&amp;"-"&amp;J310&amp;"-"&amp;K310&amp;"-"&amp;L310&amp;"-"&amp;M310</f>
        <v>X-2-f-0-27.5</v>
      </c>
      <c r="Q310">
        <f>A310+R310</f>
        <v>16187.731164000001</v>
      </c>
      <c r="R310">
        <f>_xlfn.IFNA(VLOOKUP(P310,PGOPHER!A$2:G$181,7,FALSE),_xlfn.IFNA(VLOOKUP(P310,en!A$2:I$768,7,FALSE),-10000))</f>
        <v>2861.301164</v>
      </c>
      <c r="S310">
        <f>IF(O310=O309,Q309+S309,Q310)</f>
        <v>48563.252464999998</v>
      </c>
      <c r="T310">
        <f>IF(O310=O309,T309+1,1)</f>
        <v>3</v>
      </c>
      <c r="U310">
        <f>IF(O310=O311,"",S310/T310)</f>
        <v>16187.750821666667</v>
      </c>
      <c r="V310" t="str">
        <f>IF(U310="","",IF(ABS(Q310-U310)&gt;V$1,"error",""))</f>
        <v/>
      </c>
    </row>
    <row r="311" spans="1:22" x14ac:dyDescent="0.55000000000000004">
      <c r="A311">
        <v>13449.83</v>
      </c>
      <c r="B311" s="1">
        <v>0.01</v>
      </c>
      <c r="C311" s="1">
        <v>0.01</v>
      </c>
      <c r="D311" s="2" t="s">
        <v>1121</v>
      </c>
      <c r="E311">
        <v>1</v>
      </c>
      <c r="F311" s="2" t="s">
        <v>1</v>
      </c>
      <c r="G311">
        <v>0</v>
      </c>
      <c r="H311">
        <v>27.5</v>
      </c>
      <c r="I311" s="2" t="s">
        <v>0</v>
      </c>
      <c r="J311">
        <v>2</v>
      </c>
      <c r="K311" s="2" t="s">
        <v>1</v>
      </c>
      <c r="L311">
        <v>0</v>
      </c>
      <c r="M311">
        <v>26.5</v>
      </c>
      <c r="N311" s="2" t="s">
        <v>1431</v>
      </c>
      <c r="O311" t="str">
        <f>D311&amp;"-"&amp;E311&amp;"-"&amp;F311&amp;"-"&amp;G311&amp;"-"&amp;H311</f>
        <v>A-1-f-0-27.5</v>
      </c>
      <c r="P311" t="str">
        <f>I311&amp;"-"&amp;J311&amp;"-"&amp;K311&amp;"-"&amp;L311&amp;"-"&amp;M311</f>
        <v>X-2-f-0-26.5</v>
      </c>
      <c r="Q311">
        <f>A311+R311</f>
        <v>16119.231642999999</v>
      </c>
      <c r="R311">
        <f>_xlfn.IFNA(VLOOKUP(P311,PGOPHER!A$2:G$181,7,FALSE),_xlfn.IFNA(VLOOKUP(P311,en!A$2:I$768,7,FALSE),-10000))</f>
        <v>2669.4016430000001</v>
      </c>
      <c r="S311">
        <f>IF(O311=O310,Q310+S310,Q311)</f>
        <v>16119.231642999999</v>
      </c>
      <c r="T311">
        <f>IF(O311=O310,T310+1,1)</f>
        <v>1</v>
      </c>
      <c r="U311" t="str">
        <f>IF(O311=O312,"",S311/T311)</f>
        <v/>
      </c>
      <c r="V311" t="str">
        <f>IF(U311="","",IF(ABS(Q311-U311)&gt;V$1,"error",""))</f>
        <v/>
      </c>
    </row>
    <row r="312" spans="1:22" x14ac:dyDescent="0.55000000000000004">
      <c r="A312">
        <v>13446.67</v>
      </c>
      <c r="B312" s="1">
        <v>0.01</v>
      </c>
      <c r="C312" s="1">
        <v>0.01</v>
      </c>
      <c r="D312" s="2" t="s">
        <v>1121</v>
      </c>
      <c r="E312">
        <v>1</v>
      </c>
      <c r="F312" s="2" t="s">
        <v>1</v>
      </c>
      <c r="G312">
        <v>0</v>
      </c>
      <c r="H312">
        <v>27.5</v>
      </c>
      <c r="I312" s="2" t="s">
        <v>0</v>
      </c>
      <c r="J312">
        <v>1</v>
      </c>
      <c r="K312" s="2" t="s">
        <v>2</v>
      </c>
      <c r="L312">
        <v>0</v>
      </c>
      <c r="M312">
        <v>27.5</v>
      </c>
      <c r="N312" s="2" t="s">
        <v>1430</v>
      </c>
      <c r="O312" t="str">
        <f>D312&amp;"-"&amp;E312&amp;"-"&amp;F312&amp;"-"&amp;G312&amp;"-"&amp;H312</f>
        <v>A-1-f-0-27.5</v>
      </c>
      <c r="P312" t="str">
        <f>I312&amp;"-"&amp;J312&amp;"-"&amp;K312&amp;"-"&amp;L312&amp;"-"&amp;M312</f>
        <v>X-1-e-0-27.5</v>
      </c>
      <c r="Q312">
        <f>A312+R312</f>
        <v>16119.239894</v>
      </c>
      <c r="R312">
        <f>_xlfn.IFNA(VLOOKUP(P312,PGOPHER!A$2:G$181,7,FALSE),_xlfn.IFNA(VLOOKUP(P312,en!A$2:I$768,7,FALSE),-10000))</f>
        <v>2672.5698940000002</v>
      </c>
      <c r="S312">
        <f>IF(O312=O311,Q311+S311,Q312)</f>
        <v>32238.463285999998</v>
      </c>
      <c r="T312">
        <f>IF(O312=O311,T311+1,1)</f>
        <v>2</v>
      </c>
      <c r="U312">
        <f>IF(O312=O313,"",S312/T312)</f>
        <v>16119.231642999999</v>
      </c>
      <c r="V312" t="str">
        <f>IF(U312="","",IF(ABS(Q312-U312)&gt;V$1,"error",""))</f>
        <v/>
      </c>
    </row>
    <row r="313" spans="1:22" x14ac:dyDescent="0.55000000000000004">
      <c r="A313">
        <v>13616.11</v>
      </c>
      <c r="B313" s="1">
        <v>2.3099999999999999E-2</v>
      </c>
      <c r="C313" s="1">
        <v>2.3099999999999999E-2</v>
      </c>
      <c r="D313" s="2" t="s">
        <v>1121</v>
      </c>
      <c r="E313">
        <v>2</v>
      </c>
      <c r="F313" s="2" t="s">
        <v>2</v>
      </c>
      <c r="G313">
        <v>0</v>
      </c>
      <c r="H313">
        <v>27.5</v>
      </c>
      <c r="I313" s="2" t="s">
        <v>0</v>
      </c>
      <c r="J313">
        <v>2</v>
      </c>
      <c r="K313" s="2" t="s">
        <v>1</v>
      </c>
      <c r="L313">
        <v>0</v>
      </c>
      <c r="M313">
        <v>27.5</v>
      </c>
      <c r="N313" s="2" t="s">
        <v>1424</v>
      </c>
      <c r="O313" t="str">
        <f>D313&amp;"-"&amp;E313&amp;"-"&amp;F313&amp;"-"&amp;G313&amp;"-"&amp;H313</f>
        <v>A-2-e-0-27.5</v>
      </c>
      <c r="P313" t="str">
        <f>I313&amp;"-"&amp;J313&amp;"-"&amp;K313&amp;"-"&amp;L313&amp;"-"&amp;M313</f>
        <v>X-2-f-0-27.5</v>
      </c>
      <c r="Q313">
        <f>A313+R313</f>
        <v>16477.411164000001</v>
      </c>
      <c r="R313">
        <f>_xlfn.IFNA(VLOOKUP(P313,PGOPHER!A$2:G$181,7,FALSE),_xlfn.IFNA(VLOOKUP(P313,en!A$2:I$768,7,FALSE),-10000))</f>
        <v>2861.301164</v>
      </c>
      <c r="S313">
        <f>IF(O313=O312,Q312+S312,Q313)</f>
        <v>16477.411164000001</v>
      </c>
      <c r="T313">
        <f>IF(O313=O312,T312+1,1)</f>
        <v>1</v>
      </c>
      <c r="U313" t="str">
        <f>IF(O313=O314,"",S313/T313)</f>
        <v/>
      </c>
      <c r="V313" t="str">
        <f>IF(U313="","",IF(ABS(Q313-U313)&gt;V$1,"error",""))</f>
        <v/>
      </c>
    </row>
    <row r="314" spans="1:22" x14ac:dyDescent="0.55000000000000004">
      <c r="A314">
        <v>13990.79</v>
      </c>
      <c r="B314" s="1">
        <v>2.3099999999999999E-2</v>
      </c>
      <c r="C314" s="1">
        <v>2.3099999999999999E-2</v>
      </c>
      <c r="D314" s="2" t="s">
        <v>1121</v>
      </c>
      <c r="E314">
        <v>2</v>
      </c>
      <c r="F314" s="2" t="s">
        <v>2</v>
      </c>
      <c r="G314">
        <v>0</v>
      </c>
      <c r="H314">
        <v>27.5</v>
      </c>
      <c r="I314" s="2" t="s">
        <v>0</v>
      </c>
      <c r="J314">
        <v>1</v>
      </c>
      <c r="K314" s="2" t="s">
        <v>2</v>
      </c>
      <c r="L314">
        <v>0</v>
      </c>
      <c r="M314">
        <v>26.5</v>
      </c>
      <c r="N314" s="2" t="s">
        <v>1427</v>
      </c>
      <c r="O314" t="str">
        <f>D314&amp;"-"&amp;E314&amp;"-"&amp;F314&amp;"-"&amp;G314&amp;"-"&amp;H314</f>
        <v>A-2-e-0-27.5</v>
      </c>
      <c r="P314" t="str">
        <f>I314&amp;"-"&amp;J314&amp;"-"&amp;K314&amp;"-"&amp;L314&amp;"-"&amp;M314</f>
        <v>X-1-e-0-26.5</v>
      </c>
      <c r="Q314">
        <f>A314+R314</f>
        <v>16477.454215000002</v>
      </c>
      <c r="R314">
        <f>_xlfn.IFNA(VLOOKUP(P314,PGOPHER!A$2:G$181,7,FALSE),_xlfn.IFNA(VLOOKUP(P314,en!A$2:I$768,7,FALSE),-10000))</f>
        <v>2486.6642149999998</v>
      </c>
      <c r="S314">
        <f>IF(O314=O313,Q313+S313,Q314)</f>
        <v>32954.822328000002</v>
      </c>
      <c r="T314">
        <f>IF(O314=O313,T313+1,1)</f>
        <v>2</v>
      </c>
      <c r="U314">
        <f>IF(O314=O315,"",S314/T314)</f>
        <v>16477.411164000001</v>
      </c>
      <c r="V314" t="str">
        <f>IF(U314="","",IF(ABS(Q314-U314)&gt;V$1,"error",""))</f>
        <v/>
      </c>
    </row>
    <row r="315" spans="1:22" x14ac:dyDescent="0.55000000000000004">
      <c r="A315">
        <v>13784.85</v>
      </c>
      <c r="B315" s="1">
        <v>0.01</v>
      </c>
      <c r="C315" s="1">
        <v>0.01</v>
      </c>
      <c r="D315" s="2" t="s">
        <v>1121</v>
      </c>
      <c r="E315">
        <v>2</v>
      </c>
      <c r="F315" s="2" t="s">
        <v>1</v>
      </c>
      <c r="G315">
        <v>0</v>
      </c>
      <c r="H315">
        <v>27.5</v>
      </c>
      <c r="I315" s="2" t="s">
        <v>0</v>
      </c>
      <c r="J315">
        <v>2</v>
      </c>
      <c r="K315" s="2" t="s">
        <v>1</v>
      </c>
      <c r="L315">
        <v>0</v>
      </c>
      <c r="M315">
        <v>26.5</v>
      </c>
      <c r="N315" s="2" t="s">
        <v>1426</v>
      </c>
      <c r="O315" t="str">
        <f>D315&amp;"-"&amp;E315&amp;"-"&amp;F315&amp;"-"&amp;G315&amp;"-"&amp;H315</f>
        <v>A-2-f-0-27.5</v>
      </c>
      <c r="P315" t="str">
        <f>I315&amp;"-"&amp;J315&amp;"-"&amp;K315&amp;"-"&amp;L315&amp;"-"&amp;M315</f>
        <v>X-2-f-0-26.5</v>
      </c>
      <c r="Q315">
        <f>A315+R315</f>
        <v>16454.251643</v>
      </c>
      <c r="R315">
        <f>_xlfn.IFNA(VLOOKUP(P315,PGOPHER!A$2:G$181,7,FALSE),_xlfn.IFNA(VLOOKUP(P315,en!A$2:I$768,7,FALSE),-10000))</f>
        <v>2669.4016430000001</v>
      </c>
      <c r="S315">
        <f>IF(O315=O314,Q314+S314,Q315)</f>
        <v>16454.251643</v>
      </c>
      <c r="T315">
        <f>IF(O315=O314,T314+1,1)</f>
        <v>1</v>
      </c>
      <c r="U315" t="str">
        <f>IF(O315=O316,"",S315/T315)</f>
        <v/>
      </c>
      <c r="V315" t="str">
        <f>IF(U315="","",IF(ABS(Q315-U315)&gt;V$1,"error",""))</f>
        <v/>
      </c>
    </row>
    <row r="316" spans="1:22" x14ac:dyDescent="0.55000000000000004">
      <c r="A316">
        <v>13781.68</v>
      </c>
      <c r="B316" s="1">
        <v>0.01</v>
      </c>
      <c r="C316" s="1">
        <v>0.01</v>
      </c>
      <c r="D316" s="2" t="s">
        <v>1121</v>
      </c>
      <c r="E316">
        <v>2</v>
      </c>
      <c r="F316" s="2" t="s">
        <v>1</v>
      </c>
      <c r="G316">
        <v>0</v>
      </c>
      <c r="H316">
        <v>27.5</v>
      </c>
      <c r="I316" s="2" t="s">
        <v>0</v>
      </c>
      <c r="J316">
        <v>1</v>
      </c>
      <c r="K316" s="2" t="s">
        <v>2</v>
      </c>
      <c r="L316">
        <v>0</v>
      </c>
      <c r="M316">
        <v>27.5</v>
      </c>
      <c r="N316" s="2" t="s">
        <v>1425</v>
      </c>
      <c r="O316" t="str">
        <f>D316&amp;"-"&amp;E316&amp;"-"&amp;F316&amp;"-"&amp;G316&amp;"-"&amp;H316</f>
        <v>A-2-f-0-27.5</v>
      </c>
      <c r="P316" t="str">
        <f>I316&amp;"-"&amp;J316&amp;"-"&amp;K316&amp;"-"&amp;L316&amp;"-"&amp;M316</f>
        <v>X-1-e-0-27.5</v>
      </c>
      <c r="Q316">
        <f>A316+R316</f>
        <v>16454.249894</v>
      </c>
      <c r="R316">
        <f>_xlfn.IFNA(VLOOKUP(P316,PGOPHER!A$2:G$181,7,FALSE),_xlfn.IFNA(VLOOKUP(P316,en!A$2:I$768,7,FALSE),-10000))</f>
        <v>2672.5698940000002</v>
      </c>
      <c r="S316">
        <f>IF(O316=O315,Q315+S315,Q316)</f>
        <v>32908.503285999999</v>
      </c>
      <c r="T316">
        <f>IF(O316=O315,T315+1,1)</f>
        <v>2</v>
      </c>
      <c r="U316">
        <f>IF(O316=O317,"",S316/T316)</f>
        <v>16454.251643</v>
      </c>
      <c r="V316" t="str">
        <f>IF(U316="","",IF(ABS(Q316-U316)&gt;V$1,"error",""))</f>
        <v/>
      </c>
    </row>
    <row r="317" spans="1:22" x14ac:dyDescent="0.55000000000000004">
      <c r="A317">
        <v>13321.99</v>
      </c>
      <c r="B317" s="1">
        <v>0.30459999999999998</v>
      </c>
      <c r="C317" s="1">
        <v>0.30459999999999998</v>
      </c>
      <c r="D317" s="2" t="s">
        <v>1121</v>
      </c>
      <c r="E317">
        <v>1</v>
      </c>
      <c r="F317" s="2" t="s">
        <v>2</v>
      </c>
      <c r="G317">
        <v>0</v>
      </c>
      <c r="H317">
        <v>28.5</v>
      </c>
      <c r="I317" s="2" t="s">
        <v>0</v>
      </c>
      <c r="J317">
        <v>1</v>
      </c>
      <c r="K317" s="2" t="s">
        <v>2</v>
      </c>
      <c r="L317">
        <v>0</v>
      </c>
      <c r="M317">
        <v>29.5</v>
      </c>
      <c r="N317" s="2" t="s">
        <v>1437</v>
      </c>
      <c r="O317" t="str">
        <f>D317&amp;"-"&amp;E317&amp;"-"&amp;F317&amp;"-"&amp;G317&amp;"-"&amp;H317</f>
        <v>A-1-e-0-28.5</v>
      </c>
      <c r="P317" t="str">
        <f>I317&amp;"-"&amp;J317&amp;"-"&amp;K317&amp;"-"&amp;L317&amp;"-"&amp;M317</f>
        <v>X-1-e-0-29.5</v>
      </c>
      <c r="Q317">
        <f>A317+R317</f>
        <v>16384.5952</v>
      </c>
      <c r="R317">
        <f>_xlfn.IFNA(VLOOKUP(P317,PGOPHER!A$2:G$181,7,FALSE),_xlfn.IFNA(VLOOKUP(P317,en!A$2:I$768,7,FALSE),-10000))</f>
        <v>3062.6052</v>
      </c>
      <c r="S317">
        <f>IF(O317=O316,Q316+S316,Q317)</f>
        <v>16384.5952</v>
      </c>
      <c r="T317">
        <f>IF(O317=O316,T316+1,1)</f>
        <v>1</v>
      </c>
      <c r="U317" t="str">
        <f>IF(O317=O318,"",S317/T317)</f>
        <v/>
      </c>
      <c r="V317" t="str">
        <f>IF(U317="","",IF(ABS(Q317-U317)&gt;V$1,"error",""))</f>
        <v/>
      </c>
    </row>
    <row r="318" spans="1:22" x14ac:dyDescent="0.55000000000000004">
      <c r="A318">
        <v>13712.05</v>
      </c>
      <c r="B318" s="1">
        <v>0.3352</v>
      </c>
      <c r="C318" s="1">
        <v>0.3352</v>
      </c>
      <c r="D318" s="2" t="s">
        <v>1121</v>
      </c>
      <c r="E318">
        <v>1</v>
      </c>
      <c r="F318" s="2" t="s">
        <v>2</v>
      </c>
      <c r="G318">
        <v>0</v>
      </c>
      <c r="H318">
        <v>28.5</v>
      </c>
      <c r="I318" s="2" t="s">
        <v>0</v>
      </c>
      <c r="J318">
        <v>1</v>
      </c>
      <c r="K318" s="2" t="s">
        <v>2</v>
      </c>
      <c r="L318">
        <v>0</v>
      </c>
      <c r="M318">
        <v>27.5</v>
      </c>
      <c r="N318" s="2" t="s">
        <v>1441</v>
      </c>
      <c r="O318" t="str">
        <f>D318&amp;"-"&amp;E318&amp;"-"&amp;F318&amp;"-"&amp;G318&amp;"-"&amp;H318</f>
        <v>A-1-e-0-28.5</v>
      </c>
      <c r="P318" t="str">
        <f>I318&amp;"-"&amp;J318&amp;"-"&amp;K318&amp;"-"&amp;L318&amp;"-"&amp;M318</f>
        <v>X-1-e-0-27.5</v>
      </c>
      <c r="Q318">
        <f>A318+R318</f>
        <v>16384.619893999999</v>
      </c>
      <c r="R318">
        <f>_xlfn.IFNA(VLOOKUP(P318,PGOPHER!A$2:G$181,7,FALSE),_xlfn.IFNA(VLOOKUP(P318,en!A$2:I$768,7,FALSE),-10000))</f>
        <v>2672.5698940000002</v>
      </c>
      <c r="S318">
        <f>IF(O318=O317,Q317+S317,Q318)</f>
        <v>32769.190399999999</v>
      </c>
      <c r="T318">
        <f>IF(O318=O317,T317+1,1)</f>
        <v>2</v>
      </c>
      <c r="U318" t="str">
        <f>IF(O318=O319,"",S318/T318)</f>
        <v/>
      </c>
      <c r="V318" t="str">
        <f>IF(U318="","",IF(ABS(Q318-U318)&gt;V$1,"error",""))</f>
        <v/>
      </c>
    </row>
    <row r="319" spans="1:22" x14ac:dyDescent="0.55000000000000004">
      <c r="A319">
        <v>13325.39</v>
      </c>
      <c r="B319" s="1">
        <v>0.01</v>
      </c>
      <c r="C319" s="1">
        <v>0.01</v>
      </c>
      <c r="D319" s="2" t="s">
        <v>1121</v>
      </c>
      <c r="E319">
        <v>1</v>
      </c>
      <c r="F319" s="2" t="s">
        <v>2</v>
      </c>
      <c r="G319">
        <v>0</v>
      </c>
      <c r="H319">
        <v>28.5</v>
      </c>
      <c r="I319" s="2" t="s">
        <v>0</v>
      </c>
      <c r="J319">
        <v>2</v>
      </c>
      <c r="K319" s="2" t="s">
        <v>1</v>
      </c>
      <c r="L319">
        <v>0</v>
      </c>
      <c r="M319">
        <v>28.5</v>
      </c>
      <c r="N319" s="2" t="s">
        <v>1438</v>
      </c>
      <c r="O319" t="str">
        <f>D319&amp;"-"&amp;E319&amp;"-"&amp;F319&amp;"-"&amp;G319&amp;"-"&amp;H319</f>
        <v>A-1-e-0-28.5</v>
      </c>
      <c r="P319" t="str">
        <f>I319&amp;"-"&amp;J319&amp;"-"&amp;K319&amp;"-"&amp;L319&amp;"-"&amp;M319</f>
        <v>X-2-f-0-28.5</v>
      </c>
      <c r="Q319">
        <f>A319+R319</f>
        <v>16384.627748999999</v>
      </c>
      <c r="R319">
        <f>_xlfn.IFNA(VLOOKUP(P319,PGOPHER!A$2:G$181,7,FALSE),_xlfn.IFNA(VLOOKUP(P319,en!A$2:I$768,7,FALSE),-10000))</f>
        <v>3059.2377489999999</v>
      </c>
      <c r="S319">
        <f>IF(O319=O318,Q318+S318,Q319)</f>
        <v>49153.810293999995</v>
      </c>
      <c r="T319">
        <f>IF(O319=O318,T318+1,1)</f>
        <v>3</v>
      </c>
      <c r="U319">
        <f>IF(O319=O320,"",S319/T319)</f>
        <v>16384.603431333333</v>
      </c>
      <c r="V319" t="str">
        <f>IF(U319="","",IF(ABS(Q319-U319)&gt;V$1,"error",""))</f>
        <v/>
      </c>
    </row>
    <row r="320" spans="1:22" x14ac:dyDescent="0.55000000000000004">
      <c r="A320">
        <v>13455.07</v>
      </c>
      <c r="B320" s="1">
        <v>0.01</v>
      </c>
      <c r="C320" s="1">
        <v>0.01</v>
      </c>
      <c r="D320" s="2" t="s">
        <v>1121</v>
      </c>
      <c r="E320">
        <v>1</v>
      </c>
      <c r="F320" s="2" t="s">
        <v>1</v>
      </c>
      <c r="G320">
        <v>0</v>
      </c>
      <c r="H320">
        <v>28.5</v>
      </c>
      <c r="I320" s="2" t="s">
        <v>0</v>
      </c>
      <c r="J320">
        <v>2</v>
      </c>
      <c r="K320" s="2" t="s">
        <v>1</v>
      </c>
      <c r="L320">
        <v>0</v>
      </c>
      <c r="M320">
        <v>27.5</v>
      </c>
      <c r="N320" s="2" t="s">
        <v>1440</v>
      </c>
      <c r="O320" t="str">
        <f>D320&amp;"-"&amp;E320&amp;"-"&amp;F320&amp;"-"&amp;G320&amp;"-"&amp;H320</f>
        <v>A-1-f-0-28.5</v>
      </c>
      <c r="P320" t="str">
        <f>I320&amp;"-"&amp;J320&amp;"-"&amp;K320&amp;"-"&amp;L320&amp;"-"&amp;M320</f>
        <v>X-2-f-0-27.5</v>
      </c>
      <c r="Q320">
        <f>A320+R320</f>
        <v>16316.371164</v>
      </c>
      <c r="R320">
        <f>_xlfn.IFNA(VLOOKUP(P320,PGOPHER!A$2:G$181,7,FALSE),_xlfn.IFNA(VLOOKUP(P320,en!A$2:I$768,7,FALSE),-10000))</f>
        <v>2861.301164</v>
      </c>
      <c r="S320">
        <f>IF(O320=O319,Q319+S319,Q320)</f>
        <v>16316.371164</v>
      </c>
      <c r="T320">
        <f>IF(O320=O319,T319+1,1)</f>
        <v>1</v>
      </c>
      <c r="U320" t="str">
        <f>IF(O320=O321,"",S320/T320)</f>
        <v/>
      </c>
      <c r="V320" t="str">
        <f>IF(U320="","",IF(ABS(Q320-U320)&gt;V$1,"error",""))</f>
        <v/>
      </c>
    </row>
    <row r="321" spans="1:22" x14ac:dyDescent="0.55000000000000004">
      <c r="A321">
        <v>13451.79</v>
      </c>
      <c r="B321" s="1">
        <v>0.01</v>
      </c>
      <c r="C321" s="1">
        <v>0.01</v>
      </c>
      <c r="D321" s="2" t="s">
        <v>1121</v>
      </c>
      <c r="E321">
        <v>1</v>
      </c>
      <c r="F321" s="2" t="s">
        <v>1</v>
      </c>
      <c r="G321">
        <v>0</v>
      </c>
      <c r="H321">
        <v>28.5</v>
      </c>
      <c r="I321" s="2" t="s">
        <v>0</v>
      </c>
      <c r="J321">
        <v>1</v>
      </c>
      <c r="K321" s="2" t="s">
        <v>2</v>
      </c>
      <c r="L321">
        <v>0</v>
      </c>
      <c r="M321">
        <v>28.5</v>
      </c>
      <c r="N321" s="2" t="s">
        <v>1439</v>
      </c>
      <c r="O321" t="str">
        <f>D321&amp;"-"&amp;E321&amp;"-"&amp;F321&amp;"-"&amp;G321&amp;"-"&amp;H321</f>
        <v>A-1-f-0-28.5</v>
      </c>
      <c r="P321" t="str">
        <f>I321&amp;"-"&amp;J321&amp;"-"&amp;K321&amp;"-"&amp;L321&amp;"-"&amp;M321</f>
        <v>X-1-e-0-28.5</v>
      </c>
      <c r="Q321">
        <f>A321+R321</f>
        <v>16316.364125</v>
      </c>
      <c r="R321">
        <f>_xlfn.IFNA(VLOOKUP(P321,PGOPHER!A$2:G$181,7,FALSE),_xlfn.IFNA(VLOOKUP(P321,en!A$2:I$768,7,FALSE),-10000))</f>
        <v>2864.5741250000001</v>
      </c>
      <c r="S321">
        <f>IF(O321=O320,Q320+S320,Q321)</f>
        <v>32632.742328</v>
      </c>
      <c r="T321">
        <f>IF(O321=O320,T320+1,1)</f>
        <v>2</v>
      </c>
      <c r="U321">
        <f>IF(O321=O322,"",S321/T321)</f>
        <v>16316.371164</v>
      </c>
      <c r="V321" t="str">
        <f>IF(U321="","",IF(ABS(Q321-U321)&gt;V$1,"error",""))</f>
        <v/>
      </c>
    </row>
    <row r="322" spans="1:22" x14ac:dyDescent="0.55000000000000004">
      <c r="A322">
        <v>13618.47</v>
      </c>
      <c r="B322" s="1">
        <v>0.21590000000000001</v>
      </c>
      <c r="C322" s="1">
        <v>0.21590000000000001</v>
      </c>
      <c r="D322" s="2" t="s">
        <v>1121</v>
      </c>
      <c r="E322">
        <v>2</v>
      </c>
      <c r="F322" s="2" t="s">
        <v>2</v>
      </c>
      <c r="G322">
        <v>0</v>
      </c>
      <c r="H322">
        <v>28.5</v>
      </c>
      <c r="I322" s="2" t="s">
        <v>0</v>
      </c>
      <c r="J322">
        <v>2</v>
      </c>
      <c r="K322" s="2" t="s">
        <v>1</v>
      </c>
      <c r="L322">
        <v>0</v>
      </c>
      <c r="M322">
        <v>28.5</v>
      </c>
      <c r="N322" s="2" t="s">
        <v>1433</v>
      </c>
      <c r="O322" t="str">
        <f>D322&amp;"-"&amp;E322&amp;"-"&amp;F322&amp;"-"&amp;G322&amp;"-"&amp;H322</f>
        <v>A-2-e-0-28.5</v>
      </c>
      <c r="P322" t="str">
        <f>I322&amp;"-"&amp;J322&amp;"-"&amp;K322&amp;"-"&amp;L322&amp;"-"&amp;M322</f>
        <v>X-2-f-0-28.5</v>
      </c>
      <c r="Q322">
        <f>A322+R322</f>
        <v>16677.707749000001</v>
      </c>
      <c r="R322">
        <f>_xlfn.IFNA(VLOOKUP(P322,PGOPHER!A$2:G$181,7,FALSE),_xlfn.IFNA(VLOOKUP(P322,en!A$2:I$768,7,FALSE),-10000))</f>
        <v>3059.2377489999999</v>
      </c>
      <c r="S322">
        <f>IF(O322=O321,Q321+S321,Q322)</f>
        <v>16677.707749000001</v>
      </c>
      <c r="T322">
        <f>IF(O322=O321,T321+1,1)</f>
        <v>1</v>
      </c>
      <c r="U322" t="str">
        <f>IF(O322=O323,"",S322/T322)</f>
        <v/>
      </c>
      <c r="V322" t="str">
        <f>IF(U322="","",IF(ABS(Q322-U322)&gt;V$1,"error",""))</f>
        <v/>
      </c>
    </row>
    <row r="323" spans="1:22" x14ac:dyDescent="0.55000000000000004">
      <c r="A323">
        <v>14005.19</v>
      </c>
      <c r="B323" s="1">
        <v>0.21590000000000001</v>
      </c>
      <c r="C323" s="1">
        <v>0.21590000000000001</v>
      </c>
      <c r="D323" s="2" t="s">
        <v>1121</v>
      </c>
      <c r="E323">
        <v>2</v>
      </c>
      <c r="F323" s="2" t="s">
        <v>2</v>
      </c>
      <c r="G323">
        <v>0</v>
      </c>
      <c r="H323">
        <v>28.5</v>
      </c>
      <c r="I323" s="2" t="s">
        <v>0</v>
      </c>
      <c r="J323">
        <v>1</v>
      </c>
      <c r="K323" s="2" t="s">
        <v>2</v>
      </c>
      <c r="L323">
        <v>0</v>
      </c>
      <c r="M323">
        <v>27.5</v>
      </c>
      <c r="N323" s="2" t="s">
        <v>1436</v>
      </c>
      <c r="O323" t="str">
        <f>D323&amp;"-"&amp;E323&amp;"-"&amp;F323&amp;"-"&amp;G323&amp;"-"&amp;H323</f>
        <v>A-2-e-0-28.5</v>
      </c>
      <c r="P323" t="str">
        <f>I323&amp;"-"&amp;J323&amp;"-"&amp;K323&amp;"-"&amp;L323&amp;"-"&amp;M323</f>
        <v>X-1-e-0-27.5</v>
      </c>
      <c r="Q323">
        <f>A323+R323</f>
        <v>16677.759894000003</v>
      </c>
      <c r="R323">
        <f>_xlfn.IFNA(VLOOKUP(P323,PGOPHER!A$2:G$181,7,FALSE),_xlfn.IFNA(VLOOKUP(P323,en!A$2:I$768,7,FALSE),-10000))</f>
        <v>2672.5698940000002</v>
      </c>
      <c r="S323">
        <f>IF(O323=O322,Q322+S322,Q323)</f>
        <v>33355.415498000002</v>
      </c>
      <c r="T323">
        <f>IF(O323=O322,T322+1,1)</f>
        <v>2</v>
      </c>
      <c r="U323">
        <f>IF(O323=O324,"",S323/T323)</f>
        <v>16677.707749000001</v>
      </c>
      <c r="V323" t="str">
        <f>IF(U323="","",IF(ABS(Q323-U323)&gt;V$1,"error",""))</f>
        <v/>
      </c>
    </row>
    <row r="324" spans="1:22" x14ac:dyDescent="0.55000000000000004">
      <c r="A324">
        <v>13790.79</v>
      </c>
      <c r="B324" s="1">
        <v>4.5190000000000001E-2</v>
      </c>
      <c r="C324" s="1">
        <v>4.5190000000000001E-2</v>
      </c>
      <c r="D324" s="2" t="s">
        <v>1121</v>
      </c>
      <c r="E324">
        <v>2</v>
      </c>
      <c r="F324" s="2" t="s">
        <v>1</v>
      </c>
      <c r="G324">
        <v>0</v>
      </c>
      <c r="H324">
        <v>28.5</v>
      </c>
      <c r="I324" s="2" t="s">
        <v>0</v>
      </c>
      <c r="J324">
        <v>2</v>
      </c>
      <c r="K324" s="2" t="s">
        <v>1</v>
      </c>
      <c r="L324">
        <v>0</v>
      </c>
      <c r="M324">
        <v>27.5</v>
      </c>
      <c r="N324" s="2" t="s">
        <v>1435</v>
      </c>
      <c r="O324" t="str">
        <f>D324&amp;"-"&amp;E324&amp;"-"&amp;F324&amp;"-"&amp;G324&amp;"-"&amp;H324</f>
        <v>A-2-f-0-28.5</v>
      </c>
      <c r="P324" t="str">
        <f>I324&amp;"-"&amp;J324&amp;"-"&amp;K324&amp;"-"&amp;L324&amp;"-"&amp;M324</f>
        <v>X-2-f-0-27.5</v>
      </c>
      <c r="Q324">
        <f>A324+R324</f>
        <v>16652.091164000001</v>
      </c>
      <c r="R324">
        <f>_xlfn.IFNA(VLOOKUP(P324,PGOPHER!A$2:G$181,7,FALSE),_xlfn.IFNA(VLOOKUP(P324,en!A$2:I$768,7,FALSE),-10000))</f>
        <v>2861.301164</v>
      </c>
      <c r="S324">
        <f>IF(O324=O323,Q323+S323,Q324)</f>
        <v>16652.091164000001</v>
      </c>
      <c r="T324">
        <f>IF(O324=O323,T323+1,1)</f>
        <v>1</v>
      </c>
      <c r="U324" t="str">
        <f>IF(O324=O325,"",S324/T324)</f>
        <v/>
      </c>
      <c r="V324" t="str">
        <f>IF(U324="","",IF(ABS(Q324-U324)&gt;V$1,"error",""))</f>
        <v/>
      </c>
    </row>
    <row r="325" spans="1:22" x14ac:dyDescent="0.55000000000000004">
      <c r="A325">
        <v>13787.6</v>
      </c>
      <c r="B325" s="1">
        <v>4.5190000000000001E-2</v>
      </c>
      <c r="C325" s="1">
        <v>4.5190000000000001E-2</v>
      </c>
      <c r="D325" s="2" t="s">
        <v>1121</v>
      </c>
      <c r="E325">
        <v>2</v>
      </c>
      <c r="F325" s="2" t="s">
        <v>1</v>
      </c>
      <c r="G325">
        <v>0</v>
      </c>
      <c r="H325">
        <v>28.5</v>
      </c>
      <c r="I325" s="2" t="s">
        <v>0</v>
      </c>
      <c r="J325">
        <v>1</v>
      </c>
      <c r="K325" s="2" t="s">
        <v>2</v>
      </c>
      <c r="L325">
        <v>0</v>
      </c>
      <c r="M325">
        <v>28.5</v>
      </c>
      <c r="N325" s="2" t="s">
        <v>1434</v>
      </c>
      <c r="O325" t="str">
        <f>D325&amp;"-"&amp;E325&amp;"-"&amp;F325&amp;"-"&amp;G325&amp;"-"&amp;H325</f>
        <v>A-2-f-0-28.5</v>
      </c>
      <c r="P325" t="str">
        <f>I325&amp;"-"&amp;J325&amp;"-"&amp;K325&amp;"-"&amp;L325&amp;"-"&amp;M325</f>
        <v>X-1-e-0-28.5</v>
      </c>
      <c r="Q325">
        <f>A325+R325</f>
        <v>16652.174125000001</v>
      </c>
      <c r="R325">
        <f>_xlfn.IFNA(VLOOKUP(P325,PGOPHER!A$2:G$181,7,FALSE),_xlfn.IFNA(VLOOKUP(P325,en!A$2:I$768,7,FALSE),-10000))</f>
        <v>2864.5741250000001</v>
      </c>
      <c r="S325">
        <f>IF(O325=O324,Q324+S324,Q325)</f>
        <v>33304.182328000003</v>
      </c>
      <c r="T325">
        <f>IF(O325=O324,T324+1,1)</f>
        <v>2</v>
      </c>
      <c r="U325">
        <f>IF(O325=O326,"",S325/T325)</f>
        <v>16652.091164000001</v>
      </c>
      <c r="V325" t="str">
        <f>IF(U325="","",IF(ABS(Q325-U325)&gt;V$1,"error",""))</f>
        <v/>
      </c>
    </row>
    <row r="326" spans="1:22" x14ac:dyDescent="0.55000000000000004">
      <c r="A326">
        <v>13723.02</v>
      </c>
      <c r="B326" s="1">
        <v>0.46100000000000002</v>
      </c>
      <c r="C326" s="1">
        <v>0.46100000000000002</v>
      </c>
      <c r="D326" s="2" t="s">
        <v>1121</v>
      </c>
      <c r="E326">
        <v>1</v>
      </c>
      <c r="F326" s="2" t="s">
        <v>2</v>
      </c>
      <c r="G326">
        <v>0</v>
      </c>
      <c r="H326">
        <v>29.5</v>
      </c>
      <c r="I326" s="2" t="s">
        <v>0</v>
      </c>
      <c r="J326">
        <v>1</v>
      </c>
      <c r="K326" s="2" t="s">
        <v>2</v>
      </c>
      <c r="L326">
        <v>0</v>
      </c>
      <c r="M326">
        <v>28.5</v>
      </c>
      <c r="N326" s="2" t="s">
        <v>1449</v>
      </c>
      <c r="O326" t="str">
        <f>D326&amp;"-"&amp;E326&amp;"-"&amp;F326&amp;"-"&amp;G326&amp;"-"&amp;H326</f>
        <v>A-1-e-0-29.5</v>
      </c>
      <c r="P326" t="str">
        <f>I326&amp;"-"&amp;J326&amp;"-"&amp;K326&amp;"-"&amp;L326&amp;"-"&amp;M326</f>
        <v>X-1-e-0-28.5</v>
      </c>
      <c r="Q326">
        <f>A326+R326</f>
        <v>16587.594125</v>
      </c>
      <c r="R326">
        <f>_xlfn.IFNA(VLOOKUP(P326,PGOPHER!A$2:G$181,7,FALSE),_xlfn.IFNA(VLOOKUP(P326,en!A$2:I$768,7,FALSE),-10000))</f>
        <v>2864.5741250000001</v>
      </c>
      <c r="S326">
        <f>IF(O326=O325,Q325+S325,Q326)</f>
        <v>16587.594125</v>
      </c>
      <c r="T326">
        <f>IF(O326=O325,T325+1,1)</f>
        <v>1</v>
      </c>
      <c r="U326" t="str">
        <f>IF(O326=O327,"",S326/T326)</f>
        <v/>
      </c>
      <c r="V326" t="str">
        <f>IF(U326="","",IF(ABS(Q326-U326)&gt;V$1,"error",""))</f>
        <v/>
      </c>
    </row>
    <row r="327" spans="1:22" x14ac:dyDescent="0.55000000000000004">
      <c r="A327">
        <v>13320.9</v>
      </c>
      <c r="B327" s="1">
        <v>0.73580000000000001</v>
      </c>
      <c r="C327" s="1">
        <v>0.73580000000000001</v>
      </c>
      <c r="D327" s="2" t="s">
        <v>1121</v>
      </c>
      <c r="E327">
        <v>1</v>
      </c>
      <c r="F327" s="2" t="s">
        <v>2</v>
      </c>
      <c r="G327">
        <v>0</v>
      </c>
      <c r="H327">
        <v>29.5</v>
      </c>
      <c r="I327" s="2" t="s">
        <v>0</v>
      </c>
      <c r="J327">
        <v>1</v>
      </c>
      <c r="K327" s="2" t="s">
        <v>2</v>
      </c>
      <c r="L327">
        <v>0</v>
      </c>
      <c r="M327">
        <v>30.5</v>
      </c>
      <c r="N327" s="2" t="s">
        <v>1652</v>
      </c>
      <c r="O327" t="str">
        <f>D327&amp;"-"&amp;E327&amp;"-"&amp;F327&amp;"-"&amp;G327&amp;"-"&amp;H327</f>
        <v>A-1-e-0-29.5</v>
      </c>
      <c r="P327" t="str">
        <f>I327&amp;"-"&amp;J327&amp;"-"&amp;K327&amp;"-"&amp;L327&amp;"-"&amp;M327</f>
        <v>X-1-e-0-30.5</v>
      </c>
      <c r="Q327">
        <f>A327+R327</f>
        <v>16587.374027999998</v>
      </c>
      <c r="R327">
        <f>_xlfn.IFNA(VLOOKUP(P327,PGOPHER!A$2:G$181,7,FALSE),_xlfn.IFNA(VLOOKUP(P327,en!A$2:I$768,7,FALSE),-10000))</f>
        <v>3266.4740280000001</v>
      </c>
      <c r="S327">
        <f>IF(O327=O326,Q326+S326,Q327)</f>
        <v>33175.188249999999</v>
      </c>
      <c r="T327">
        <f>IF(O327=O326,T326+1,1)</f>
        <v>2</v>
      </c>
      <c r="U327" t="str">
        <f>IF(O327=O328,"",S327/T327)</f>
        <v/>
      </c>
      <c r="V327" t="str">
        <f>IF(U327="","",IF(ABS(Q327-U327)&gt;V$1,"error",""))</f>
        <v/>
      </c>
    </row>
    <row r="328" spans="1:22" x14ac:dyDescent="0.55000000000000004">
      <c r="A328">
        <v>13324.34</v>
      </c>
      <c r="B328" s="1">
        <v>0.27479999999999999</v>
      </c>
      <c r="C328" s="1">
        <v>0.27479999999999999</v>
      </c>
      <c r="D328" s="2" t="s">
        <v>1121</v>
      </c>
      <c r="E328">
        <v>1</v>
      </c>
      <c r="F328" s="2" t="s">
        <v>2</v>
      </c>
      <c r="G328">
        <v>0</v>
      </c>
      <c r="H328">
        <v>29.5</v>
      </c>
      <c r="I328" s="2" t="s">
        <v>0</v>
      </c>
      <c r="J328">
        <v>2</v>
      </c>
      <c r="K328" s="2" t="s">
        <v>1</v>
      </c>
      <c r="L328">
        <v>0</v>
      </c>
      <c r="M328">
        <v>29.5</v>
      </c>
      <c r="N328" s="2" t="s">
        <v>1446</v>
      </c>
      <c r="O328" t="str">
        <f>D328&amp;"-"&amp;E328&amp;"-"&amp;F328&amp;"-"&amp;G328&amp;"-"&amp;H328</f>
        <v>A-1-e-0-29.5</v>
      </c>
      <c r="P328" t="str">
        <f>I328&amp;"-"&amp;J328&amp;"-"&amp;K328&amp;"-"&amp;L328&amp;"-"&amp;M328</f>
        <v>X-2-f-0-29.5</v>
      </c>
      <c r="Q328">
        <f>A328+R328</f>
        <v>16587.424298000002</v>
      </c>
      <c r="R328">
        <f>_xlfn.IFNA(VLOOKUP(P328,PGOPHER!A$2:G$181,7,FALSE),_xlfn.IFNA(VLOOKUP(P328,en!A$2:I$768,7,FALSE),-10000))</f>
        <v>3263.0842980000002</v>
      </c>
      <c r="S328">
        <f>IF(O328=O327,Q327+S327,Q328)</f>
        <v>49762.562277999998</v>
      </c>
      <c r="T328">
        <f>IF(O328=O327,T327+1,1)</f>
        <v>3</v>
      </c>
      <c r="U328">
        <f>IF(O328=O329,"",S328/T328)</f>
        <v>16587.520759333333</v>
      </c>
      <c r="V328" t="str">
        <f>IF(U328="","",IF(ABS(Q328-U328)&gt;V$1,"error",""))</f>
        <v/>
      </c>
    </row>
    <row r="329" spans="1:22" x14ac:dyDescent="0.55000000000000004">
      <c r="A329">
        <v>13460.43</v>
      </c>
      <c r="B329" s="1">
        <v>0.13700000000000001</v>
      </c>
      <c r="C329" s="1">
        <v>0.13700000000000001</v>
      </c>
      <c r="D329" s="2" t="s">
        <v>1121</v>
      </c>
      <c r="E329">
        <v>1</v>
      </c>
      <c r="F329" s="2" t="s">
        <v>1</v>
      </c>
      <c r="G329">
        <v>0</v>
      </c>
      <c r="H329">
        <v>29.5</v>
      </c>
      <c r="I329" s="2" t="s">
        <v>0</v>
      </c>
      <c r="J329">
        <v>2</v>
      </c>
      <c r="K329" s="2" t="s">
        <v>1</v>
      </c>
      <c r="L329">
        <v>0</v>
      </c>
      <c r="M329">
        <v>28.5</v>
      </c>
      <c r="N329" s="2" t="s">
        <v>1448</v>
      </c>
      <c r="O329" t="str">
        <f>D329&amp;"-"&amp;E329&amp;"-"&amp;F329&amp;"-"&amp;G329&amp;"-"&amp;H329</f>
        <v>A-1-f-0-29.5</v>
      </c>
      <c r="P329" t="str">
        <f>I329&amp;"-"&amp;J329&amp;"-"&amp;K329&amp;"-"&amp;L329&amp;"-"&amp;M329</f>
        <v>X-2-f-0-28.5</v>
      </c>
      <c r="Q329">
        <f>A329+R329</f>
        <v>16519.667749</v>
      </c>
      <c r="R329">
        <f>_xlfn.IFNA(VLOOKUP(P329,PGOPHER!A$2:G$181,7,FALSE),_xlfn.IFNA(VLOOKUP(P329,en!A$2:I$768,7,FALSE),-10000))</f>
        <v>3059.2377489999999</v>
      </c>
      <c r="S329">
        <f>IF(O329=O328,Q328+S328,Q329)</f>
        <v>16519.667749</v>
      </c>
      <c r="T329">
        <f>IF(O329=O328,T328+1,1)</f>
        <v>1</v>
      </c>
      <c r="U329" t="str">
        <f>IF(O329=O330,"",S329/T329)</f>
        <v/>
      </c>
      <c r="V329" t="str">
        <f>IF(U329="","",IF(ABS(Q329-U329)&gt;V$1,"error",""))</f>
        <v/>
      </c>
    </row>
    <row r="330" spans="1:22" x14ac:dyDescent="0.55000000000000004">
      <c r="A330">
        <v>13457.03</v>
      </c>
      <c r="B330" s="1">
        <v>0.13700000000000001</v>
      </c>
      <c r="C330" s="1">
        <v>0.13700000000000001</v>
      </c>
      <c r="D330" s="2" t="s">
        <v>1121</v>
      </c>
      <c r="E330">
        <v>1</v>
      </c>
      <c r="F330" s="2" t="s">
        <v>1</v>
      </c>
      <c r="G330">
        <v>0</v>
      </c>
      <c r="H330">
        <v>29.5</v>
      </c>
      <c r="I330" s="2" t="s">
        <v>0</v>
      </c>
      <c r="J330">
        <v>1</v>
      </c>
      <c r="K330" s="2" t="s">
        <v>2</v>
      </c>
      <c r="L330">
        <v>0</v>
      </c>
      <c r="M330">
        <v>29.5</v>
      </c>
      <c r="N330" s="2" t="s">
        <v>1447</v>
      </c>
      <c r="O330" t="str">
        <f>D330&amp;"-"&amp;E330&amp;"-"&amp;F330&amp;"-"&amp;G330&amp;"-"&amp;H330</f>
        <v>A-1-f-0-29.5</v>
      </c>
      <c r="P330" t="str">
        <f>I330&amp;"-"&amp;J330&amp;"-"&amp;K330&amp;"-"&amp;L330&amp;"-"&amp;M330</f>
        <v>X-1-e-0-29.5</v>
      </c>
      <c r="Q330">
        <f>A330+R330</f>
        <v>16519.635200000001</v>
      </c>
      <c r="R330">
        <f>_xlfn.IFNA(VLOOKUP(P330,PGOPHER!A$2:G$181,7,FALSE),_xlfn.IFNA(VLOOKUP(P330,en!A$2:I$768,7,FALSE),-10000))</f>
        <v>3062.6052</v>
      </c>
      <c r="S330">
        <f>IF(O330=O329,Q329+S329,Q330)</f>
        <v>33039.335498</v>
      </c>
      <c r="T330">
        <f>IF(O330=O329,T329+1,1)</f>
        <v>2</v>
      </c>
      <c r="U330">
        <f>IF(O330=O331,"",S330/T330)</f>
        <v>16519.667749</v>
      </c>
      <c r="V330" t="str">
        <f>IF(U330="","",IF(ABS(Q330-U330)&gt;V$1,"error",""))</f>
        <v/>
      </c>
    </row>
    <row r="331" spans="1:22" x14ac:dyDescent="0.55000000000000004">
      <c r="A331">
        <v>13621.12</v>
      </c>
      <c r="B331" s="1">
        <v>0.01</v>
      </c>
      <c r="C331" s="1">
        <v>0.01</v>
      </c>
      <c r="D331" s="2" t="s">
        <v>1121</v>
      </c>
      <c r="E331">
        <v>2</v>
      </c>
      <c r="F331" s="2" t="s">
        <v>2</v>
      </c>
      <c r="G331">
        <v>0</v>
      </c>
      <c r="H331">
        <v>29.5</v>
      </c>
      <c r="I331" s="2" t="s">
        <v>0</v>
      </c>
      <c r="J331">
        <v>2</v>
      </c>
      <c r="K331" s="2" t="s">
        <v>1</v>
      </c>
      <c r="L331">
        <v>0</v>
      </c>
      <c r="M331">
        <v>29.5</v>
      </c>
      <c r="N331" s="2" t="s">
        <v>1442</v>
      </c>
      <c r="O331" t="str">
        <f>D331&amp;"-"&amp;E331&amp;"-"&amp;F331&amp;"-"&amp;G331&amp;"-"&amp;H331</f>
        <v>A-2-e-0-29.5</v>
      </c>
      <c r="P331" t="str">
        <f>I331&amp;"-"&amp;J331&amp;"-"&amp;K331&amp;"-"&amp;L331&amp;"-"&amp;M331</f>
        <v>X-2-f-0-29.5</v>
      </c>
      <c r="Q331">
        <f>A331+R331</f>
        <v>16884.204298000001</v>
      </c>
      <c r="R331">
        <f>_xlfn.IFNA(VLOOKUP(P331,PGOPHER!A$2:G$181,7,FALSE),_xlfn.IFNA(VLOOKUP(P331,en!A$2:I$768,7,FALSE),-10000))</f>
        <v>3263.0842980000002</v>
      </c>
      <c r="S331">
        <f>IF(O331=O330,Q330+S330,Q331)</f>
        <v>16884.204298000001</v>
      </c>
      <c r="T331">
        <f>IF(O331=O330,T330+1,1)</f>
        <v>1</v>
      </c>
      <c r="U331" t="str">
        <f>IF(O331=O332,"",S331/T331)</f>
        <v/>
      </c>
      <c r="V331" t="str">
        <f>IF(U331="","",IF(ABS(Q331-U331)&gt;V$1,"error",""))</f>
        <v/>
      </c>
    </row>
    <row r="332" spans="1:22" x14ac:dyDescent="0.55000000000000004">
      <c r="A332">
        <v>14019.62</v>
      </c>
      <c r="B332" s="1">
        <v>0.01</v>
      </c>
      <c r="C332" s="1">
        <v>0.01</v>
      </c>
      <c r="D332" s="2" t="s">
        <v>1121</v>
      </c>
      <c r="E332">
        <v>2</v>
      </c>
      <c r="F332" s="2" t="s">
        <v>2</v>
      </c>
      <c r="G332">
        <v>0</v>
      </c>
      <c r="H332">
        <v>29.5</v>
      </c>
      <c r="I332" s="2" t="s">
        <v>0</v>
      </c>
      <c r="J332">
        <v>1</v>
      </c>
      <c r="K332" s="2" t="s">
        <v>2</v>
      </c>
      <c r="L332">
        <v>0</v>
      </c>
      <c r="M332">
        <v>28.5</v>
      </c>
      <c r="N332" s="2" t="s">
        <v>1445</v>
      </c>
      <c r="O332" t="str">
        <f>D332&amp;"-"&amp;E332&amp;"-"&amp;F332&amp;"-"&amp;G332&amp;"-"&amp;H332</f>
        <v>A-2-e-0-29.5</v>
      </c>
      <c r="P332" t="str">
        <f>I332&amp;"-"&amp;J332&amp;"-"&amp;K332&amp;"-"&amp;L332&amp;"-"&amp;M332</f>
        <v>X-1-e-0-28.5</v>
      </c>
      <c r="Q332">
        <f>A332+R332</f>
        <v>16884.194125000002</v>
      </c>
      <c r="R332">
        <f>_xlfn.IFNA(VLOOKUP(P332,PGOPHER!A$2:G$181,7,FALSE),_xlfn.IFNA(VLOOKUP(P332,en!A$2:I$768,7,FALSE),-10000))</f>
        <v>2864.5741250000001</v>
      </c>
      <c r="S332">
        <f>IF(O332=O331,Q331+S331,Q332)</f>
        <v>33768.408596000001</v>
      </c>
      <c r="T332">
        <f>IF(O332=O331,T331+1,1)</f>
        <v>2</v>
      </c>
      <c r="U332">
        <f>IF(O332=O333,"",S332/T332)</f>
        <v>16884.204298000001</v>
      </c>
      <c r="V332" t="str">
        <f>IF(U332="","",IF(ABS(Q332-U332)&gt;V$1,"error",""))</f>
        <v/>
      </c>
    </row>
    <row r="333" spans="1:22" x14ac:dyDescent="0.55000000000000004">
      <c r="A333">
        <v>13796.98</v>
      </c>
      <c r="B333" s="1">
        <v>0.1095</v>
      </c>
      <c r="C333" s="1">
        <v>0.1095</v>
      </c>
      <c r="D333" s="2" t="s">
        <v>1121</v>
      </c>
      <c r="E333">
        <v>2</v>
      </c>
      <c r="F333" s="2" t="s">
        <v>1</v>
      </c>
      <c r="G333">
        <v>0</v>
      </c>
      <c r="H333">
        <v>29.5</v>
      </c>
      <c r="I333" s="2" t="s">
        <v>0</v>
      </c>
      <c r="J333">
        <v>2</v>
      </c>
      <c r="K333" s="2" t="s">
        <v>1</v>
      </c>
      <c r="L333">
        <v>0</v>
      </c>
      <c r="M333">
        <v>28.5</v>
      </c>
      <c r="N333" s="2" t="s">
        <v>1444</v>
      </c>
      <c r="O333" t="str">
        <f>D333&amp;"-"&amp;E333&amp;"-"&amp;F333&amp;"-"&amp;G333&amp;"-"&amp;H333</f>
        <v>A-2-f-0-29.5</v>
      </c>
      <c r="P333" t="str">
        <f>I333&amp;"-"&amp;J333&amp;"-"&amp;K333&amp;"-"&amp;L333&amp;"-"&amp;M333</f>
        <v>X-2-f-0-28.5</v>
      </c>
      <c r="Q333">
        <f>A333+R333</f>
        <v>16856.217748999999</v>
      </c>
      <c r="R333">
        <f>_xlfn.IFNA(VLOOKUP(P333,PGOPHER!A$2:G$181,7,FALSE),_xlfn.IFNA(VLOOKUP(P333,en!A$2:I$768,7,FALSE),-10000))</f>
        <v>3059.2377489999999</v>
      </c>
      <c r="S333">
        <f>IF(O333=O332,Q332+S332,Q333)</f>
        <v>16856.217748999999</v>
      </c>
      <c r="T333">
        <f>IF(O333=O332,T332+1,1)</f>
        <v>1</v>
      </c>
      <c r="U333" t="str">
        <f>IF(O333=O334,"",S333/T333)</f>
        <v/>
      </c>
      <c r="V333" t="str">
        <f>IF(U333="","",IF(ABS(Q333-U333)&gt;V$1,"error",""))</f>
        <v/>
      </c>
    </row>
    <row r="334" spans="1:22" x14ac:dyDescent="0.55000000000000004">
      <c r="A334">
        <v>13793.63</v>
      </c>
      <c r="B334" s="1">
        <v>0.1095</v>
      </c>
      <c r="C334" s="1">
        <v>0.1095</v>
      </c>
      <c r="D334" s="2" t="s">
        <v>1121</v>
      </c>
      <c r="E334">
        <v>2</v>
      </c>
      <c r="F334" s="2" t="s">
        <v>1</v>
      </c>
      <c r="G334">
        <v>0</v>
      </c>
      <c r="H334">
        <v>29.5</v>
      </c>
      <c r="I334" s="2" t="s">
        <v>0</v>
      </c>
      <c r="J334">
        <v>1</v>
      </c>
      <c r="K334" s="2" t="s">
        <v>2</v>
      </c>
      <c r="L334">
        <v>0</v>
      </c>
      <c r="M334">
        <v>29.5</v>
      </c>
      <c r="N334" s="2" t="s">
        <v>1443</v>
      </c>
      <c r="O334" t="str">
        <f>D334&amp;"-"&amp;E334&amp;"-"&amp;F334&amp;"-"&amp;G334&amp;"-"&amp;H334</f>
        <v>A-2-f-0-29.5</v>
      </c>
      <c r="P334" t="str">
        <f>I334&amp;"-"&amp;J334&amp;"-"&amp;K334&amp;"-"&amp;L334&amp;"-"&amp;M334</f>
        <v>X-1-e-0-29.5</v>
      </c>
      <c r="Q334">
        <f>A334+R334</f>
        <v>16856.235199999999</v>
      </c>
      <c r="R334">
        <f>_xlfn.IFNA(VLOOKUP(P334,PGOPHER!A$2:G$181,7,FALSE),_xlfn.IFNA(VLOOKUP(P334,en!A$2:I$768,7,FALSE),-10000))</f>
        <v>3062.6052</v>
      </c>
      <c r="S334">
        <f>IF(O334=O333,Q333+S333,Q334)</f>
        <v>33712.435497999999</v>
      </c>
      <c r="T334">
        <f>IF(O334=O333,T333+1,1)</f>
        <v>2</v>
      </c>
      <c r="U334">
        <f>IF(O334=O335,"",S334/T334)</f>
        <v>16856.217748999999</v>
      </c>
      <c r="V334" t="str">
        <f>IF(U334="","",IF(ABS(Q334-U334)&gt;V$1,"error",""))</f>
        <v/>
      </c>
    </row>
    <row r="335" spans="1:22" x14ac:dyDescent="0.55000000000000004">
      <c r="A335">
        <v>13319.83</v>
      </c>
      <c r="B335" s="1">
        <v>0.28389999999999999</v>
      </c>
      <c r="C335" s="1">
        <v>0.28389999999999999</v>
      </c>
      <c r="D335" s="2" t="s">
        <v>1121</v>
      </c>
      <c r="E335">
        <v>1</v>
      </c>
      <c r="F335" s="2" t="s">
        <v>2</v>
      </c>
      <c r="G335">
        <v>0</v>
      </c>
      <c r="H335">
        <v>30.5</v>
      </c>
      <c r="I335" s="2" t="s">
        <v>0</v>
      </c>
      <c r="J335">
        <v>1</v>
      </c>
      <c r="K335" s="2" t="s">
        <v>2</v>
      </c>
      <c r="L335">
        <v>0</v>
      </c>
      <c r="M335">
        <v>31.5</v>
      </c>
      <c r="N335" s="2" t="s">
        <v>1450</v>
      </c>
      <c r="O335" t="str">
        <f>D335&amp;"-"&amp;E335&amp;"-"&amp;F335&amp;"-"&amp;G335&amp;"-"&amp;H335</f>
        <v>A-1-e-0-30.5</v>
      </c>
      <c r="P335" t="str">
        <f>I335&amp;"-"&amp;J335&amp;"-"&amp;K335&amp;"-"&amp;L335&amp;"-"&amp;M335</f>
        <v>X-1-e-0-31.5</v>
      </c>
      <c r="Q335">
        <f>A335+R335</f>
        <v>16795.891506</v>
      </c>
      <c r="R335">
        <f>_xlfn.IFNA(VLOOKUP(P335,PGOPHER!A$2:G$181,7,FALSE),_xlfn.IFNA(VLOOKUP(P335,en!A$2:I$768,7,FALSE),-10000))</f>
        <v>3476.061506</v>
      </c>
      <c r="S335">
        <f>IF(O335=O334,Q334+S334,Q335)</f>
        <v>16795.891506</v>
      </c>
      <c r="T335">
        <f>IF(O335=O334,T334+1,1)</f>
        <v>1</v>
      </c>
      <c r="U335" t="str">
        <f>IF(O335=O336,"",S335/T335)</f>
        <v/>
      </c>
      <c r="V335" t="str">
        <f>IF(U335="","",IF(ABS(Q335-U335)&gt;V$1,"error",""))</f>
        <v/>
      </c>
    </row>
    <row r="336" spans="1:22" x14ac:dyDescent="0.55000000000000004">
      <c r="A336">
        <v>13323.32</v>
      </c>
      <c r="B336" s="1">
        <v>0.28389999999999999</v>
      </c>
      <c r="C336" s="1">
        <v>0.28389999999999999</v>
      </c>
      <c r="D336" s="2" t="s">
        <v>1121</v>
      </c>
      <c r="E336">
        <v>1</v>
      </c>
      <c r="F336" s="2" t="s">
        <v>2</v>
      </c>
      <c r="G336">
        <v>0</v>
      </c>
      <c r="H336">
        <v>30.5</v>
      </c>
      <c r="I336" s="2" t="s">
        <v>0</v>
      </c>
      <c r="J336">
        <v>2</v>
      </c>
      <c r="K336" s="2" t="s">
        <v>1</v>
      </c>
      <c r="L336">
        <v>0</v>
      </c>
      <c r="M336">
        <v>30.5</v>
      </c>
      <c r="N336" s="2" t="s">
        <v>1451</v>
      </c>
      <c r="O336" t="str">
        <f>D336&amp;"-"&amp;E336&amp;"-"&amp;F336&amp;"-"&amp;G336&amp;"-"&amp;H336</f>
        <v>A-1-e-0-30.5</v>
      </c>
      <c r="P336" t="str">
        <f>I336&amp;"-"&amp;J336&amp;"-"&amp;K336&amp;"-"&amp;L336&amp;"-"&amp;M336</f>
        <v>X-2-f-0-30.5</v>
      </c>
      <c r="Q336">
        <f>A336+R336</f>
        <v>16795.902844</v>
      </c>
      <c r="R336">
        <f>_xlfn.IFNA(VLOOKUP(P336,PGOPHER!A$2:G$181,7,FALSE),_xlfn.IFNA(VLOOKUP(P336,en!A$2:I$768,7,FALSE),-10000))</f>
        <v>3472.582844</v>
      </c>
      <c r="S336">
        <f>IF(O336=O335,Q335+S335,Q336)</f>
        <v>33591.783012</v>
      </c>
      <c r="T336">
        <f>IF(O336=O335,T335+1,1)</f>
        <v>2</v>
      </c>
      <c r="U336">
        <f>IF(O336=O337,"",S336/T336)</f>
        <v>16795.891506</v>
      </c>
      <c r="V336" t="str">
        <f>IF(U336="","",IF(ABS(Q336-U336)&gt;V$1,"error",""))</f>
        <v/>
      </c>
    </row>
    <row r="337" spans="1:22" x14ac:dyDescent="0.55000000000000004">
      <c r="A337">
        <v>13465.98</v>
      </c>
      <c r="B337" s="1">
        <v>0.53280000000000005</v>
      </c>
      <c r="C337" s="1">
        <v>0.53280000000000005</v>
      </c>
      <c r="D337" s="2" t="s">
        <v>1121</v>
      </c>
      <c r="E337">
        <v>1</v>
      </c>
      <c r="F337" s="2" t="s">
        <v>1</v>
      </c>
      <c r="G337">
        <v>0</v>
      </c>
      <c r="H337">
        <v>30.5</v>
      </c>
      <c r="I337" s="2" t="s">
        <v>0</v>
      </c>
      <c r="J337">
        <v>2</v>
      </c>
      <c r="K337" s="2" t="s">
        <v>1</v>
      </c>
      <c r="L337">
        <v>0</v>
      </c>
      <c r="M337">
        <v>29.5</v>
      </c>
      <c r="N337" s="2" t="s">
        <v>1662</v>
      </c>
      <c r="O337" t="str">
        <f>D337&amp;"-"&amp;E337&amp;"-"&amp;F337&amp;"-"&amp;G337&amp;"-"&amp;H337</f>
        <v>A-1-f-0-30.5</v>
      </c>
      <c r="P337" t="str">
        <f>I337&amp;"-"&amp;J337&amp;"-"&amp;K337&amp;"-"&amp;L337&amp;"-"&amp;M337</f>
        <v>X-2-f-0-29.5</v>
      </c>
      <c r="Q337">
        <f>A337+R337</f>
        <v>16729.064298000001</v>
      </c>
      <c r="R337">
        <f>_xlfn.IFNA(VLOOKUP(P337,PGOPHER!A$2:G$181,7,FALSE),_xlfn.IFNA(VLOOKUP(P337,en!A$2:I$768,7,FALSE),-10000))</f>
        <v>3263.0842980000002</v>
      </c>
      <c r="S337">
        <f>IF(O337=O336,Q336+S336,Q337)</f>
        <v>16729.064298000001</v>
      </c>
      <c r="T337">
        <f>IF(O337=O336,T336+1,1)</f>
        <v>1</v>
      </c>
      <c r="U337" t="str">
        <f>IF(O337=O338,"",S337/T337)</f>
        <v/>
      </c>
      <c r="V337" t="str">
        <f>IF(U337="","",IF(ABS(Q337-U337)&gt;V$1,"error",""))</f>
        <v/>
      </c>
    </row>
    <row r="338" spans="1:22" x14ac:dyDescent="0.55000000000000004">
      <c r="A338">
        <v>13462.49</v>
      </c>
      <c r="B338" s="1">
        <v>0.53280000000000005</v>
      </c>
      <c r="C338" s="1">
        <v>0.53280000000000005</v>
      </c>
      <c r="D338" s="2" t="s">
        <v>1121</v>
      </c>
      <c r="E338">
        <v>1</v>
      </c>
      <c r="F338" s="2" t="s">
        <v>1</v>
      </c>
      <c r="G338">
        <v>0</v>
      </c>
      <c r="H338">
        <v>30.5</v>
      </c>
      <c r="I338" s="2" t="s">
        <v>0</v>
      </c>
      <c r="J338">
        <v>1</v>
      </c>
      <c r="K338" s="2" t="s">
        <v>2</v>
      </c>
      <c r="L338">
        <v>0</v>
      </c>
      <c r="M338">
        <v>30.5</v>
      </c>
      <c r="N338" s="2" t="s">
        <v>1656</v>
      </c>
      <c r="O338" t="str">
        <f>D338&amp;"-"&amp;E338&amp;"-"&amp;F338&amp;"-"&amp;G338&amp;"-"&amp;H338</f>
        <v>A-1-f-0-30.5</v>
      </c>
      <c r="P338" t="str">
        <f>I338&amp;"-"&amp;J338&amp;"-"&amp;K338&amp;"-"&amp;L338&amp;"-"&amp;M338</f>
        <v>X-1-e-0-30.5</v>
      </c>
      <c r="Q338">
        <f>A338+R338</f>
        <v>16728.964027999999</v>
      </c>
      <c r="R338">
        <f>_xlfn.IFNA(VLOOKUP(P338,PGOPHER!A$2:G$181,7,FALSE),_xlfn.IFNA(VLOOKUP(P338,en!A$2:I$768,7,FALSE),-10000))</f>
        <v>3266.4740280000001</v>
      </c>
      <c r="S338">
        <f>IF(O338=O337,Q337+S337,Q338)</f>
        <v>33458.128596000002</v>
      </c>
      <c r="T338">
        <f>IF(O338=O337,T337+1,1)</f>
        <v>2</v>
      </c>
      <c r="U338">
        <f>IF(O338=O339,"",S338/T338)</f>
        <v>16729.064298000001</v>
      </c>
      <c r="V338" t="str">
        <f>IF(U338="","",IF(ABS(Q338-U338)&gt;V$1,"error",""))</f>
        <v/>
      </c>
    </row>
    <row r="339" spans="1:22" x14ac:dyDescent="0.55000000000000004">
      <c r="A339">
        <v>14034.26</v>
      </c>
      <c r="B339" s="1">
        <v>0.86260000000000003</v>
      </c>
      <c r="C339" s="1">
        <v>0.86260000000000003</v>
      </c>
      <c r="D339" s="2" t="s">
        <v>1121</v>
      </c>
      <c r="E339">
        <v>2</v>
      </c>
      <c r="F339" s="2" t="s">
        <v>2</v>
      </c>
      <c r="G339">
        <v>0</v>
      </c>
      <c r="H339">
        <v>30.5</v>
      </c>
      <c r="I339" s="2" t="s">
        <v>0</v>
      </c>
      <c r="J339">
        <v>1</v>
      </c>
      <c r="K339" s="2" t="s">
        <v>2</v>
      </c>
      <c r="L339">
        <v>0</v>
      </c>
      <c r="M339">
        <v>29.5</v>
      </c>
      <c r="N339" s="2" t="s">
        <v>1663</v>
      </c>
      <c r="O339" t="str">
        <f>D339&amp;"-"&amp;E339&amp;"-"&amp;F339&amp;"-"&amp;G339&amp;"-"&amp;H339</f>
        <v>A-2-e-0-30.5</v>
      </c>
      <c r="P339" t="str">
        <f>I339&amp;"-"&amp;J339&amp;"-"&amp;K339&amp;"-"&amp;L339&amp;"-"&amp;M339</f>
        <v>X-1-e-0-29.5</v>
      </c>
      <c r="Q339">
        <f>A339+R339</f>
        <v>17096.8652</v>
      </c>
      <c r="R339">
        <f>_xlfn.IFNA(VLOOKUP(P339,PGOPHER!A$2:G$181,7,FALSE),_xlfn.IFNA(VLOOKUP(P339,en!A$2:I$768,7,FALSE),-10000))</f>
        <v>3062.6052</v>
      </c>
      <c r="S339">
        <f>IF(O339=O338,Q338+S338,Q339)</f>
        <v>17096.8652</v>
      </c>
      <c r="T339">
        <f>IF(O339=O338,T338+1,1)</f>
        <v>1</v>
      </c>
      <c r="U339" t="str">
        <f>IF(O339=O340,"",S339/T339)</f>
        <v/>
      </c>
      <c r="V339" t="str">
        <f>IF(U339="","",IF(ABS(Q339-U339)&gt;V$1,"error",""))</f>
        <v/>
      </c>
    </row>
    <row r="340" spans="1:22" x14ac:dyDescent="0.55000000000000004">
      <c r="A340">
        <v>13623.96</v>
      </c>
      <c r="B340" s="1">
        <v>0.86260000000000003</v>
      </c>
      <c r="C340" s="1">
        <v>0.86260000000000003</v>
      </c>
      <c r="D340" s="2" t="s">
        <v>1121</v>
      </c>
      <c r="E340">
        <v>2</v>
      </c>
      <c r="F340" s="2" t="s">
        <v>2</v>
      </c>
      <c r="G340">
        <v>0</v>
      </c>
      <c r="H340">
        <v>30.5</v>
      </c>
      <c r="I340" s="2" t="s">
        <v>0</v>
      </c>
      <c r="J340">
        <v>2</v>
      </c>
      <c r="K340" s="2" t="s">
        <v>1</v>
      </c>
      <c r="L340">
        <v>0</v>
      </c>
      <c r="M340">
        <v>30.5</v>
      </c>
      <c r="N340" s="2" t="s">
        <v>1660</v>
      </c>
      <c r="O340" t="str">
        <f>D340&amp;"-"&amp;E340&amp;"-"&amp;F340&amp;"-"&amp;G340&amp;"-"&amp;H340</f>
        <v>A-2-e-0-30.5</v>
      </c>
      <c r="P340" t="str">
        <f>I340&amp;"-"&amp;J340&amp;"-"&amp;K340&amp;"-"&amp;L340&amp;"-"&amp;M340</f>
        <v>X-2-f-0-30.5</v>
      </c>
      <c r="Q340">
        <f>A340+R340</f>
        <v>17096.542844</v>
      </c>
      <c r="R340">
        <f>_xlfn.IFNA(VLOOKUP(P340,PGOPHER!A$2:G$181,7,FALSE),_xlfn.IFNA(VLOOKUP(P340,en!A$2:I$768,7,FALSE),-10000))</f>
        <v>3472.582844</v>
      </c>
      <c r="S340">
        <f>IF(O340=O339,Q339+S339,Q340)</f>
        <v>34193.7304</v>
      </c>
      <c r="T340">
        <f>IF(O340=O339,T339+1,1)</f>
        <v>2</v>
      </c>
      <c r="U340">
        <f>IF(O340=O341,"",S340/T340)</f>
        <v>17096.8652</v>
      </c>
      <c r="V340" t="str">
        <f>IF(U340="","",IF(ABS(Q340-U340)&gt;V$1,"error",""))</f>
        <v/>
      </c>
    </row>
    <row r="341" spans="1:22" x14ac:dyDescent="0.55000000000000004">
      <c r="A341">
        <v>13803.21</v>
      </c>
      <c r="B341" s="1">
        <v>0.50529999999999997</v>
      </c>
      <c r="C341" s="1">
        <v>0.50529999999999997</v>
      </c>
      <c r="D341" s="2" t="s">
        <v>1121</v>
      </c>
      <c r="E341">
        <v>2</v>
      </c>
      <c r="F341" s="2" t="s">
        <v>1</v>
      </c>
      <c r="G341">
        <v>0</v>
      </c>
      <c r="H341">
        <v>30.5</v>
      </c>
      <c r="I341" s="2" t="s">
        <v>0</v>
      </c>
      <c r="J341">
        <v>2</v>
      </c>
      <c r="K341" s="2" t="s">
        <v>1</v>
      </c>
      <c r="L341">
        <v>0</v>
      </c>
      <c r="M341">
        <v>29.5</v>
      </c>
      <c r="N341" s="2" t="s">
        <v>1665</v>
      </c>
      <c r="O341" t="str">
        <f>D341&amp;"-"&amp;E341&amp;"-"&amp;F341&amp;"-"&amp;G341&amp;"-"&amp;H341</f>
        <v>A-2-f-0-30.5</v>
      </c>
      <c r="P341" t="str">
        <f>I341&amp;"-"&amp;J341&amp;"-"&amp;K341&amp;"-"&amp;L341&amp;"-"&amp;M341</f>
        <v>X-2-f-0-29.5</v>
      </c>
      <c r="Q341">
        <f>A341+R341</f>
        <v>17066.294298000001</v>
      </c>
      <c r="R341">
        <f>_xlfn.IFNA(VLOOKUP(P341,PGOPHER!A$2:G$181,7,FALSE),_xlfn.IFNA(VLOOKUP(P341,en!A$2:I$768,7,FALSE),-10000))</f>
        <v>3263.0842980000002</v>
      </c>
      <c r="S341">
        <f>IF(O341=O340,Q340+S340,Q341)</f>
        <v>17066.294298000001</v>
      </c>
      <c r="T341">
        <f>IF(O341=O340,T340+1,1)</f>
        <v>1</v>
      </c>
      <c r="U341" t="str">
        <f>IF(O341=O342,"",S341/T341)</f>
        <v/>
      </c>
      <c r="V341" t="str">
        <f>IF(U341="","",IF(ABS(Q341-U341)&gt;V$1,"error",""))</f>
        <v/>
      </c>
    </row>
    <row r="342" spans="1:22" x14ac:dyDescent="0.55000000000000004">
      <c r="A342">
        <v>13799.77</v>
      </c>
      <c r="B342" s="1">
        <v>0.50529999999999997</v>
      </c>
      <c r="C342" s="1">
        <v>0.50529999999999997</v>
      </c>
      <c r="D342" s="2" t="s">
        <v>1121</v>
      </c>
      <c r="E342">
        <v>2</v>
      </c>
      <c r="F342" s="2" t="s">
        <v>1</v>
      </c>
      <c r="G342">
        <v>0</v>
      </c>
      <c r="H342">
        <v>30.5</v>
      </c>
      <c r="I342" s="2" t="s">
        <v>0</v>
      </c>
      <c r="J342">
        <v>1</v>
      </c>
      <c r="K342" s="2" t="s">
        <v>2</v>
      </c>
      <c r="L342">
        <v>0</v>
      </c>
      <c r="M342">
        <v>30.5</v>
      </c>
      <c r="N342" s="2" t="s">
        <v>1659</v>
      </c>
      <c r="O342" t="str">
        <f>D342&amp;"-"&amp;E342&amp;"-"&amp;F342&amp;"-"&amp;G342&amp;"-"&amp;H342</f>
        <v>A-2-f-0-30.5</v>
      </c>
      <c r="P342" t="str">
        <f>I342&amp;"-"&amp;J342&amp;"-"&amp;K342&amp;"-"&amp;L342&amp;"-"&amp;M342</f>
        <v>X-1-e-0-30.5</v>
      </c>
      <c r="Q342">
        <f>A342+R342</f>
        <v>17066.244028000001</v>
      </c>
      <c r="R342">
        <f>_xlfn.IFNA(VLOOKUP(P342,PGOPHER!A$2:G$181,7,FALSE),_xlfn.IFNA(VLOOKUP(P342,en!A$2:I$768,7,FALSE),-10000))</f>
        <v>3266.4740280000001</v>
      </c>
      <c r="S342">
        <f>IF(O342=O341,Q341+S341,Q342)</f>
        <v>34132.588596000001</v>
      </c>
      <c r="T342">
        <f>IF(O342=O341,T341+1,1)</f>
        <v>2</v>
      </c>
      <c r="U342">
        <f>IF(O342=O343,"",S342/T342)</f>
        <v>17066.294298000001</v>
      </c>
      <c r="V342" t="str">
        <f>IF(U342="","",IF(ABS(Q342-U342)&gt;V$1,"error",""))</f>
        <v/>
      </c>
    </row>
    <row r="343" spans="1:22" x14ac:dyDescent="0.55000000000000004">
      <c r="A343">
        <v>13318.86</v>
      </c>
      <c r="B343" s="1">
        <v>0.50370000000000004</v>
      </c>
      <c r="C343" s="1">
        <v>0.50370000000000004</v>
      </c>
      <c r="D343" s="2" t="s">
        <v>1121</v>
      </c>
      <c r="E343">
        <v>1</v>
      </c>
      <c r="F343" s="2" t="s">
        <v>2</v>
      </c>
      <c r="G343">
        <v>0</v>
      </c>
      <c r="H343">
        <v>31.5</v>
      </c>
      <c r="I343" s="2" t="s">
        <v>0</v>
      </c>
      <c r="J343">
        <v>1</v>
      </c>
      <c r="K343" s="2" t="s">
        <v>2</v>
      </c>
      <c r="L343">
        <v>0</v>
      </c>
      <c r="M343">
        <v>32.5</v>
      </c>
      <c r="N343" s="2" t="s">
        <v>1454</v>
      </c>
      <c r="O343" t="str">
        <f>D343&amp;"-"&amp;E343&amp;"-"&amp;F343&amp;"-"&amp;G343&amp;"-"&amp;H343</f>
        <v>A-1-e-0-31.5</v>
      </c>
      <c r="P343" t="str">
        <f>I343&amp;"-"&amp;J343&amp;"-"&amp;K343&amp;"-"&amp;L343&amp;"-"&amp;M343</f>
        <v>X-1-e-0-32.5</v>
      </c>
      <c r="Q343">
        <f>A343+R343</f>
        <v>17007.219163000002</v>
      </c>
      <c r="R343">
        <f>_xlfn.IFNA(VLOOKUP(P343,PGOPHER!A$2:G$181,7,FALSE),_xlfn.IFNA(VLOOKUP(P343,en!A$2:I$768,7,FALSE),-10000))</f>
        <v>3688.3591630000001</v>
      </c>
      <c r="S343">
        <f>IF(O343=O342,Q342+S342,Q343)</f>
        <v>17007.219163000002</v>
      </c>
      <c r="T343">
        <f>IF(O343=O342,T342+1,1)</f>
        <v>1</v>
      </c>
      <c r="U343" t="str">
        <f>IF(O343=O344,"",S343/T343)</f>
        <v/>
      </c>
      <c r="V343" t="str">
        <f>IF(U343="","",IF(ABS(Q343-U343)&gt;V$1,"error",""))</f>
        <v/>
      </c>
    </row>
    <row r="344" spans="1:22" x14ac:dyDescent="0.55000000000000004">
      <c r="A344">
        <v>13322.44</v>
      </c>
      <c r="B344" s="1">
        <v>0.50370000000000004</v>
      </c>
      <c r="C344" s="1">
        <v>0.50370000000000004</v>
      </c>
      <c r="D344" s="2" t="s">
        <v>1121</v>
      </c>
      <c r="E344">
        <v>1</v>
      </c>
      <c r="F344" s="2" t="s">
        <v>2</v>
      </c>
      <c r="G344">
        <v>0</v>
      </c>
      <c r="H344">
        <v>31.5</v>
      </c>
      <c r="I344" s="2" t="s">
        <v>0</v>
      </c>
      <c r="J344">
        <v>2</v>
      </c>
      <c r="K344" s="2" t="s">
        <v>1</v>
      </c>
      <c r="L344">
        <v>0</v>
      </c>
      <c r="M344">
        <v>31.5</v>
      </c>
      <c r="N344" s="2" t="s">
        <v>1455</v>
      </c>
      <c r="O344" t="str">
        <f>D344&amp;"-"&amp;E344&amp;"-"&amp;F344&amp;"-"&amp;G344&amp;"-"&amp;H344</f>
        <v>A-1-e-0-31.5</v>
      </c>
      <c r="P344" t="str">
        <f>I344&amp;"-"&amp;J344&amp;"-"&amp;K344&amp;"-"&amp;L344&amp;"-"&amp;M344</f>
        <v>X-2-f-0-31.5</v>
      </c>
      <c r="Q344">
        <f>A344+R344</f>
        <v>17007.253808000001</v>
      </c>
      <c r="R344">
        <f>_xlfn.IFNA(VLOOKUP(P344,PGOPHER!A$2:G$181,7,FALSE),_xlfn.IFNA(VLOOKUP(P344,en!A$2:I$768,7,FALSE),-10000))</f>
        <v>3684.8138079999999</v>
      </c>
      <c r="S344">
        <f>IF(O344=O343,Q343+S343,Q344)</f>
        <v>34014.438326000003</v>
      </c>
      <c r="T344">
        <f>IF(O344=O343,T343+1,1)</f>
        <v>2</v>
      </c>
      <c r="U344">
        <f>IF(O344=O345,"",S344/T344)</f>
        <v>17007.219163000002</v>
      </c>
      <c r="V344" t="str">
        <f>IF(U344="","",IF(ABS(Q344-U344)&gt;V$1,"error",""))</f>
        <v/>
      </c>
    </row>
    <row r="345" spans="1:22" x14ac:dyDescent="0.55000000000000004">
      <c r="A345">
        <v>13468.04</v>
      </c>
      <c r="B345" s="1">
        <v>0.31690000000000002</v>
      </c>
      <c r="C345" s="1">
        <v>0.31690000000000002</v>
      </c>
      <c r="D345" s="2" t="s">
        <v>1121</v>
      </c>
      <c r="E345">
        <v>1</v>
      </c>
      <c r="F345" s="2" t="s">
        <v>1</v>
      </c>
      <c r="G345">
        <v>0</v>
      </c>
      <c r="H345">
        <v>31.5</v>
      </c>
      <c r="I345" s="2" t="s">
        <v>0</v>
      </c>
      <c r="J345">
        <v>1</v>
      </c>
      <c r="K345" s="2" t="s">
        <v>2</v>
      </c>
      <c r="L345">
        <v>0</v>
      </c>
      <c r="M345">
        <v>31.5</v>
      </c>
      <c r="N345" s="2" t="s">
        <v>1456</v>
      </c>
      <c r="O345" t="str">
        <f>D345&amp;"-"&amp;E345&amp;"-"&amp;F345&amp;"-"&amp;G345&amp;"-"&amp;H345</f>
        <v>A-1-f-0-31.5</v>
      </c>
      <c r="P345" t="str">
        <f>I345&amp;"-"&amp;J345&amp;"-"&amp;K345&amp;"-"&amp;L345&amp;"-"&amp;M345</f>
        <v>X-1-e-0-31.5</v>
      </c>
      <c r="Q345">
        <f>A345+R345</f>
        <v>16944.101505999999</v>
      </c>
      <c r="R345">
        <f>_xlfn.IFNA(VLOOKUP(P345,PGOPHER!A$2:G$181,7,FALSE),_xlfn.IFNA(VLOOKUP(P345,en!A$2:I$768,7,FALSE),-10000))</f>
        <v>3476.061506</v>
      </c>
      <c r="S345">
        <f>IF(O345=O344,Q344+S344,Q345)</f>
        <v>16944.101505999999</v>
      </c>
      <c r="T345">
        <f>IF(O345=O344,T344+1,1)</f>
        <v>1</v>
      </c>
      <c r="U345" t="str">
        <f>IF(O345=O346,"",S345/T345)</f>
        <v/>
      </c>
      <c r="V345" t="str">
        <f>IF(U345="","",IF(ABS(Q345-U345)&gt;V$1,"error",""))</f>
        <v/>
      </c>
    </row>
    <row r="346" spans="1:22" x14ac:dyDescent="0.55000000000000004">
      <c r="A346">
        <v>13471.59</v>
      </c>
      <c r="B346" s="1">
        <v>0.31690000000000002</v>
      </c>
      <c r="C346" s="1">
        <v>0.31690000000000002</v>
      </c>
      <c r="D346" s="2" t="s">
        <v>1121</v>
      </c>
      <c r="E346">
        <v>1</v>
      </c>
      <c r="F346" s="2" t="s">
        <v>1</v>
      </c>
      <c r="G346">
        <v>0</v>
      </c>
      <c r="H346">
        <v>31.5</v>
      </c>
      <c r="I346" s="2" t="s">
        <v>0</v>
      </c>
      <c r="J346">
        <v>2</v>
      </c>
      <c r="K346" s="2" t="s">
        <v>1</v>
      </c>
      <c r="L346">
        <v>0</v>
      </c>
      <c r="M346">
        <v>30.5</v>
      </c>
      <c r="N346" s="2" t="s">
        <v>1457</v>
      </c>
      <c r="O346" t="str">
        <f>D346&amp;"-"&amp;E346&amp;"-"&amp;F346&amp;"-"&amp;G346&amp;"-"&amp;H346</f>
        <v>A-1-f-0-31.5</v>
      </c>
      <c r="P346" t="str">
        <f>I346&amp;"-"&amp;J346&amp;"-"&amp;K346&amp;"-"&amp;L346&amp;"-"&amp;M346</f>
        <v>X-2-f-0-30.5</v>
      </c>
      <c r="Q346">
        <f>A346+R346</f>
        <v>16944.172844000001</v>
      </c>
      <c r="R346">
        <f>_xlfn.IFNA(VLOOKUP(P346,PGOPHER!A$2:G$181,7,FALSE),_xlfn.IFNA(VLOOKUP(P346,en!A$2:I$768,7,FALSE),-10000))</f>
        <v>3472.582844</v>
      </c>
      <c r="S346">
        <f>IF(O346=O345,Q345+S345,Q346)</f>
        <v>33888.203011999998</v>
      </c>
      <c r="T346">
        <f>IF(O346=O345,T345+1,1)</f>
        <v>2</v>
      </c>
      <c r="U346">
        <f>IF(O346=O347,"",S346/T346)</f>
        <v>16944.101505999999</v>
      </c>
      <c r="V346" t="str">
        <f>IF(U346="","",IF(ABS(Q346-U346)&gt;V$1,"error",""))</f>
        <v/>
      </c>
    </row>
    <row r="347" spans="1:22" x14ac:dyDescent="0.55000000000000004">
      <c r="A347">
        <v>13627.24</v>
      </c>
      <c r="B347" s="1">
        <v>1.8620000000000001</v>
      </c>
      <c r="C347" s="1">
        <v>1.8620000000000001</v>
      </c>
      <c r="D347" s="2" t="s">
        <v>1121</v>
      </c>
      <c r="E347">
        <v>2</v>
      </c>
      <c r="F347" s="2" t="s">
        <v>2</v>
      </c>
      <c r="G347">
        <v>0</v>
      </c>
      <c r="H347">
        <v>31.5</v>
      </c>
      <c r="I347" s="2" t="s">
        <v>0</v>
      </c>
      <c r="J347">
        <v>2</v>
      </c>
      <c r="K347" s="2" t="s">
        <v>1</v>
      </c>
      <c r="L347">
        <v>0</v>
      </c>
      <c r="M347">
        <v>31.5</v>
      </c>
      <c r="N347" s="2" t="s">
        <v>1661</v>
      </c>
      <c r="O347" t="str">
        <f>D347&amp;"-"&amp;E347&amp;"-"&amp;F347&amp;"-"&amp;G347&amp;"-"&amp;H347</f>
        <v>A-2-e-0-31.5</v>
      </c>
      <c r="P347" t="str">
        <f>I347&amp;"-"&amp;J347&amp;"-"&amp;K347&amp;"-"&amp;L347&amp;"-"&amp;M347</f>
        <v>X-2-f-0-31.5</v>
      </c>
      <c r="Q347">
        <f>A347+R347</f>
        <v>17312.053808000001</v>
      </c>
      <c r="R347">
        <f>_xlfn.IFNA(VLOOKUP(P347,PGOPHER!A$2:G$181,7,FALSE),_xlfn.IFNA(VLOOKUP(P347,en!A$2:I$768,7,FALSE),-10000))</f>
        <v>3684.8138079999999</v>
      </c>
      <c r="S347">
        <f>IF(O347=O346,Q346+S346,Q347)</f>
        <v>17312.053808000001</v>
      </c>
      <c r="T347">
        <f>IF(O347=O346,T346+1,1)</f>
        <v>1</v>
      </c>
      <c r="U347" t="str">
        <f>IF(O347=O348,"",S347/T347)</f>
        <v/>
      </c>
      <c r="V347" t="str">
        <f>IF(U347="","",IF(ABS(Q347-U347)&gt;V$1,"error",""))</f>
        <v/>
      </c>
    </row>
    <row r="348" spans="1:22" x14ac:dyDescent="0.55000000000000004">
      <c r="A348">
        <v>14048.98</v>
      </c>
      <c r="B348" s="1">
        <v>1.8620000000000001</v>
      </c>
      <c r="C348" s="1">
        <v>1.8620000000000001</v>
      </c>
      <c r="D348" s="2" t="s">
        <v>1121</v>
      </c>
      <c r="E348">
        <v>2</v>
      </c>
      <c r="F348" s="2" t="s">
        <v>2</v>
      </c>
      <c r="G348">
        <v>0</v>
      </c>
      <c r="H348">
        <v>31.5</v>
      </c>
      <c r="I348" s="2" t="s">
        <v>0</v>
      </c>
      <c r="J348">
        <v>1</v>
      </c>
      <c r="K348" s="2" t="s">
        <v>2</v>
      </c>
      <c r="L348">
        <v>0</v>
      </c>
      <c r="M348">
        <v>30.5</v>
      </c>
      <c r="N348" s="2" t="s">
        <v>1664</v>
      </c>
      <c r="O348" t="str">
        <f>D348&amp;"-"&amp;E348&amp;"-"&amp;F348&amp;"-"&amp;G348&amp;"-"&amp;H348</f>
        <v>A-2-e-0-31.5</v>
      </c>
      <c r="P348" t="str">
        <f>I348&amp;"-"&amp;J348&amp;"-"&amp;K348&amp;"-"&amp;L348&amp;"-"&amp;M348</f>
        <v>X-1-e-0-30.5</v>
      </c>
      <c r="Q348">
        <f>A348+R348</f>
        <v>17315.454028</v>
      </c>
      <c r="R348">
        <f>_xlfn.IFNA(VLOOKUP(P348,PGOPHER!A$2:G$181,7,FALSE),_xlfn.IFNA(VLOOKUP(P348,en!A$2:I$768,7,FALSE),-10000))</f>
        <v>3266.4740280000001</v>
      </c>
      <c r="S348">
        <f>IF(O348=O347,Q347+S347,Q348)</f>
        <v>34624.107616000001</v>
      </c>
      <c r="T348">
        <f>IF(O348=O347,T347+1,1)</f>
        <v>2</v>
      </c>
      <c r="U348">
        <f>IF(O348=O349,"",S348/T348)</f>
        <v>17312.053808000001</v>
      </c>
      <c r="V348" t="str">
        <f>IF(U348="","",IF(ABS(Q348-U348)&gt;V$1,"error",""))</f>
        <v>error</v>
      </c>
    </row>
    <row r="349" spans="1:22" x14ac:dyDescent="0.55000000000000004">
      <c r="A349">
        <v>13809.53</v>
      </c>
      <c r="B349" s="1">
        <v>0.26190000000000002</v>
      </c>
      <c r="C349" s="1">
        <v>0.26190000000000002</v>
      </c>
      <c r="D349" s="2" t="s">
        <v>1121</v>
      </c>
      <c r="E349">
        <v>2</v>
      </c>
      <c r="F349" s="2" t="s">
        <v>1</v>
      </c>
      <c r="G349">
        <v>0</v>
      </c>
      <c r="H349">
        <v>31.5</v>
      </c>
      <c r="I349" s="2" t="s">
        <v>0</v>
      </c>
      <c r="J349">
        <v>2</v>
      </c>
      <c r="K349" s="2" t="s">
        <v>1</v>
      </c>
      <c r="L349">
        <v>0</v>
      </c>
      <c r="M349">
        <v>30.5</v>
      </c>
      <c r="N349" s="2" t="s">
        <v>1453</v>
      </c>
      <c r="O349" t="str">
        <f>D349&amp;"-"&amp;E349&amp;"-"&amp;F349&amp;"-"&amp;G349&amp;"-"&amp;H349</f>
        <v>A-2-f-0-31.5</v>
      </c>
      <c r="P349" t="str">
        <f>I349&amp;"-"&amp;J349&amp;"-"&amp;K349&amp;"-"&amp;L349&amp;"-"&amp;M349</f>
        <v>X-2-f-0-30.5</v>
      </c>
      <c r="Q349">
        <f>A349+R349</f>
        <v>17282.112843999999</v>
      </c>
      <c r="R349">
        <f>_xlfn.IFNA(VLOOKUP(P349,PGOPHER!A$2:G$181,7,FALSE),_xlfn.IFNA(VLOOKUP(P349,en!A$2:I$768,7,FALSE),-10000))</f>
        <v>3472.582844</v>
      </c>
      <c r="S349">
        <f>IF(O349=O348,Q348+S348,Q349)</f>
        <v>17282.112843999999</v>
      </c>
      <c r="T349">
        <f>IF(O349=O348,T348+1,1)</f>
        <v>1</v>
      </c>
      <c r="U349" t="str">
        <f>IF(O349=O350,"",S349/T349)</f>
        <v/>
      </c>
      <c r="V349" t="str">
        <f>IF(U349="","",IF(ABS(Q349-U349)&gt;V$1,"error",""))</f>
        <v/>
      </c>
    </row>
    <row r="350" spans="1:22" x14ac:dyDescent="0.55000000000000004">
      <c r="A350">
        <v>13806.08</v>
      </c>
      <c r="B350" s="1">
        <v>0.26190000000000002</v>
      </c>
      <c r="C350" s="1">
        <v>0.26190000000000002</v>
      </c>
      <c r="D350" s="2" t="s">
        <v>1121</v>
      </c>
      <c r="E350">
        <v>2</v>
      </c>
      <c r="F350" s="2" t="s">
        <v>1</v>
      </c>
      <c r="G350">
        <v>0</v>
      </c>
      <c r="H350">
        <v>31.5</v>
      </c>
      <c r="I350" s="2" t="s">
        <v>0</v>
      </c>
      <c r="J350">
        <v>1</v>
      </c>
      <c r="K350" s="2" t="s">
        <v>2</v>
      </c>
      <c r="L350">
        <v>0</v>
      </c>
      <c r="M350">
        <v>31.5</v>
      </c>
      <c r="N350" s="2" t="s">
        <v>1452</v>
      </c>
      <c r="O350" t="str">
        <f>D350&amp;"-"&amp;E350&amp;"-"&amp;F350&amp;"-"&amp;G350&amp;"-"&amp;H350</f>
        <v>A-2-f-0-31.5</v>
      </c>
      <c r="P350" t="str">
        <f>I350&amp;"-"&amp;J350&amp;"-"&amp;K350&amp;"-"&amp;L350&amp;"-"&amp;M350</f>
        <v>X-1-e-0-31.5</v>
      </c>
      <c r="Q350">
        <f>A350+R350</f>
        <v>17282.141506</v>
      </c>
      <c r="R350">
        <f>_xlfn.IFNA(VLOOKUP(P350,PGOPHER!A$2:G$181,7,FALSE),_xlfn.IFNA(VLOOKUP(P350,en!A$2:I$768,7,FALSE),-10000))</f>
        <v>3476.061506</v>
      </c>
      <c r="S350">
        <f>IF(O350=O349,Q349+S349,Q350)</f>
        <v>34564.225687999999</v>
      </c>
      <c r="T350">
        <f>IF(O350=O349,T349+1,1)</f>
        <v>2</v>
      </c>
      <c r="U350">
        <f>IF(O350=O351,"",S350/T350)</f>
        <v>17282.112843999999</v>
      </c>
      <c r="V350" t="str">
        <f>IF(U350="","",IF(ABS(Q350-U350)&gt;V$1,"error",""))</f>
        <v/>
      </c>
    </row>
    <row r="351" spans="1:22" x14ac:dyDescent="0.55000000000000004">
      <c r="A351">
        <v>13317.97</v>
      </c>
      <c r="B351" s="1">
        <v>2.9329999999999998E-2</v>
      </c>
      <c r="C351" s="1">
        <v>2.9329999999999998E-2</v>
      </c>
      <c r="D351" s="2" t="s">
        <v>1121</v>
      </c>
      <c r="E351">
        <v>1</v>
      </c>
      <c r="F351" s="2" t="s">
        <v>2</v>
      </c>
      <c r="G351">
        <v>0</v>
      </c>
      <c r="H351">
        <v>32.5</v>
      </c>
      <c r="I351" s="2" t="s">
        <v>0</v>
      </c>
      <c r="J351">
        <v>1</v>
      </c>
      <c r="K351" s="2" t="s">
        <v>2</v>
      </c>
      <c r="L351">
        <v>0</v>
      </c>
      <c r="M351">
        <v>33.5</v>
      </c>
      <c r="N351" s="2" t="s">
        <v>1462</v>
      </c>
      <c r="O351" t="str">
        <f>D351&amp;"-"&amp;E351&amp;"-"&amp;F351&amp;"-"&amp;G351&amp;"-"&amp;H351</f>
        <v>A-1-e-0-32.5</v>
      </c>
      <c r="P351" t="str">
        <f>I351&amp;"-"&amp;J351&amp;"-"&amp;K351&amp;"-"&amp;L351&amp;"-"&amp;M351</f>
        <v>X-1-e-0-33.5</v>
      </c>
      <c r="Q351">
        <f>A351+R351</f>
        <v>17230.911206000001</v>
      </c>
      <c r="R351">
        <f>_xlfn.IFNA(VLOOKUP(P351,PGOPHER!A$2:G$181,7,FALSE),_xlfn.IFNA(VLOOKUP(P351,en!A$2:I$768,7,FALSE),-10000))</f>
        <v>3912.941206</v>
      </c>
      <c r="S351">
        <f>IF(O351=O350,Q350+S350,Q351)</f>
        <v>17230.911206000001</v>
      </c>
      <c r="T351">
        <f>IF(O351=O350,T350+1,1)</f>
        <v>1</v>
      </c>
      <c r="U351" t="str">
        <f>IF(O351=O352,"",S351/T351)</f>
        <v/>
      </c>
      <c r="V351" t="str">
        <f>IF(U351="","",IF(ABS(Q351-U351)&gt;V$1,"error",""))</f>
        <v/>
      </c>
    </row>
    <row r="352" spans="1:22" x14ac:dyDescent="0.55000000000000004">
      <c r="A352">
        <v>13321.78</v>
      </c>
      <c r="B352" s="1">
        <v>2.9329999999999998E-2</v>
      </c>
      <c r="C352" s="1">
        <v>2.9329999999999998E-2</v>
      </c>
      <c r="D352" s="2" t="s">
        <v>1121</v>
      </c>
      <c r="E352">
        <v>1</v>
      </c>
      <c r="F352" s="2" t="s">
        <v>2</v>
      </c>
      <c r="G352">
        <v>0</v>
      </c>
      <c r="H352">
        <v>32.5</v>
      </c>
      <c r="I352" s="2" t="s">
        <v>0</v>
      </c>
      <c r="J352">
        <v>2</v>
      </c>
      <c r="K352" s="2" t="s">
        <v>1</v>
      </c>
      <c r="L352">
        <v>0</v>
      </c>
      <c r="M352">
        <v>32.5</v>
      </c>
      <c r="N352" s="2" t="s">
        <v>1463</v>
      </c>
      <c r="O352" t="str">
        <f>D352&amp;"-"&amp;E352&amp;"-"&amp;F352&amp;"-"&amp;G352&amp;"-"&amp;H352</f>
        <v>A-1-e-0-32.5</v>
      </c>
      <c r="P352" t="str">
        <f>I352&amp;"-"&amp;J352&amp;"-"&amp;K352&amp;"-"&amp;L352&amp;"-"&amp;M352</f>
        <v>X-2-f-0-32.5</v>
      </c>
      <c r="Q352">
        <f>A352+R352</f>
        <v>17230.961506</v>
      </c>
      <c r="R352">
        <f>_xlfn.IFNA(VLOOKUP(P352,PGOPHER!A$2:G$181,7,FALSE),_xlfn.IFNA(VLOOKUP(P352,en!A$2:I$768,7,FALSE),-10000))</f>
        <v>3909.1815059999999</v>
      </c>
      <c r="S352">
        <f>IF(O352=O351,Q351+S351,Q352)</f>
        <v>34461.822412000001</v>
      </c>
      <c r="T352">
        <f>IF(O352=O351,T351+1,1)</f>
        <v>2</v>
      </c>
      <c r="U352">
        <f>IF(O352=O353,"",S352/T352)</f>
        <v>17230.911206000001</v>
      </c>
      <c r="V352" t="str">
        <f>IF(U352="","",IF(ABS(Q352-U352)&gt;V$1,"error",""))</f>
        <v/>
      </c>
    </row>
    <row r="353" spans="1:22" x14ac:dyDescent="0.55000000000000004">
      <c r="A353">
        <v>13473.79</v>
      </c>
      <c r="B353" s="1">
        <v>0.52569999999999995</v>
      </c>
      <c r="C353" s="1">
        <v>0.52569999999999995</v>
      </c>
      <c r="D353" s="2" t="s">
        <v>1121</v>
      </c>
      <c r="E353">
        <v>1</v>
      </c>
      <c r="F353" s="2" t="s">
        <v>1</v>
      </c>
      <c r="G353">
        <v>0</v>
      </c>
      <c r="H353">
        <v>32.5</v>
      </c>
      <c r="I353" s="2" t="s">
        <v>0</v>
      </c>
      <c r="J353">
        <v>1</v>
      </c>
      <c r="K353" s="2" t="s">
        <v>2</v>
      </c>
      <c r="L353">
        <v>0</v>
      </c>
      <c r="M353">
        <v>32.5</v>
      </c>
      <c r="N353" s="2" t="s">
        <v>1464</v>
      </c>
      <c r="O353" t="str">
        <f>D353&amp;"-"&amp;E353&amp;"-"&amp;F353&amp;"-"&amp;G353&amp;"-"&amp;H353</f>
        <v>A-1-f-0-32.5</v>
      </c>
      <c r="P353" t="str">
        <f>I353&amp;"-"&amp;J353&amp;"-"&amp;K353&amp;"-"&amp;L353&amp;"-"&amp;M353</f>
        <v>X-1-e-0-32.5</v>
      </c>
      <c r="Q353">
        <f>A353+R353</f>
        <v>17162.149163000002</v>
      </c>
      <c r="R353">
        <f>_xlfn.IFNA(VLOOKUP(P353,PGOPHER!A$2:G$181,7,FALSE),_xlfn.IFNA(VLOOKUP(P353,en!A$2:I$768,7,FALSE),-10000))</f>
        <v>3688.3591630000001</v>
      </c>
      <c r="S353">
        <f>IF(O353=O352,Q352+S352,Q353)</f>
        <v>17162.149163000002</v>
      </c>
      <c r="T353">
        <f>IF(O353=O352,T352+1,1)</f>
        <v>1</v>
      </c>
      <c r="U353" t="str">
        <f>IF(O353=O354,"",S353/T353)</f>
        <v/>
      </c>
      <c r="V353" t="str">
        <f>IF(U353="","",IF(ABS(Q353-U353)&gt;V$1,"error",""))</f>
        <v/>
      </c>
    </row>
    <row r="354" spans="1:22" x14ac:dyDescent="0.55000000000000004">
      <c r="A354">
        <v>13477.41</v>
      </c>
      <c r="B354" s="1">
        <v>0.52569999999999995</v>
      </c>
      <c r="C354" s="1">
        <v>0.52569999999999995</v>
      </c>
      <c r="D354" s="2" t="s">
        <v>1121</v>
      </c>
      <c r="E354">
        <v>1</v>
      </c>
      <c r="F354" s="2" t="s">
        <v>1</v>
      </c>
      <c r="G354">
        <v>0</v>
      </c>
      <c r="H354">
        <v>32.5</v>
      </c>
      <c r="I354" s="2" t="s">
        <v>0</v>
      </c>
      <c r="J354">
        <v>2</v>
      </c>
      <c r="K354" s="2" t="s">
        <v>1</v>
      </c>
      <c r="L354">
        <v>0</v>
      </c>
      <c r="M354">
        <v>31.5</v>
      </c>
      <c r="N354" s="2" t="s">
        <v>1465</v>
      </c>
      <c r="O354" t="str">
        <f>D354&amp;"-"&amp;E354&amp;"-"&amp;F354&amp;"-"&amp;G354&amp;"-"&amp;H354</f>
        <v>A-1-f-0-32.5</v>
      </c>
      <c r="P354" t="str">
        <f>I354&amp;"-"&amp;J354&amp;"-"&amp;K354&amp;"-"&amp;L354&amp;"-"&amp;M354</f>
        <v>X-2-f-0-31.5</v>
      </c>
      <c r="Q354">
        <f>A354+R354</f>
        <v>17162.223807999999</v>
      </c>
      <c r="R354">
        <f>_xlfn.IFNA(VLOOKUP(P354,PGOPHER!A$2:G$181,7,FALSE),_xlfn.IFNA(VLOOKUP(P354,en!A$2:I$768,7,FALSE),-10000))</f>
        <v>3684.8138079999999</v>
      </c>
      <c r="S354">
        <f>IF(O354=O353,Q353+S353,Q354)</f>
        <v>34324.298326000004</v>
      </c>
      <c r="T354">
        <f>IF(O354=O353,T353+1,1)</f>
        <v>2</v>
      </c>
      <c r="U354">
        <f>IF(O354=O355,"",S354/T354)</f>
        <v>17162.149163000002</v>
      </c>
      <c r="V354" t="str">
        <f>IF(U354="","",IF(ABS(Q354-U354)&gt;V$1,"error",""))</f>
        <v/>
      </c>
    </row>
    <row r="355" spans="1:22" x14ac:dyDescent="0.55000000000000004">
      <c r="A355">
        <v>13630.74</v>
      </c>
      <c r="B355" s="1">
        <v>0.01</v>
      </c>
      <c r="C355" s="1">
        <v>0.01</v>
      </c>
      <c r="D355" s="2" t="s">
        <v>1121</v>
      </c>
      <c r="E355">
        <v>2</v>
      </c>
      <c r="F355" s="2" t="s">
        <v>2</v>
      </c>
      <c r="G355">
        <v>0</v>
      </c>
      <c r="H355">
        <v>32.5</v>
      </c>
      <c r="I355" s="2" t="s">
        <v>0</v>
      </c>
      <c r="J355">
        <v>2</v>
      </c>
      <c r="K355" s="2" t="s">
        <v>1</v>
      </c>
      <c r="L355">
        <v>0</v>
      </c>
      <c r="M355">
        <v>32.5</v>
      </c>
      <c r="N355" s="2" t="s">
        <v>1458</v>
      </c>
      <c r="O355" t="str">
        <f>D355&amp;"-"&amp;E355&amp;"-"&amp;F355&amp;"-"&amp;G355&amp;"-"&amp;H355</f>
        <v>A-2-e-0-32.5</v>
      </c>
      <c r="P355" t="str">
        <f>I355&amp;"-"&amp;J355&amp;"-"&amp;K355&amp;"-"&amp;L355&amp;"-"&amp;M355</f>
        <v>X-2-f-0-32.5</v>
      </c>
      <c r="Q355">
        <f>A355+R355</f>
        <v>17539.921505999999</v>
      </c>
      <c r="R355">
        <f>_xlfn.IFNA(VLOOKUP(P355,PGOPHER!A$2:G$181,7,FALSE),_xlfn.IFNA(VLOOKUP(P355,en!A$2:I$768,7,FALSE),-10000))</f>
        <v>3909.1815059999999</v>
      </c>
      <c r="S355">
        <f>IF(O355=O354,Q354+S354,Q355)</f>
        <v>17539.921505999999</v>
      </c>
      <c r="T355">
        <f>IF(O355=O354,T354+1,1)</f>
        <v>1</v>
      </c>
      <c r="U355" t="str">
        <f>IF(O355=O356,"",S355/T355)</f>
        <v/>
      </c>
      <c r="V355" t="str">
        <f>IF(U355="","",IF(ABS(Q355-U355)&gt;V$1,"error",""))</f>
        <v/>
      </c>
    </row>
    <row r="356" spans="1:22" x14ac:dyDescent="0.55000000000000004">
      <c r="A356">
        <v>14063.86</v>
      </c>
      <c r="B356" s="1">
        <v>0.01</v>
      </c>
      <c r="C356" s="1">
        <v>0.01</v>
      </c>
      <c r="D356" s="2" t="s">
        <v>1121</v>
      </c>
      <c r="E356">
        <v>2</v>
      </c>
      <c r="F356" s="2" t="s">
        <v>2</v>
      </c>
      <c r="G356">
        <v>0</v>
      </c>
      <c r="H356">
        <v>32.5</v>
      </c>
      <c r="I356" s="2" t="s">
        <v>0</v>
      </c>
      <c r="J356">
        <v>1</v>
      </c>
      <c r="K356" s="2" t="s">
        <v>2</v>
      </c>
      <c r="L356">
        <v>0</v>
      </c>
      <c r="M356">
        <v>31.5</v>
      </c>
      <c r="N356" s="2" t="s">
        <v>1461</v>
      </c>
      <c r="O356" t="str">
        <f>D356&amp;"-"&amp;E356&amp;"-"&amp;F356&amp;"-"&amp;G356&amp;"-"&amp;H356</f>
        <v>A-2-e-0-32.5</v>
      </c>
      <c r="P356" t="str">
        <f>I356&amp;"-"&amp;J356&amp;"-"&amp;K356&amp;"-"&amp;L356&amp;"-"&amp;M356</f>
        <v>X-1-e-0-31.5</v>
      </c>
      <c r="Q356">
        <f>A356+R356</f>
        <v>17539.921505999999</v>
      </c>
      <c r="R356">
        <f>_xlfn.IFNA(VLOOKUP(P356,PGOPHER!A$2:G$181,7,FALSE),_xlfn.IFNA(VLOOKUP(P356,en!A$2:I$768,7,FALSE),-10000))</f>
        <v>3476.061506</v>
      </c>
      <c r="S356">
        <f>IF(O356=O355,Q355+S355,Q356)</f>
        <v>35079.843011999998</v>
      </c>
      <c r="T356">
        <f>IF(O356=O355,T355+1,1)</f>
        <v>2</v>
      </c>
      <c r="U356">
        <f>IF(O356=O357,"",S356/T356)</f>
        <v>17539.921505999999</v>
      </c>
      <c r="V356" t="str">
        <f>IF(U356="","",IF(ABS(Q356-U356)&gt;V$1,"error",""))</f>
        <v/>
      </c>
    </row>
    <row r="357" spans="1:22" x14ac:dyDescent="0.55000000000000004">
      <c r="A357">
        <v>13812.34</v>
      </c>
      <c r="B357" s="1">
        <v>0.59719999999999995</v>
      </c>
      <c r="C357" s="1">
        <v>0.59719999999999995</v>
      </c>
      <c r="D357" s="2" t="s">
        <v>1121</v>
      </c>
      <c r="E357">
        <v>2</v>
      </c>
      <c r="F357" s="2" t="s">
        <v>1</v>
      </c>
      <c r="G357">
        <v>0</v>
      </c>
      <c r="H357">
        <v>32.5</v>
      </c>
      <c r="I357" s="2" t="s">
        <v>0</v>
      </c>
      <c r="J357">
        <v>1</v>
      </c>
      <c r="K357" s="2" t="s">
        <v>2</v>
      </c>
      <c r="L357">
        <v>0</v>
      </c>
      <c r="M357">
        <v>32.5</v>
      </c>
      <c r="N357" s="2" t="s">
        <v>1459</v>
      </c>
      <c r="O357" t="str">
        <f>D357&amp;"-"&amp;E357&amp;"-"&amp;F357&amp;"-"&amp;G357&amp;"-"&amp;H357</f>
        <v>A-2-f-0-32.5</v>
      </c>
      <c r="P357" t="str">
        <f>I357&amp;"-"&amp;J357&amp;"-"&amp;K357&amp;"-"&amp;L357&amp;"-"&amp;M357</f>
        <v>X-1-e-0-32.5</v>
      </c>
      <c r="Q357">
        <f>A357+R357</f>
        <v>17500.699163000001</v>
      </c>
      <c r="R357">
        <f>_xlfn.IFNA(VLOOKUP(P357,PGOPHER!A$2:G$181,7,FALSE),_xlfn.IFNA(VLOOKUP(P357,en!A$2:I$768,7,FALSE),-10000))</f>
        <v>3688.3591630000001</v>
      </c>
      <c r="S357">
        <f>IF(O357=O356,Q356+S356,Q357)</f>
        <v>17500.699163000001</v>
      </c>
      <c r="T357">
        <f>IF(O357=O356,T356+1,1)</f>
        <v>1</v>
      </c>
      <c r="U357" t="str">
        <f>IF(O357=O358,"",S357/T357)</f>
        <v/>
      </c>
      <c r="V357" t="str">
        <f>IF(U357="","",IF(ABS(Q357-U357)&gt;V$1,"error",""))</f>
        <v/>
      </c>
    </row>
    <row r="358" spans="1:22" x14ac:dyDescent="0.55000000000000004">
      <c r="A358">
        <v>13816.09</v>
      </c>
      <c r="B358" s="1">
        <v>0.59719999999999995</v>
      </c>
      <c r="C358" s="1">
        <v>0.59719999999999995</v>
      </c>
      <c r="D358" s="2" t="s">
        <v>1121</v>
      </c>
      <c r="E358">
        <v>2</v>
      </c>
      <c r="F358" s="2" t="s">
        <v>1</v>
      </c>
      <c r="G358">
        <v>0</v>
      </c>
      <c r="H358">
        <v>32.5</v>
      </c>
      <c r="I358" s="2" t="s">
        <v>0</v>
      </c>
      <c r="J358">
        <v>2</v>
      </c>
      <c r="K358" s="2" t="s">
        <v>1</v>
      </c>
      <c r="L358">
        <v>0</v>
      </c>
      <c r="M358">
        <v>31.5</v>
      </c>
      <c r="N358" s="2" t="s">
        <v>1460</v>
      </c>
      <c r="O358" t="str">
        <f>D358&amp;"-"&amp;E358&amp;"-"&amp;F358&amp;"-"&amp;G358&amp;"-"&amp;H358</f>
        <v>A-2-f-0-32.5</v>
      </c>
      <c r="P358" t="str">
        <f>I358&amp;"-"&amp;J358&amp;"-"&amp;K358&amp;"-"&amp;L358&amp;"-"&amp;M358</f>
        <v>X-2-f-0-31.5</v>
      </c>
      <c r="Q358">
        <f>A358+R358</f>
        <v>17500.903807999999</v>
      </c>
      <c r="R358">
        <f>_xlfn.IFNA(VLOOKUP(P358,PGOPHER!A$2:G$181,7,FALSE),_xlfn.IFNA(VLOOKUP(P358,en!A$2:I$768,7,FALSE),-10000))</f>
        <v>3684.8138079999999</v>
      </c>
      <c r="S358">
        <f>IF(O358=O357,Q357+S357,Q358)</f>
        <v>35001.398326000002</v>
      </c>
      <c r="T358">
        <f>IF(O358=O357,T357+1,1)</f>
        <v>2</v>
      </c>
      <c r="U358">
        <f>IF(O358=O359,"",S358/T358)</f>
        <v>17500.699163000001</v>
      </c>
      <c r="V358" t="str">
        <f>IF(U358="","",IF(ABS(Q358-U358)&gt;V$1,"error",""))</f>
        <v/>
      </c>
    </row>
    <row r="359" spans="1:22" x14ac:dyDescent="0.55000000000000004">
      <c r="A359">
        <v>13320.9</v>
      </c>
      <c r="B359" s="1">
        <v>5.4640000000000001E-2</v>
      </c>
      <c r="C359" s="1">
        <v>5.4640000000000001E-2</v>
      </c>
      <c r="D359" s="2" t="s">
        <v>1121</v>
      </c>
      <c r="E359">
        <v>1</v>
      </c>
      <c r="F359" s="2" t="s">
        <v>2</v>
      </c>
      <c r="G359">
        <v>0</v>
      </c>
      <c r="H359">
        <v>33.5</v>
      </c>
      <c r="I359" s="2" t="s">
        <v>0</v>
      </c>
      <c r="J359">
        <v>2</v>
      </c>
      <c r="K359" s="2" t="s">
        <v>1</v>
      </c>
      <c r="L359">
        <v>0</v>
      </c>
      <c r="M359">
        <v>33.5</v>
      </c>
      <c r="N359" s="2" t="s">
        <v>1658</v>
      </c>
      <c r="O359" t="str">
        <f>D359&amp;"-"&amp;E359&amp;"-"&amp;F359&amp;"-"&amp;G359&amp;"-"&amp;H359</f>
        <v>A-1-e-0-33.5</v>
      </c>
      <c r="P359" t="str">
        <f>I359&amp;"-"&amp;J359&amp;"-"&amp;K359&amp;"-"&amp;L359&amp;"-"&amp;M359</f>
        <v>X-2-f-0-33.5</v>
      </c>
      <c r="Q359">
        <f>A359+R359</f>
        <v>17453.519163000001</v>
      </c>
      <c r="R359">
        <f>_xlfn.IFNA(VLOOKUP(P359,PGOPHER!A$2:G$181,7,FALSE),_xlfn.IFNA(VLOOKUP(P359,en!A$2:I$768,7,FALSE),-10000))</f>
        <v>4132.6191630000003</v>
      </c>
      <c r="S359">
        <f>IF(O359=O358,Q358+S358,Q359)</f>
        <v>17453.519163000001</v>
      </c>
      <c r="T359">
        <f>IF(O359=O358,T358+1,1)</f>
        <v>1</v>
      </c>
      <c r="U359" t="str">
        <f>IF(O359=O360,"",S359/T359)</f>
        <v/>
      </c>
      <c r="V359" t="str">
        <f>IF(U359="","",IF(ABS(Q359-U359)&gt;V$1,"error",""))</f>
        <v/>
      </c>
    </row>
    <row r="360" spans="1:22" x14ac:dyDescent="0.55000000000000004">
      <c r="A360">
        <v>13317.21</v>
      </c>
      <c r="B360" s="1">
        <v>5.4640000000000001E-2</v>
      </c>
      <c r="C360" s="1">
        <v>5.4640000000000001E-2</v>
      </c>
      <c r="D360" s="2" t="s">
        <v>1121</v>
      </c>
      <c r="E360">
        <v>1</v>
      </c>
      <c r="F360" s="2" t="s">
        <v>2</v>
      </c>
      <c r="G360">
        <v>0</v>
      </c>
      <c r="H360">
        <v>33.5</v>
      </c>
      <c r="I360" s="2" t="s">
        <v>0</v>
      </c>
      <c r="J360">
        <v>1</v>
      </c>
      <c r="K360" s="2" t="s">
        <v>2</v>
      </c>
      <c r="L360">
        <v>0</v>
      </c>
      <c r="M360">
        <v>34.5</v>
      </c>
      <c r="N360" s="2" t="s">
        <v>1653</v>
      </c>
      <c r="O360" t="str">
        <f>D360&amp;"-"&amp;E360&amp;"-"&amp;F360&amp;"-"&amp;G360&amp;"-"&amp;H360</f>
        <v>A-1-e-0-33.5</v>
      </c>
      <c r="P360" t="str">
        <f>I360&amp;"-"&amp;J360&amp;"-"&amp;K360&amp;"-"&amp;L360&amp;"-"&amp;M360</f>
        <v>X-1-e-0-34.5</v>
      </c>
      <c r="Q360">
        <f>A360+R360</f>
        <v>17453.619472999999</v>
      </c>
      <c r="R360">
        <f>_xlfn.IFNA(VLOOKUP(P360,PGOPHER!A$2:G$181,7,FALSE),_xlfn.IFNA(VLOOKUP(P360,en!A$2:I$768,7,FALSE),-10000))</f>
        <v>4136.4094729999997</v>
      </c>
      <c r="S360">
        <f>IF(O360=O359,Q359+S359,Q360)</f>
        <v>34907.038326000002</v>
      </c>
      <c r="T360">
        <f>IF(O360=O359,T359+1,1)</f>
        <v>2</v>
      </c>
      <c r="U360">
        <f>IF(O360=O361,"",S360/T360)</f>
        <v>17453.519163000001</v>
      </c>
      <c r="V360" t="str">
        <f>IF(U360="","",IF(ABS(Q360-U360)&gt;V$1,"error",""))</f>
        <v/>
      </c>
    </row>
    <row r="361" spans="1:22" x14ac:dyDescent="0.55000000000000004">
      <c r="A361">
        <v>13483.37</v>
      </c>
      <c r="B361" s="1">
        <v>3.117E-2</v>
      </c>
      <c r="C361" s="1">
        <v>3.117E-2</v>
      </c>
      <c r="D361" s="2" t="s">
        <v>1121</v>
      </c>
      <c r="E361">
        <v>1</v>
      </c>
      <c r="F361" s="2" t="s">
        <v>1</v>
      </c>
      <c r="G361">
        <v>0</v>
      </c>
      <c r="H361">
        <v>33.5</v>
      </c>
      <c r="I361" s="2" t="s">
        <v>0</v>
      </c>
      <c r="J361">
        <v>2</v>
      </c>
      <c r="K361" s="2" t="s">
        <v>1</v>
      </c>
      <c r="L361">
        <v>0</v>
      </c>
      <c r="M361">
        <v>32.5</v>
      </c>
      <c r="N361" s="2" t="s">
        <v>1471</v>
      </c>
      <c r="O361" t="str">
        <f>D361&amp;"-"&amp;E361&amp;"-"&amp;F361&amp;"-"&amp;G361&amp;"-"&amp;H361</f>
        <v>A-1-f-0-33.5</v>
      </c>
      <c r="P361" t="str">
        <f>I361&amp;"-"&amp;J361&amp;"-"&amp;K361&amp;"-"&amp;L361&amp;"-"&amp;M361</f>
        <v>X-2-f-0-32.5</v>
      </c>
      <c r="Q361">
        <f>A361+R361</f>
        <v>17392.551506</v>
      </c>
      <c r="R361">
        <f>_xlfn.IFNA(VLOOKUP(P361,PGOPHER!A$2:G$181,7,FALSE),_xlfn.IFNA(VLOOKUP(P361,en!A$2:I$768,7,FALSE),-10000))</f>
        <v>3909.1815059999999</v>
      </c>
      <c r="S361">
        <f>IF(O361=O360,Q360+S360,Q361)</f>
        <v>17392.551506</v>
      </c>
      <c r="T361">
        <f>IF(O361=O360,T360+1,1)</f>
        <v>1</v>
      </c>
      <c r="U361" t="str">
        <f>IF(O361=O362,"",S361/T361)</f>
        <v/>
      </c>
      <c r="V361" t="str">
        <f>IF(U361="","",IF(ABS(Q361-U361)&gt;V$1,"error",""))</f>
        <v/>
      </c>
    </row>
    <row r="362" spans="1:22" x14ac:dyDescent="0.55000000000000004">
      <c r="A362">
        <v>13479.67</v>
      </c>
      <c r="B362" s="1">
        <v>3.117E-2</v>
      </c>
      <c r="C362" s="1">
        <v>3.117E-2</v>
      </c>
      <c r="D362" s="2" t="s">
        <v>1121</v>
      </c>
      <c r="E362">
        <v>1</v>
      </c>
      <c r="F362" s="2" t="s">
        <v>1</v>
      </c>
      <c r="G362">
        <v>0</v>
      </c>
      <c r="H362">
        <v>33.5</v>
      </c>
      <c r="I362" s="2" t="s">
        <v>0</v>
      </c>
      <c r="J362">
        <v>1</v>
      </c>
      <c r="K362" s="2" t="s">
        <v>2</v>
      </c>
      <c r="L362">
        <v>0</v>
      </c>
      <c r="M362">
        <v>33.5</v>
      </c>
      <c r="N362" s="2" t="s">
        <v>1470</v>
      </c>
      <c r="O362" t="str">
        <f>D362&amp;"-"&amp;E362&amp;"-"&amp;F362&amp;"-"&amp;G362&amp;"-"&amp;H362</f>
        <v>A-1-f-0-33.5</v>
      </c>
      <c r="P362" t="str">
        <f>I362&amp;"-"&amp;J362&amp;"-"&amp;K362&amp;"-"&amp;L362&amp;"-"&amp;M362</f>
        <v>X-1-e-0-33.5</v>
      </c>
      <c r="Q362">
        <f>A362+R362</f>
        <v>17392.611206000001</v>
      </c>
      <c r="R362">
        <f>_xlfn.IFNA(VLOOKUP(P362,PGOPHER!A$2:G$181,7,FALSE),_xlfn.IFNA(VLOOKUP(P362,en!A$2:I$768,7,FALSE),-10000))</f>
        <v>3912.941206</v>
      </c>
      <c r="S362">
        <f>IF(O362=O361,Q361+S361,Q362)</f>
        <v>34785.103012</v>
      </c>
      <c r="T362">
        <f>IF(O362=O361,T361+1,1)</f>
        <v>2</v>
      </c>
      <c r="U362">
        <f>IF(O362=O363,"",S362/T362)</f>
        <v>17392.551506</v>
      </c>
      <c r="V362" t="str">
        <f>IF(U362="","",IF(ABS(Q362-U362)&gt;V$1,"error",""))</f>
        <v/>
      </c>
    </row>
    <row r="363" spans="1:22" x14ac:dyDescent="0.55000000000000004">
      <c r="A363">
        <v>13634.53</v>
      </c>
      <c r="B363" s="1">
        <v>0.01</v>
      </c>
      <c r="C363" s="1">
        <v>0.01</v>
      </c>
      <c r="D363" s="2" t="s">
        <v>1121</v>
      </c>
      <c r="E363">
        <v>2</v>
      </c>
      <c r="F363" s="2" t="s">
        <v>2</v>
      </c>
      <c r="G363">
        <v>0</v>
      </c>
      <c r="H363">
        <v>33.5</v>
      </c>
      <c r="I363" s="2" t="s">
        <v>0</v>
      </c>
      <c r="J363">
        <v>2</v>
      </c>
      <c r="K363" s="2" t="s">
        <v>1</v>
      </c>
      <c r="L363">
        <v>0</v>
      </c>
      <c r="M363">
        <v>33.5</v>
      </c>
      <c r="N363" s="2" t="s">
        <v>1466</v>
      </c>
      <c r="O363" t="str">
        <f>D363&amp;"-"&amp;E363&amp;"-"&amp;F363&amp;"-"&amp;G363&amp;"-"&amp;H363</f>
        <v>A-2-e-0-33.5</v>
      </c>
      <c r="P363" t="str">
        <f>I363&amp;"-"&amp;J363&amp;"-"&amp;K363&amp;"-"&amp;L363&amp;"-"&amp;M363</f>
        <v>X-2-f-0-33.5</v>
      </c>
      <c r="Q363">
        <f>A363+R363</f>
        <v>17767.149163000002</v>
      </c>
      <c r="R363">
        <f>_xlfn.IFNA(VLOOKUP(P363,PGOPHER!A$2:G$181,7,FALSE),_xlfn.IFNA(VLOOKUP(P363,en!A$2:I$768,7,FALSE),-10000))</f>
        <v>4132.6191630000003</v>
      </c>
      <c r="S363">
        <f>IF(O363=O362,Q362+S362,Q363)</f>
        <v>17767.149163000002</v>
      </c>
      <c r="T363">
        <f>IF(O363=O362,T362+1,1)</f>
        <v>1</v>
      </c>
      <c r="U363" t="str">
        <f>IF(O363=O364,"",S363/T363)</f>
        <v/>
      </c>
      <c r="V363" t="str">
        <f>IF(U363="","",IF(ABS(Q363-U363)&gt;V$1,"error",""))</f>
        <v/>
      </c>
    </row>
    <row r="364" spans="1:22" x14ac:dyDescent="0.55000000000000004">
      <c r="A364">
        <v>14078.79</v>
      </c>
      <c r="B364" s="1">
        <v>0.01</v>
      </c>
      <c r="C364" s="1">
        <v>0.01</v>
      </c>
      <c r="D364" s="2" t="s">
        <v>1121</v>
      </c>
      <c r="E364">
        <v>2</v>
      </c>
      <c r="F364" s="2" t="s">
        <v>2</v>
      </c>
      <c r="G364">
        <v>0</v>
      </c>
      <c r="H364">
        <v>33.5</v>
      </c>
      <c r="I364" s="2" t="s">
        <v>0</v>
      </c>
      <c r="J364">
        <v>1</v>
      </c>
      <c r="K364" s="2" t="s">
        <v>2</v>
      </c>
      <c r="L364">
        <v>0</v>
      </c>
      <c r="M364">
        <v>32.5</v>
      </c>
      <c r="N364" s="2" t="s">
        <v>1469</v>
      </c>
      <c r="O364" t="str">
        <f>D364&amp;"-"&amp;E364&amp;"-"&amp;F364&amp;"-"&amp;G364&amp;"-"&amp;H364</f>
        <v>A-2-e-0-33.5</v>
      </c>
      <c r="P364" t="str">
        <f>I364&amp;"-"&amp;J364&amp;"-"&amp;K364&amp;"-"&amp;L364&amp;"-"&amp;M364</f>
        <v>X-1-e-0-32.5</v>
      </c>
      <c r="Q364">
        <f>A364+R364</f>
        <v>17767.149163000002</v>
      </c>
      <c r="R364">
        <f>_xlfn.IFNA(VLOOKUP(P364,PGOPHER!A$2:G$181,7,FALSE),_xlfn.IFNA(VLOOKUP(P364,en!A$2:I$768,7,FALSE),-10000))</f>
        <v>3688.3591630000001</v>
      </c>
      <c r="S364">
        <f>IF(O364=O363,Q363+S363,Q364)</f>
        <v>35534.298326000004</v>
      </c>
      <c r="T364">
        <f>IF(O364=O363,T363+1,1)</f>
        <v>2</v>
      </c>
      <c r="U364">
        <f>IF(O364=O365,"",S364/T364)</f>
        <v>17767.149163000002</v>
      </c>
      <c r="V364" t="str">
        <f>IF(U364="","",IF(ABS(Q364-U364)&gt;V$1,"error",""))</f>
        <v/>
      </c>
    </row>
    <row r="365" spans="1:22" x14ac:dyDescent="0.55000000000000004">
      <c r="A365">
        <v>13818.91</v>
      </c>
      <c r="B365" s="1">
        <v>0.01</v>
      </c>
      <c r="C365" s="1">
        <v>0.01</v>
      </c>
      <c r="D365" s="2" t="s">
        <v>1121</v>
      </c>
      <c r="E365">
        <v>2</v>
      </c>
      <c r="F365" s="2" t="s">
        <v>1</v>
      </c>
      <c r="G365">
        <v>0</v>
      </c>
      <c r="H365">
        <v>33.5</v>
      </c>
      <c r="I365" s="2" t="s">
        <v>0</v>
      </c>
      <c r="J365">
        <v>1</v>
      </c>
      <c r="K365" s="2" t="s">
        <v>2</v>
      </c>
      <c r="L365">
        <v>0</v>
      </c>
      <c r="M365">
        <v>33.5</v>
      </c>
      <c r="N365" s="2" t="s">
        <v>1467</v>
      </c>
      <c r="O365" t="str">
        <f>D365&amp;"-"&amp;E365&amp;"-"&amp;F365&amp;"-"&amp;G365&amp;"-"&amp;H365</f>
        <v>A-2-f-0-33.5</v>
      </c>
      <c r="P365" t="str">
        <f>I365&amp;"-"&amp;J365&amp;"-"&amp;K365&amp;"-"&amp;L365&amp;"-"&amp;M365</f>
        <v>X-1-e-0-33.5</v>
      </c>
      <c r="Q365">
        <f>A365+R365</f>
        <v>17731.851205999999</v>
      </c>
      <c r="R365">
        <f>_xlfn.IFNA(VLOOKUP(P365,PGOPHER!A$2:G$181,7,FALSE),_xlfn.IFNA(VLOOKUP(P365,en!A$2:I$768,7,FALSE),-10000))</f>
        <v>3912.941206</v>
      </c>
      <c r="S365">
        <f>IF(O365=O364,Q364+S364,Q365)</f>
        <v>17731.851205999999</v>
      </c>
      <c r="T365">
        <f>IF(O365=O364,T364+1,1)</f>
        <v>1</v>
      </c>
      <c r="U365" t="str">
        <f>IF(O365=O366,"",S365/T365)</f>
        <v/>
      </c>
      <c r="V365" t="str">
        <f>IF(U365="","",IF(ABS(Q365-U365)&gt;V$1,"error",""))</f>
        <v/>
      </c>
    </row>
    <row r="366" spans="1:22" x14ac:dyDescent="0.55000000000000004">
      <c r="A366">
        <v>13822.67</v>
      </c>
      <c r="B366" s="1">
        <v>0.01</v>
      </c>
      <c r="C366" s="1">
        <v>0.01</v>
      </c>
      <c r="D366" s="2" t="s">
        <v>1121</v>
      </c>
      <c r="E366">
        <v>2</v>
      </c>
      <c r="F366" s="2" t="s">
        <v>1</v>
      </c>
      <c r="G366">
        <v>0</v>
      </c>
      <c r="H366">
        <v>33.5</v>
      </c>
      <c r="I366" s="2" t="s">
        <v>0</v>
      </c>
      <c r="J366">
        <v>2</v>
      </c>
      <c r="K366" s="2" t="s">
        <v>1</v>
      </c>
      <c r="L366">
        <v>0</v>
      </c>
      <c r="M366">
        <v>32.5</v>
      </c>
      <c r="N366" s="2" t="s">
        <v>1468</v>
      </c>
      <c r="O366" t="str">
        <f>D366&amp;"-"&amp;E366&amp;"-"&amp;F366&amp;"-"&amp;G366&amp;"-"&amp;H366</f>
        <v>A-2-f-0-33.5</v>
      </c>
      <c r="P366" t="str">
        <f>I366&amp;"-"&amp;J366&amp;"-"&amp;K366&amp;"-"&amp;L366&amp;"-"&amp;M366</f>
        <v>X-2-f-0-32.5</v>
      </c>
      <c r="Q366">
        <f>A366+R366</f>
        <v>17731.851505999999</v>
      </c>
      <c r="R366">
        <f>_xlfn.IFNA(VLOOKUP(P366,PGOPHER!A$2:G$181,7,FALSE),_xlfn.IFNA(VLOOKUP(P366,en!A$2:I$768,7,FALSE),-10000))</f>
        <v>3909.1815059999999</v>
      </c>
      <c r="S366">
        <f>IF(O366=O365,Q365+S365,Q366)</f>
        <v>35463.702411999999</v>
      </c>
      <c r="T366">
        <f>IF(O366=O365,T365+1,1)</f>
        <v>2</v>
      </c>
      <c r="U366">
        <f>IF(O366=O367,"",S366/T366)</f>
        <v>17731.851205999999</v>
      </c>
      <c r="V366" t="str">
        <f>IF(U366="","",IF(ABS(Q366-U366)&gt;V$1,"error",""))</f>
        <v/>
      </c>
    </row>
    <row r="367" spans="1:22" x14ac:dyDescent="0.55000000000000004">
      <c r="A367">
        <v>13316.5</v>
      </c>
      <c r="B367" s="1">
        <v>2.5669999999999998E-2</v>
      </c>
      <c r="C367" s="1">
        <v>2.5669999999999998E-2</v>
      </c>
      <c r="D367" s="2" t="s">
        <v>1121</v>
      </c>
      <c r="E367">
        <v>1</v>
      </c>
      <c r="F367" s="2" t="s">
        <v>2</v>
      </c>
      <c r="G367">
        <v>0</v>
      </c>
      <c r="H367">
        <v>34.5</v>
      </c>
      <c r="I367" s="2" t="s">
        <v>0</v>
      </c>
      <c r="J367">
        <v>1</v>
      </c>
      <c r="K367" s="2" t="s">
        <v>2</v>
      </c>
      <c r="L367">
        <v>0</v>
      </c>
      <c r="M367">
        <v>35.5</v>
      </c>
      <c r="N367" s="2" t="s">
        <v>1476</v>
      </c>
      <c r="O367" t="str">
        <f>D367&amp;"-"&amp;E367&amp;"-"&amp;F367&amp;"-"&amp;G367&amp;"-"&amp;H367</f>
        <v>A-1-e-0-34.5</v>
      </c>
      <c r="P367" t="str">
        <f>I367&amp;"-"&amp;J367&amp;"-"&amp;K367&amp;"-"&amp;L367&amp;"-"&amp;M367</f>
        <v>X-1-e-0-35.5</v>
      </c>
      <c r="Q367">
        <f>A367+R367</f>
        <v>17688.437566000001</v>
      </c>
      <c r="R367">
        <f>_xlfn.IFNA(VLOOKUP(P367,PGOPHER!A$2:G$181,7,FALSE),_xlfn.IFNA(VLOOKUP(P367,en!A$2:I$768,7,FALSE),-10000))</f>
        <v>4371.9375659999996</v>
      </c>
      <c r="S367">
        <f>IF(O367=O366,Q366+S366,Q367)</f>
        <v>17688.437566000001</v>
      </c>
      <c r="T367">
        <f>IF(O367=O366,T366+1,1)</f>
        <v>1</v>
      </c>
      <c r="U367" t="str">
        <f>IF(O367=O368,"",S367/T367)</f>
        <v/>
      </c>
      <c r="V367" t="str">
        <f>IF(U367="","",IF(ABS(Q367-U367)&gt;V$1,"error",""))</f>
        <v/>
      </c>
    </row>
    <row r="368" spans="1:22" x14ac:dyDescent="0.55000000000000004">
      <c r="A368">
        <v>13320.4</v>
      </c>
      <c r="B368" s="1">
        <v>2.5669999999999998E-2</v>
      </c>
      <c r="C368" s="1">
        <v>2.5669999999999998E-2</v>
      </c>
      <c r="D368" s="2" t="s">
        <v>1121</v>
      </c>
      <c r="E368">
        <v>1</v>
      </c>
      <c r="F368" s="2" t="s">
        <v>2</v>
      </c>
      <c r="G368">
        <v>0</v>
      </c>
      <c r="H368">
        <v>34.5</v>
      </c>
      <c r="I368" s="2" t="s">
        <v>0</v>
      </c>
      <c r="J368">
        <v>2</v>
      </c>
      <c r="K368" s="2" t="s">
        <v>1</v>
      </c>
      <c r="L368">
        <v>0</v>
      </c>
      <c r="M368">
        <v>34.5</v>
      </c>
      <c r="N368" s="2" t="s">
        <v>1477</v>
      </c>
      <c r="O368" t="str">
        <f>D368&amp;"-"&amp;E368&amp;"-"&amp;F368&amp;"-"&amp;G368&amp;"-"&amp;H368</f>
        <v>A-1-e-0-34.5</v>
      </c>
      <c r="P368" t="str">
        <f>I368&amp;"-"&amp;J368&amp;"-"&amp;K368&amp;"-"&amp;L368&amp;"-"&amp;M368</f>
        <v>X-2-f-0-34.5</v>
      </c>
      <c r="Q368">
        <f>A368+R368</f>
        <v>17688.441206</v>
      </c>
      <c r="R368">
        <f>_xlfn.IFNA(VLOOKUP(P368,PGOPHER!A$2:G$181,7,FALSE),_xlfn.IFNA(VLOOKUP(P368,en!A$2:I$768,7,FALSE),-10000))</f>
        <v>4368.0412059999999</v>
      </c>
      <c r="S368">
        <f>IF(O368=O367,Q367+S367,Q368)</f>
        <v>35376.875132000001</v>
      </c>
      <c r="T368">
        <f>IF(O368=O367,T367+1,1)</f>
        <v>2</v>
      </c>
      <c r="U368">
        <f>IF(O368=O369,"",S368/T368)</f>
        <v>17688.437566000001</v>
      </c>
      <c r="V368" t="str">
        <f>IF(U368="","",IF(ABS(Q368-U368)&gt;V$1,"error",""))</f>
        <v/>
      </c>
    </row>
    <row r="369" spans="1:22" x14ac:dyDescent="0.55000000000000004">
      <c r="A369">
        <v>13485.65</v>
      </c>
      <c r="B369" s="1">
        <v>4.0329999999999998E-2</v>
      </c>
      <c r="C369" s="1">
        <v>4.0329999999999998E-2</v>
      </c>
      <c r="D369" s="2" t="s">
        <v>1121</v>
      </c>
      <c r="E369">
        <v>1</v>
      </c>
      <c r="F369" s="2" t="s">
        <v>1</v>
      </c>
      <c r="G369">
        <v>0</v>
      </c>
      <c r="H369">
        <v>34.5</v>
      </c>
      <c r="I369" s="2" t="s">
        <v>0</v>
      </c>
      <c r="J369">
        <v>1</v>
      </c>
      <c r="K369" s="2" t="s">
        <v>2</v>
      </c>
      <c r="L369">
        <v>0</v>
      </c>
      <c r="M369">
        <v>34.5</v>
      </c>
      <c r="N369" s="2" t="s">
        <v>1478</v>
      </c>
      <c r="O369" t="str">
        <f>D369&amp;"-"&amp;E369&amp;"-"&amp;F369&amp;"-"&amp;G369&amp;"-"&amp;H369</f>
        <v>A-1-f-0-34.5</v>
      </c>
      <c r="P369" t="str">
        <f>I369&amp;"-"&amp;J369&amp;"-"&amp;K369&amp;"-"&amp;L369&amp;"-"&amp;M369</f>
        <v>X-1-e-0-34.5</v>
      </c>
      <c r="Q369">
        <f>A369+R369</f>
        <v>17622.059473000001</v>
      </c>
      <c r="R369">
        <f>_xlfn.IFNA(VLOOKUP(P369,PGOPHER!A$2:G$181,7,FALSE),_xlfn.IFNA(VLOOKUP(P369,en!A$2:I$768,7,FALSE),-10000))</f>
        <v>4136.4094729999997</v>
      </c>
      <c r="S369">
        <f>IF(O369=O368,Q368+S368,Q369)</f>
        <v>17622.059473000001</v>
      </c>
      <c r="T369">
        <f>IF(O369=O368,T368+1,1)</f>
        <v>1</v>
      </c>
      <c r="U369" t="str">
        <f>IF(O369=O370,"",S369/T369)</f>
        <v/>
      </c>
      <c r="V369" t="str">
        <f>IF(U369="","",IF(ABS(Q369-U369)&gt;V$1,"error",""))</f>
        <v/>
      </c>
    </row>
    <row r="370" spans="1:22" x14ac:dyDescent="0.55000000000000004">
      <c r="A370">
        <v>13489.5</v>
      </c>
      <c r="B370" s="1">
        <v>4.0329999999999998E-2</v>
      </c>
      <c r="C370" s="1">
        <v>4.0329999999999998E-2</v>
      </c>
      <c r="D370" s="2" t="s">
        <v>1121</v>
      </c>
      <c r="E370">
        <v>1</v>
      </c>
      <c r="F370" s="2" t="s">
        <v>1</v>
      </c>
      <c r="G370">
        <v>0</v>
      </c>
      <c r="H370">
        <v>34.5</v>
      </c>
      <c r="I370" s="2" t="s">
        <v>0</v>
      </c>
      <c r="J370">
        <v>2</v>
      </c>
      <c r="K370" s="2" t="s">
        <v>1</v>
      </c>
      <c r="L370">
        <v>0</v>
      </c>
      <c r="M370">
        <v>33.5</v>
      </c>
      <c r="N370" s="2" t="s">
        <v>1479</v>
      </c>
      <c r="O370" t="str">
        <f>D370&amp;"-"&amp;E370&amp;"-"&amp;F370&amp;"-"&amp;G370&amp;"-"&amp;H370</f>
        <v>A-1-f-0-34.5</v>
      </c>
      <c r="P370" t="str">
        <f>I370&amp;"-"&amp;J370&amp;"-"&amp;K370&amp;"-"&amp;L370&amp;"-"&amp;M370</f>
        <v>X-2-f-0-33.5</v>
      </c>
      <c r="Q370">
        <f>A370+R370</f>
        <v>17622.119162999999</v>
      </c>
      <c r="R370">
        <f>_xlfn.IFNA(VLOOKUP(P370,PGOPHER!A$2:G$181,7,FALSE),_xlfn.IFNA(VLOOKUP(P370,en!A$2:I$768,7,FALSE),-10000))</f>
        <v>4132.6191630000003</v>
      </c>
      <c r="S370">
        <f>IF(O370=O369,Q369+S369,Q370)</f>
        <v>35244.118946000002</v>
      </c>
      <c r="T370">
        <f>IF(O370=O369,T369+1,1)</f>
        <v>2</v>
      </c>
      <c r="U370">
        <f>IF(O370=O371,"",S370/T370)</f>
        <v>17622.059473000001</v>
      </c>
      <c r="V370" t="str">
        <f>IF(U370="","",IF(ABS(Q370-U370)&gt;V$1,"error",""))</f>
        <v/>
      </c>
    </row>
    <row r="371" spans="1:22" x14ac:dyDescent="0.55000000000000004">
      <c r="A371">
        <v>14093.71</v>
      </c>
      <c r="B371" s="1">
        <v>0.01</v>
      </c>
      <c r="C371" s="1">
        <v>0.01</v>
      </c>
      <c r="D371" s="2" t="s">
        <v>1121</v>
      </c>
      <c r="E371">
        <v>2</v>
      </c>
      <c r="F371" s="2" t="s">
        <v>2</v>
      </c>
      <c r="G371">
        <v>0</v>
      </c>
      <c r="H371">
        <v>34.5</v>
      </c>
      <c r="I371" s="2" t="s">
        <v>0</v>
      </c>
      <c r="J371">
        <v>1</v>
      </c>
      <c r="K371" s="2" t="s">
        <v>2</v>
      </c>
      <c r="L371">
        <v>0</v>
      </c>
      <c r="M371">
        <v>33.5</v>
      </c>
      <c r="N371" s="2" t="s">
        <v>1475</v>
      </c>
      <c r="O371" t="str">
        <f>D371&amp;"-"&amp;E371&amp;"-"&amp;F371&amp;"-"&amp;G371&amp;"-"&amp;H371</f>
        <v>A-2-e-0-34.5</v>
      </c>
      <c r="P371" t="str">
        <f>I371&amp;"-"&amp;J371&amp;"-"&amp;K371&amp;"-"&amp;L371&amp;"-"&amp;M371</f>
        <v>X-1-e-0-33.5</v>
      </c>
      <c r="Q371">
        <f>A371+R371</f>
        <v>18006.651205999999</v>
      </c>
      <c r="R371">
        <f>_xlfn.IFNA(VLOOKUP(P371,PGOPHER!A$2:G$181,7,FALSE),_xlfn.IFNA(VLOOKUP(P371,en!A$2:I$768,7,FALSE),-10000))</f>
        <v>3912.941206</v>
      </c>
      <c r="S371">
        <f>IF(O371=O370,Q370+S370,Q371)</f>
        <v>18006.651205999999</v>
      </c>
      <c r="T371">
        <f>IF(O371=O370,T370+1,1)</f>
        <v>1</v>
      </c>
      <c r="U371" t="str">
        <f>IF(O371=O372,"",S371/T371)</f>
        <v/>
      </c>
      <c r="V371" t="str">
        <f>IF(U371="","",IF(ABS(Q371-U371)&gt;V$1,"error",""))</f>
        <v/>
      </c>
    </row>
    <row r="372" spans="1:22" x14ac:dyDescent="0.55000000000000004">
      <c r="A372">
        <v>13638.61</v>
      </c>
      <c r="B372" s="1">
        <v>0.01</v>
      </c>
      <c r="C372" s="1">
        <v>0.01</v>
      </c>
      <c r="D372" s="2" t="s">
        <v>1121</v>
      </c>
      <c r="E372">
        <v>2</v>
      </c>
      <c r="F372" s="2" t="s">
        <v>2</v>
      </c>
      <c r="G372">
        <v>0</v>
      </c>
      <c r="H372">
        <v>34.5</v>
      </c>
      <c r="I372" s="2" t="s">
        <v>0</v>
      </c>
      <c r="J372">
        <v>2</v>
      </c>
      <c r="K372" s="2" t="s">
        <v>1</v>
      </c>
      <c r="L372">
        <v>0</v>
      </c>
      <c r="M372">
        <v>34.5</v>
      </c>
      <c r="N372" s="2" t="s">
        <v>1472</v>
      </c>
      <c r="O372" t="str">
        <f>D372&amp;"-"&amp;E372&amp;"-"&amp;F372&amp;"-"&amp;G372&amp;"-"&amp;H372</f>
        <v>A-2-e-0-34.5</v>
      </c>
      <c r="P372" t="str">
        <f>I372&amp;"-"&amp;J372&amp;"-"&amp;K372&amp;"-"&amp;L372&amp;"-"&amp;M372</f>
        <v>X-2-f-0-34.5</v>
      </c>
      <c r="Q372">
        <f>A372+R372</f>
        <v>18006.651206000002</v>
      </c>
      <c r="R372">
        <f>_xlfn.IFNA(VLOOKUP(P372,PGOPHER!A$2:G$181,7,FALSE),_xlfn.IFNA(VLOOKUP(P372,en!A$2:I$768,7,FALSE),-10000))</f>
        <v>4368.0412059999999</v>
      </c>
      <c r="S372">
        <f>IF(O372=O371,Q371+S371,Q372)</f>
        <v>36013.302411999997</v>
      </c>
      <c r="T372">
        <f>IF(O372=O371,T371+1,1)</f>
        <v>2</v>
      </c>
      <c r="U372">
        <f>IF(O372=O373,"",S372/T372)</f>
        <v>18006.651205999999</v>
      </c>
      <c r="V372" t="str">
        <f>IF(U372="","",IF(ABS(Q372-U372)&gt;V$1,"error",""))</f>
        <v/>
      </c>
    </row>
    <row r="373" spans="1:22" x14ac:dyDescent="0.55000000000000004">
      <c r="A373">
        <v>13829.29</v>
      </c>
      <c r="B373" s="1">
        <v>0.01</v>
      </c>
      <c r="C373" s="1">
        <v>0.01</v>
      </c>
      <c r="D373" s="2" t="s">
        <v>1121</v>
      </c>
      <c r="E373">
        <v>2</v>
      </c>
      <c r="F373" s="2" t="s">
        <v>1</v>
      </c>
      <c r="G373">
        <v>0</v>
      </c>
      <c r="H373">
        <v>34.5</v>
      </c>
      <c r="I373" s="2" t="s">
        <v>0</v>
      </c>
      <c r="J373">
        <v>2</v>
      </c>
      <c r="K373" s="2" t="s">
        <v>1</v>
      </c>
      <c r="L373">
        <v>0</v>
      </c>
      <c r="M373">
        <v>33.5</v>
      </c>
      <c r="N373" s="2" t="s">
        <v>1474</v>
      </c>
      <c r="O373" t="str">
        <f>D373&amp;"-"&amp;E373&amp;"-"&amp;F373&amp;"-"&amp;G373&amp;"-"&amp;H373</f>
        <v>A-2-f-0-34.5</v>
      </c>
      <c r="P373" t="str">
        <f>I373&amp;"-"&amp;J373&amp;"-"&amp;K373&amp;"-"&amp;L373&amp;"-"&amp;M373</f>
        <v>X-2-f-0-33.5</v>
      </c>
      <c r="Q373">
        <f>A373+R373</f>
        <v>17961.909163</v>
      </c>
      <c r="R373">
        <f>_xlfn.IFNA(VLOOKUP(P373,PGOPHER!A$2:G$181,7,FALSE),_xlfn.IFNA(VLOOKUP(P373,en!A$2:I$768,7,FALSE),-10000))</f>
        <v>4132.6191630000003</v>
      </c>
      <c r="S373">
        <f>IF(O373=O372,Q372+S372,Q373)</f>
        <v>17961.909163</v>
      </c>
      <c r="T373">
        <f>IF(O373=O372,T372+1,1)</f>
        <v>1</v>
      </c>
      <c r="U373" t="str">
        <f>IF(O373=O374,"",S373/T373)</f>
        <v/>
      </c>
      <c r="V373" t="str">
        <f>IF(U373="","",IF(ABS(Q373-U373)&gt;V$1,"error",""))</f>
        <v/>
      </c>
    </row>
    <row r="374" spans="1:22" x14ac:dyDescent="0.55000000000000004">
      <c r="A374">
        <v>13825.5</v>
      </c>
      <c r="B374" s="1">
        <v>0.01</v>
      </c>
      <c r="C374" s="1">
        <v>0.01</v>
      </c>
      <c r="D374" s="2" t="s">
        <v>1121</v>
      </c>
      <c r="E374">
        <v>2</v>
      </c>
      <c r="F374" s="2" t="s">
        <v>1</v>
      </c>
      <c r="G374">
        <v>0</v>
      </c>
      <c r="H374">
        <v>34.5</v>
      </c>
      <c r="I374" s="2" t="s">
        <v>0</v>
      </c>
      <c r="J374">
        <v>1</v>
      </c>
      <c r="K374" s="2" t="s">
        <v>2</v>
      </c>
      <c r="L374">
        <v>0</v>
      </c>
      <c r="M374">
        <v>34.5</v>
      </c>
      <c r="N374" s="2" t="s">
        <v>1473</v>
      </c>
      <c r="O374" t="str">
        <f>D374&amp;"-"&amp;E374&amp;"-"&amp;F374&amp;"-"&amp;G374&amp;"-"&amp;H374</f>
        <v>A-2-f-0-34.5</v>
      </c>
      <c r="P374" t="str">
        <f>I374&amp;"-"&amp;J374&amp;"-"&amp;K374&amp;"-"&amp;L374&amp;"-"&amp;M374</f>
        <v>X-1-e-0-34.5</v>
      </c>
      <c r="Q374">
        <f>A374+R374</f>
        <v>17961.909473</v>
      </c>
      <c r="R374">
        <f>_xlfn.IFNA(VLOOKUP(P374,PGOPHER!A$2:G$181,7,FALSE),_xlfn.IFNA(VLOOKUP(P374,en!A$2:I$768,7,FALSE),-10000))</f>
        <v>4136.4094729999997</v>
      </c>
      <c r="S374">
        <f>IF(O374=O373,Q373+S373,Q374)</f>
        <v>35923.818326000001</v>
      </c>
      <c r="T374">
        <f>IF(O374=O373,T373+1,1)</f>
        <v>2</v>
      </c>
      <c r="U374">
        <f>IF(O374=O375,"",S374/T374)</f>
        <v>17961.909163</v>
      </c>
      <c r="V374" t="str">
        <f>IF(U374="","",IF(ABS(Q374-U374)&gt;V$1,"error",""))</f>
        <v/>
      </c>
    </row>
    <row r="375" spans="1:22" x14ac:dyDescent="0.55000000000000004">
      <c r="A375">
        <v>13315.92</v>
      </c>
      <c r="B375" s="1">
        <v>0.01</v>
      </c>
      <c r="C375" s="1">
        <v>0.01</v>
      </c>
      <c r="D375" s="2" t="s">
        <v>1121</v>
      </c>
      <c r="E375">
        <v>1</v>
      </c>
      <c r="F375" s="2" t="s">
        <v>2</v>
      </c>
      <c r="G375">
        <v>0</v>
      </c>
      <c r="H375">
        <v>35.5</v>
      </c>
      <c r="I375" s="2" t="s">
        <v>0</v>
      </c>
      <c r="J375">
        <v>1</v>
      </c>
      <c r="K375" s="2" t="s">
        <v>2</v>
      </c>
      <c r="L375">
        <v>0</v>
      </c>
      <c r="M375">
        <v>36.5</v>
      </c>
      <c r="N375" s="2" t="s">
        <v>1484</v>
      </c>
      <c r="O375" t="str">
        <f>D375&amp;"-"&amp;E375&amp;"-"&amp;F375&amp;"-"&amp;G375&amp;"-"&amp;H375</f>
        <v>A-1-e-0-35.5</v>
      </c>
      <c r="P375" t="str">
        <f>I375&amp;"-"&amp;J375&amp;"-"&amp;K375&amp;"-"&amp;L375&amp;"-"&amp;M375</f>
        <v>X-1-e-0-36.5</v>
      </c>
      <c r="Q375">
        <f>A375+R375</f>
        <v>17922.154473000002</v>
      </c>
      <c r="R375">
        <f>_xlfn.IFNA(VLOOKUP(P375,PGOPHER!A$2:G$181,7,FALSE),_xlfn.IFNA(VLOOKUP(P375,en!A$2:I$768,7,FALSE),-10000))</f>
        <v>4606.2344730000004</v>
      </c>
      <c r="S375">
        <f>IF(O375=O374,Q374+S374,Q375)</f>
        <v>17922.154473000002</v>
      </c>
      <c r="T375">
        <f>IF(O375=O374,T374+1,1)</f>
        <v>1</v>
      </c>
      <c r="U375">
        <f>IF(O375=O376,"",S375/T375)</f>
        <v>17922.154473000002</v>
      </c>
      <c r="V375" t="str">
        <f>IF(U375="","",IF(ABS(Q375-U375)&gt;V$1,"error",""))</f>
        <v/>
      </c>
    </row>
    <row r="376" spans="1:22" x14ac:dyDescent="0.55000000000000004">
      <c r="A376">
        <v>13495.69</v>
      </c>
      <c r="B376" s="1">
        <v>8.226E-2</v>
      </c>
      <c r="C376" s="1">
        <v>8.226E-2</v>
      </c>
      <c r="D376" s="2" t="s">
        <v>1121</v>
      </c>
      <c r="E376">
        <v>1</v>
      </c>
      <c r="F376" s="2" t="s">
        <v>1</v>
      </c>
      <c r="G376">
        <v>0</v>
      </c>
      <c r="H376">
        <v>35.5</v>
      </c>
      <c r="I376" s="2" t="s">
        <v>0</v>
      </c>
      <c r="J376">
        <v>2</v>
      </c>
      <c r="K376" s="2" t="s">
        <v>1</v>
      </c>
      <c r="L376">
        <v>0</v>
      </c>
      <c r="M376">
        <v>34.5</v>
      </c>
      <c r="N376" s="2" t="s">
        <v>1486</v>
      </c>
      <c r="O376" t="str">
        <f>D376&amp;"-"&amp;E376&amp;"-"&amp;F376&amp;"-"&amp;G376&amp;"-"&amp;H376</f>
        <v>A-1-f-0-35.5</v>
      </c>
      <c r="P376" t="str">
        <f>I376&amp;"-"&amp;J376&amp;"-"&amp;K376&amp;"-"&amp;L376&amp;"-"&amp;M376</f>
        <v>X-2-f-0-34.5</v>
      </c>
      <c r="Q376">
        <f>A376+R376</f>
        <v>17863.731206</v>
      </c>
      <c r="R376">
        <f>_xlfn.IFNA(VLOOKUP(P376,PGOPHER!A$2:G$181,7,FALSE),_xlfn.IFNA(VLOOKUP(P376,en!A$2:I$768,7,FALSE),-10000))</f>
        <v>4368.0412059999999</v>
      </c>
      <c r="S376">
        <f>IF(O376=O375,Q375+S375,Q376)</f>
        <v>17863.731206</v>
      </c>
      <c r="T376">
        <f>IF(O376=O375,T375+1,1)</f>
        <v>1</v>
      </c>
      <c r="U376" t="str">
        <f>IF(O376=O377,"",S376/T376)</f>
        <v/>
      </c>
      <c r="V376" t="str">
        <f>IF(U376="","",IF(ABS(Q376-U376)&gt;V$1,"error",""))</f>
        <v/>
      </c>
    </row>
    <row r="377" spans="1:22" x14ac:dyDescent="0.55000000000000004">
      <c r="A377">
        <v>13491.95</v>
      </c>
      <c r="B377" s="1">
        <v>8.226E-2</v>
      </c>
      <c r="C377" s="1">
        <v>8.226E-2</v>
      </c>
      <c r="D377" s="2" t="s">
        <v>1121</v>
      </c>
      <c r="E377">
        <v>1</v>
      </c>
      <c r="F377" s="2" t="s">
        <v>1</v>
      </c>
      <c r="G377">
        <v>0</v>
      </c>
      <c r="H377">
        <v>35.5</v>
      </c>
      <c r="I377" s="2" t="s">
        <v>0</v>
      </c>
      <c r="J377">
        <v>1</v>
      </c>
      <c r="K377" s="2" t="s">
        <v>2</v>
      </c>
      <c r="L377">
        <v>0</v>
      </c>
      <c r="M377">
        <v>35.5</v>
      </c>
      <c r="N377" s="2" t="s">
        <v>1485</v>
      </c>
      <c r="O377" t="str">
        <f>D377&amp;"-"&amp;E377&amp;"-"&amp;F377&amp;"-"&amp;G377&amp;"-"&amp;H377</f>
        <v>A-1-f-0-35.5</v>
      </c>
      <c r="P377" t="str">
        <f>I377&amp;"-"&amp;J377&amp;"-"&amp;K377&amp;"-"&amp;L377&amp;"-"&amp;M377</f>
        <v>X-1-e-0-35.5</v>
      </c>
      <c r="Q377">
        <f>A377+R377</f>
        <v>17863.887566000001</v>
      </c>
      <c r="R377">
        <f>_xlfn.IFNA(VLOOKUP(P377,PGOPHER!A$2:G$181,7,FALSE),_xlfn.IFNA(VLOOKUP(P377,en!A$2:I$768,7,FALSE),-10000))</f>
        <v>4371.9375659999996</v>
      </c>
      <c r="S377">
        <f>IF(O377=O376,Q376+S376,Q377)</f>
        <v>35727.462412000001</v>
      </c>
      <c r="T377">
        <f>IF(O377=O376,T376+1,1)</f>
        <v>2</v>
      </c>
      <c r="U377">
        <f>IF(O377=O378,"",S377/T377)</f>
        <v>17863.731206</v>
      </c>
      <c r="V377" t="str">
        <f>IF(U377="","",IF(ABS(Q377-U377)&gt;V$1,"error",""))</f>
        <v/>
      </c>
    </row>
    <row r="378" spans="1:22" x14ac:dyDescent="0.55000000000000004">
      <c r="A378">
        <v>13642.96</v>
      </c>
      <c r="B378" s="1">
        <v>0.01</v>
      </c>
      <c r="C378" s="1">
        <v>0.01</v>
      </c>
      <c r="D378" s="2" t="s">
        <v>1121</v>
      </c>
      <c r="E378">
        <v>2</v>
      </c>
      <c r="F378" s="2" t="s">
        <v>2</v>
      </c>
      <c r="G378">
        <v>0</v>
      </c>
      <c r="H378">
        <v>35.5</v>
      </c>
      <c r="I378" s="2" t="s">
        <v>0</v>
      </c>
      <c r="J378">
        <v>2</v>
      </c>
      <c r="K378" s="2" t="s">
        <v>1</v>
      </c>
      <c r="L378">
        <v>0</v>
      </c>
      <c r="M378">
        <v>35.5</v>
      </c>
      <c r="N378" s="2" t="s">
        <v>1480</v>
      </c>
      <c r="O378" t="str">
        <f>D378&amp;"-"&amp;E378&amp;"-"&amp;F378&amp;"-"&amp;G378&amp;"-"&amp;H378</f>
        <v>A-2-e-0-35.5</v>
      </c>
      <c r="P378" t="str">
        <f>I378&amp;"-"&amp;J378&amp;"-"&amp;K378&amp;"-"&amp;L378&amp;"-"&amp;M378</f>
        <v>X-2-f-0-35.5</v>
      </c>
      <c r="Q378">
        <f>A378+R378</f>
        <v>18245.239472999998</v>
      </c>
      <c r="R378">
        <f>_xlfn.IFNA(VLOOKUP(P378,PGOPHER!A$2:G$181,7,FALSE),_xlfn.IFNA(VLOOKUP(P378,en!A$2:I$768,7,FALSE),-10000))</f>
        <v>4602.2794729999996</v>
      </c>
      <c r="S378">
        <f>IF(O378=O377,Q377+S377,Q378)</f>
        <v>18245.239472999998</v>
      </c>
      <c r="T378">
        <f>IF(O378=O377,T377+1,1)</f>
        <v>1</v>
      </c>
      <c r="U378" t="str">
        <f>IF(O378=O379,"",S378/T378)</f>
        <v/>
      </c>
      <c r="V378" t="str">
        <f>IF(U378="","",IF(ABS(Q378-U378)&gt;V$1,"error",""))</f>
        <v/>
      </c>
    </row>
    <row r="379" spans="1:22" x14ac:dyDescent="0.55000000000000004">
      <c r="A379">
        <v>14108.83</v>
      </c>
      <c r="B379" s="1">
        <v>0.01</v>
      </c>
      <c r="C379" s="1">
        <v>0.01</v>
      </c>
      <c r="D379" s="2" t="s">
        <v>1121</v>
      </c>
      <c r="E379">
        <v>2</v>
      </c>
      <c r="F379" s="2" t="s">
        <v>2</v>
      </c>
      <c r="G379">
        <v>0</v>
      </c>
      <c r="H379">
        <v>35.5</v>
      </c>
      <c r="I379" s="2" t="s">
        <v>0</v>
      </c>
      <c r="J379">
        <v>1</v>
      </c>
      <c r="K379" s="2" t="s">
        <v>2</v>
      </c>
      <c r="L379">
        <v>0</v>
      </c>
      <c r="M379">
        <v>34.5</v>
      </c>
      <c r="N379" s="2" t="s">
        <v>1483</v>
      </c>
      <c r="O379" t="str">
        <f>D379&amp;"-"&amp;E379&amp;"-"&amp;F379&amp;"-"&amp;G379&amp;"-"&amp;H379</f>
        <v>A-2-e-0-35.5</v>
      </c>
      <c r="P379" t="str">
        <f>I379&amp;"-"&amp;J379&amp;"-"&amp;K379&amp;"-"&amp;L379&amp;"-"&amp;M379</f>
        <v>X-1-e-0-34.5</v>
      </c>
      <c r="Q379">
        <f>A379+R379</f>
        <v>18245.239473000001</v>
      </c>
      <c r="R379">
        <f>_xlfn.IFNA(VLOOKUP(P379,PGOPHER!A$2:G$181,7,FALSE),_xlfn.IFNA(VLOOKUP(P379,en!A$2:I$768,7,FALSE),-10000))</f>
        <v>4136.4094729999997</v>
      </c>
      <c r="S379">
        <f>IF(O379=O378,Q378+S378,Q379)</f>
        <v>36490.478945999996</v>
      </c>
      <c r="T379">
        <f>IF(O379=O378,T378+1,1)</f>
        <v>2</v>
      </c>
      <c r="U379">
        <f>IF(O379=O380,"",S379/T379)</f>
        <v>18245.239472999998</v>
      </c>
      <c r="V379" t="str">
        <f>IF(U379="","",IF(ABS(Q379-U379)&gt;V$1,"error",""))</f>
        <v/>
      </c>
    </row>
    <row r="380" spans="1:22" x14ac:dyDescent="0.55000000000000004">
      <c r="A380">
        <v>13832.22</v>
      </c>
      <c r="B380" s="1">
        <v>3.6670000000000001E-2</v>
      </c>
      <c r="C380" s="1">
        <v>3.6670000000000001E-2</v>
      </c>
      <c r="D380" s="2" t="s">
        <v>1121</v>
      </c>
      <c r="E380">
        <v>2</v>
      </c>
      <c r="F380" s="2" t="s">
        <v>1</v>
      </c>
      <c r="G380">
        <v>0</v>
      </c>
      <c r="H380">
        <v>35.5</v>
      </c>
      <c r="I380" s="2" t="s">
        <v>0</v>
      </c>
      <c r="J380">
        <v>1</v>
      </c>
      <c r="K380" s="2" t="s">
        <v>2</v>
      </c>
      <c r="L380">
        <v>0</v>
      </c>
      <c r="M380">
        <v>35.5</v>
      </c>
      <c r="N380" s="2" t="s">
        <v>1481</v>
      </c>
      <c r="O380" t="str">
        <f>D380&amp;"-"&amp;E380&amp;"-"&amp;F380&amp;"-"&amp;G380&amp;"-"&amp;H380</f>
        <v>A-2-f-0-35.5</v>
      </c>
      <c r="P380" t="str">
        <f>I380&amp;"-"&amp;J380&amp;"-"&amp;K380&amp;"-"&amp;L380&amp;"-"&amp;M380</f>
        <v>X-1-e-0-35.5</v>
      </c>
      <c r="Q380">
        <f>A380+R380</f>
        <v>18204.157565999998</v>
      </c>
      <c r="R380">
        <f>_xlfn.IFNA(VLOOKUP(P380,PGOPHER!A$2:G$181,7,FALSE),_xlfn.IFNA(VLOOKUP(P380,en!A$2:I$768,7,FALSE),-10000))</f>
        <v>4371.9375659999996</v>
      </c>
      <c r="S380">
        <f>IF(O380=O379,Q379+S379,Q380)</f>
        <v>18204.157565999998</v>
      </c>
      <c r="T380">
        <f>IF(O380=O379,T379+1,1)</f>
        <v>1</v>
      </c>
      <c r="U380" t="str">
        <f>IF(O380=O381,"",S380/T380)</f>
        <v/>
      </c>
      <c r="V380" t="str">
        <f>IF(U380="","",IF(ABS(Q380-U380)&gt;V$1,"error",""))</f>
        <v/>
      </c>
    </row>
    <row r="381" spans="1:22" x14ac:dyDescent="0.55000000000000004">
      <c r="A381">
        <v>13836.14</v>
      </c>
      <c r="B381" s="1">
        <v>3.6670000000000001E-2</v>
      </c>
      <c r="C381" s="1">
        <v>3.6670000000000001E-2</v>
      </c>
      <c r="D381" s="2" t="s">
        <v>1121</v>
      </c>
      <c r="E381">
        <v>2</v>
      </c>
      <c r="F381" s="2" t="s">
        <v>1</v>
      </c>
      <c r="G381">
        <v>0</v>
      </c>
      <c r="H381">
        <v>35.5</v>
      </c>
      <c r="I381" s="2" t="s">
        <v>0</v>
      </c>
      <c r="J381">
        <v>2</v>
      </c>
      <c r="K381" s="2" t="s">
        <v>1</v>
      </c>
      <c r="L381">
        <v>0</v>
      </c>
      <c r="M381">
        <v>34.5</v>
      </c>
      <c r="N381" s="2" t="s">
        <v>1482</v>
      </c>
      <c r="O381" t="str">
        <f>D381&amp;"-"&amp;E381&amp;"-"&amp;F381&amp;"-"&amp;G381&amp;"-"&amp;H381</f>
        <v>A-2-f-0-35.5</v>
      </c>
      <c r="P381" t="str">
        <f>I381&amp;"-"&amp;J381&amp;"-"&amp;K381&amp;"-"&amp;L381&amp;"-"&amp;M381</f>
        <v>X-2-f-0-34.5</v>
      </c>
      <c r="Q381">
        <f>A381+R381</f>
        <v>18204.181206000001</v>
      </c>
      <c r="R381">
        <f>_xlfn.IFNA(VLOOKUP(P381,PGOPHER!A$2:G$181,7,FALSE),_xlfn.IFNA(VLOOKUP(P381,en!A$2:I$768,7,FALSE),-10000))</f>
        <v>4368.0412059999999</v>
      </c>
      <c r="S381">
        <f>IF(O381=O380,Q380+S380,Q381)</f>
        <v>36408.315131999996</v>
      </c>
      <c r="T381">
        <f>IF(O381=O380,T380+1,1)</f>
        <v>2</v>
      </c>
      <c r="U381">
        <f>IF(O381=O382,"",S381/T381)</f>
        <v>18204.157565999998</v>
      </c>
      <c r="V381" t="str">
        <f>IF(U381="","",IF(ABS(Q381-U381)&gt;V$1,"error",""))</f>
        <v/>
      </c>
    </row>
    <row r="382" spans="1:22" x14ac:dyDescent="0.55000000000000004">
      <c r="A382">
        <v>13315.48</v>
      </c>
      <c r="B382" s="1">
        <v>0.01</v>
      </c>
      <c r="C382" s="1">
        <v>0.01</v>
      </c>
      <c r="D382" s="2" t="s">
        <v>1121</v>
      </c>
      <c r="E382">
        <v>1</v>
      </c>
      <c r="F382" s="2" t="s">
        <v>2</v>
      </c>
      <c r="G382">
        <v>0</v>
      </c>
      <c r="H382">
        <v>36.5</v>
      </c>
      <c r="I382" s="2" t="s">
        <v>0</v>
      </c>
      <c r="J382">
        <v>1</v>
      </c>
      <c r="K382" s="2" t="s">
        <v>2</v>
      </c>
      <c r="L382">
        <v>0</v>
      </c>
      <c r="M382">
        <v>37.5</v>
      </c>
      <c r="N382" s="2" t="s">
        <v>1491</v>
      </c>
      <c r="O382" t="str">
        <f>D382&amp;"-"&amp;E382&amp;"-"&amp;F382&amp;"-"&amp;G382&amp;"-"&amp;H382</f>
        <v>A-1-e-0-36.5</v>
      </c>
      <c r="P382" t="str">
        <f>I382&amp;"-"&amp;J382&amp;"-"&amp;K382&amp;"-"&amp;L382&amp;"-"&amp;M382</f>
        <v>X-1-e-0-37.5</v>
      </c>
      <c r="Q382">
        <f>A382+R382</f>
        <v>18167.777566000001</v>
      </c>
      <c r="R382">
        <f>_xlfn.IFNA(VLOOKUP(P382,PGOPHER!A$2:G$181,7,FALSE),_xlfn.IFNA(VLOOKUP(P382,en!A$2:I$768,7,FALSE),-10000))</f>
        <v>4852.2975660000002</v>
      </c>
      <c r="S382">
        <f>IF(O382=O381,Q381+S381,Q382)</f>
        <v>18167.777566000001</v>
      </c>
      <c r="T382">
        <f>IF(O382=O381,T381+1,1)</f>
        <v>1</v>
      </c>
      <c r="U382">
        <f>IF(O382=O383,"",S382/T382)</f>
        <v>18167.777566000001</v>
      </c>
      <c r="V382" t="str">
        <f>IF(U382="","",IF(ABS(Q382-U382)&gt;V$1,"error",""))</f>
        <v/>
      </c>
    </row>
    <row r="383" spans="1:22" x14ac:dyDescent="0.55000000000000004">
      <c r="A383">
        <v>13498.2</v>
      </c>
      <c r="B383" s="1">
        <v>1.375E-2</v>
      </c>
      <c r="C383" s="1">
        <v>1.375E-2</v>
      </c>
      <c r="D383" s="2" t="s">
        <v>1121</v>
      </c>
      <c r="E383">
        <v>1</v>
      </c>
      <c r="F383" s="2" t="s">
        <v>1</v>
      </c>
      <c r="G383">
        <v>0</v>
      </c>
      <c r="H383">
        <v>36.5</v>
      </c>
      <c r="I383" s="2" t="s">
        <v>0</v>
      </c>
      <c r="J383">
        <v>1</v>
      </c>
      <c r="K383" s="2" t="s">
        <v>2</v>
      </c>
      <c r="L383">
        <v>0</v>
      </c>
      <c r="M383">
        <v>36.5</v>
      </c>
      <c r="N383" s="2" t="s">
        <v>1492</v>
      </c>
      <c r="O383" t="str">
        <f>D383&amp;"-"&amp;E383&amp;"-"&amp;F383&amp;"-"&amp;G383&amp;"-"&amp;H383</f>
        <v>A-1-f-0-36.5</v>
      </c>
      <c r="P383" t="str">
        <f>I383&amp;"-"&amp;J383&amp;"-"&amp;K383&amp;"-"&amp;L383&amp;"-"&amp;M383</f>
        <v>X-1-e-0-36.5</v>
      </c>
      <c r="Q383">
        <f>A383+R383</f>
        <v>18104.434473000001</v>
      </c>
      <c r="R383">
        <f>_xlfn.IFNA(VLOOKUP(P383,PGOPHER!A$2:G$181,7,FALSE),_xlfn.IFNA(VLOOKUP(P383,en!A$2:I$768,7,FALSE),-10000))</f>
        <v>4606.2344730000004</v>
      </c>
      <c r="S383">
        <f>IF(O383=O382,Q382+S382,Q383)</f>
        <v>18104.434473000001</v>
      </c>
      <c r="T383">
        <f>IF(O383=O382,T382+1,1)</f>
        <v>1</v>
      </c>
      <c r="U383" t="str">
        <f>IF(O383=O384,"",S383/T383)</f>
        <v/>
      </c>
      <c r="V383" t="str">
        <f>IF(U383="","",IF(ABS(Q383-U383)&gt;V$1,"error",""))</f>
        <v/>
      </c>
    </row>
    <row r="384" spans="1:22" x14ac:dyDescent="0.55000000000000004">
      <c r="A384">
        <v>13502.18</v>
      </c>
      <c r="B384" s="1">
        <v>1.375E-2</v>
      </c>
      <c r="C384" s="1">
        <v>1.375E-2</v>
      </c>
      <c r="D384" s="2" t="s">
        <v>1121</v>
      </c>
      <c r="E384">
        <v>1</v>
      </c>
      <c r="F384" s="2" t="s">
        <v>1</v>
      </c>
      <c r="G384">
        <v>0</v>
      </c>
      <c r="H384">
        <v>36.5</v>
      </c>
      <c r="I384" s="2" t="s">
        <v>0</v>
      </c>
      <c r="J384">
        <v>2</v>
      </c>
      <c r="K384" s="2" t="s">
        <v>1</v>
      </c>
      <c r="L384">
        <v>0</v>
      </c>
      <c r="M384">
        <v>35.5</v>
      </c>
      <c r="N384" s="2" t="s">
        <v>1493</v>
      </c>
      <c r="O384" t="str">
        <f>D384&amp;"-"&amp;E384&amp;"-"&amp;F384&amp;"-"&amp;G384&amp;"-"&amp;H384</f>
        <v>A-1-f-0-36.5</v>
      </c>
      <c r="P384" t="str">
        <f>I384&amp;"-"&amp;J384&amp;"-"&amp;K384&amp;"-"&amp;L384&amp;"-"&amp;M384</f>
        <v>X-2-f-0-35.5</v>
      </c>
      <c r="Q384">
        <f>A384+R384</f>
        <v>18104.459472999999</v>
      </c>
      <c r="R384">
        <f>_xlfn.IFNA(VLOOKUP(P384,PGOPHER!A$2:G$181,7,FALSE),_xlfn.IFNA(VLOOKUP(P384,en!A$2:I$768,7,FALSE),-10000))</f>
        <v>4602.2794729999996</v>
      </c>
      <c r="S384">
        <f>IF(O384=O383,Q383+S383,Q384)</f>
        <v>36208.868946000002</v>
      </c>
      <c r="T384">
        <f>IF(O384=O383,T383+1,1)</f>
        <v>2</v>
      </c>
      <c r="U384">
        <f>IF(O384=O385,"",S384/T384)</f>
        <v>18104.434473000001</v>
      </c>
      <c r="V384" t="str">
        <f>IF(U384="","",IF(ABS(Q384-U384)&gt;V$1,"error",""))</f>
        <v/>
      </c>
    </row>
    <row r="385" spans="1:22" x14ac:dyDescent="0.55000000000000004">
      <c r="A385">
        <v>13647.55</v>
      </c>
      <c r="B385" s="1">
        <v>0.01</v>
      </c>
      <c r="C385" s="1">
        <v>0.01</v>
      </c>
      <c r="D385" s="2" t="s">
        <v>1121</v>
      </c>
      <c r="E385">
        <v>2</v>
      </c>
      <c r="F385" s="2" t="s">
        <v>2</v>
      </c>
      <c r="G385">
        <v>0</v>
      </c>
      <c r="H385">
        <v>36.5</v>
      </c>
      <c r="I385" s="2" t="s">
        <v>0</v>
      </c>
      <c r="J385">
        <v>2</v>
      </c>
      <c r="K385" s="2" t="s">
        <v>1</v>
      </c>
      <c r="L385">
        <v>0</v>
      </c>
      <c r="M385">
        <v>36.5</v>
      </c>
      <c r="N385" s="2" t="s">
        <v>1487</v>
      </c>
      <c r="O385" t="str">
        <f>D385&amp;"-"&amp;E385&amp;"-"&amp;F385&amp;"-"&amp;G385&amp;"-"&amp;H385</f>
        <v>A-2-e-0-36.5</v>
      </c>
      <c r="P385" t="str">
        <f>I385&amp;"-"&amp;J385&amp;"-"&amp;K385&amp;"-"&amp;L385&amp;"-"&amp;M385</f>
        <v>X-2-f-0-36.5</v>
      </c>
      <c r="Q385">
        <f>A385+R385</f>
        <v>18495.867566000001</v>
      </c>
      <c r="R385">
        <f>_xlfn.IFNA(VLOOKUP(P385,PGOPHER!A$2:G$181,7,FALSE),_xlfn.IFNA(VLOOKUP(P385,en!A$2:I$768,7,FALSE),-10000))</f>
        <v>4848.3175659999997</v>
      </c>
      <c r="S385">
        <f>IF(O385=O384,Q384+S384,Q385)</f>
        <v>18495.867566000001</v>
      </c>
      <c r="T385">
        <f>IF(O385=O384,T384+1,1)</f>
        <v>1</v>
      </c>
      <c r="U385" t="str">
        <f>IF(O385=O386,"",S385/T385)</f>
        <v/>
      </c>
      <c r="V385" t="str">
        <f>IF(U385="","",IF(ABS(Q385-U385)&gt;V$1,"error",""))</f>
        <v/>
      </c>
    </row>
    <row r="386" spans="1:22" x14ac:dyDescent="0.55000000000000004">
      <c r="A386">
        <v>14123.93</v>
      </c>
      <c r="B386" s="1">
        <v>0.01</v>
      </c>
      <c r="C386" s="1">
        <v>0.01</v>
      </c>
      <c r="D386" s="2" t="s">
        <v>1121</v>
      </c>
      <c r="E386">
        <v>2</v>
      </c>
      <c r="F386" s="2" t="s">
        <v>2</v>
      </c>
      <c r="G386">
        <v>0</v>
      </c>
      <c r="H386">
        <v>36.5</v>
      </c>
      <c r="I386" s="2" t="s">
        <v>0</v>
      </c>
      <c r="J386">
        <v>1</v>
      </c>
      <c r="K386" s="2" t="s">
        <v>2</v>
      </c>
      <c r="L386">
        <v>0</v>
      </c>
      <c r="M386">
        <v>35.5</v>
      </c>
      <c r="N386" s="2" t="s">
        <v>1490</v>
      </c>
      <c r="O386" t="str">
        <f>D386&amp;"-"&amp;E386&amp;"-"&amp;F386&amp;"-"&amp;G386&amp;"-"&amp;H386</f>
        <v>A-2-e-0-36.5</v>
      </c>
      <c r="P386" t="str">
        <f>I386&amp;"-"&amp;J386&amp;"-"&amp;K386&amp;"-"&amp;L386&amp;"-"&amp;M386</f>
        <v>X-1-e-0-35.5</v>
      </c>
      <c r="Q386">
        <f>A386+R386</f>
        <v>18495.867566000001</v>
      </c>
      <c r="R386">
        <f>_xlfn.IFNA(VLOOKUP(P386,PGOPHER!A$2:G$181,7,FALSE),_xlfn.IFNA(VLOOKUP(P386,en!A$2:I$768,7,FALSE),-10000))</f>
        <v>4371.9375659999996</v>
      </c>
      <c r="S386">
        <f>IF(O386=O385,Q385+S385,Q386)</f>
        <v>36991.735132000002</v>
      </c>
      <c r="T386">
        <f>IF(O386=O385,T385+1,1)</f>
        <v>2</v>
      </c>
      <c r="U386">
        <f>IF(O386=O387,"",S386/T386)</f>
        <v>18495.867566000001</v>
      </c>
      <c r="V386" t="str">
        <f>IF(U386="","",IF(ABS(Q386-U386)&gt;V$1,"error",""))</f>
        <v/>
      </c>
    </row>
    <row r="387" spans="1:22" x14ac:dyDescent="0.55000000000000004">
      <c r="A387">
        <v>13843.04</v>
      </c>
      <c r="B387" s="1">
        <v>1.375E-2</v>
      </c>
      <c r="C387" s="1">
        <v>1.375E-2</v>
      </c>
      <c r="D387" s="2" t="s">
        <v>1121</v>
      </c>
      <c r="E387">
        <v>2</v>
      </c>
      <c r="F387" s="2" t="s">
        <v>1</v>
      </c>
      <c r="G387">
        <v>0</v>
      </c>
      <c r="H387">
        <v>36.5</v>
      </c>
      <c r="I387" s="2" t="s">
        <v>0</v>
      </c>
      <c r="J387">
        <v>2</v>
      </c>
      <c r="K387" s="2" t="s">
        <v>1</v>
      </c>
      <c r="L387">
        <v>0</v>
      </c>
      <c r="M387">
        <v>35.5</v>
      </c>
      <c r="N387" s="2" t="s">
        <v>1489</v>
      </c>
      <c r="O387" t="str">
        <f>D387&amp;"-"&amp;E387&amp;"-"&amp;F387&amp;"-"&amp;G387&amp;"-"&amp;H387</f>
        <v>A-2-f-0-36.5</v>
      </c>
      <c r="P387" t="str">
        <f>I387&amp;"-"&amp;J387&amp;"-"&amp;K387&amp;"-"&amp;L387&amp;"-"&amp;M387</f>
        <v>X-2-f-0-35.5</v>
      </c>
      <c r="Q387">
        <f>A387+R387</f>
        <v>18445.319473</v>
      </c>
      <c r="R387">
        <f>_xlfn.IFNA(VLOOKUP(P387,PGOPHER!A$2:G$181,7,FALSE),_xlfn.IFNA(VLOOKUP(P387,en!A$2:I$768,7,FALSE),-10000))</f>
        <v>4602.2794729999996</v>
      </c>
      <c r="S387">
        <f>IF(O387=O386,Q386+S386,Q387)</f>
        <v>18445.319473</v>
      </c>
      <c r="T387">
        <f>IF(O387=O386,T386+1,1)</f>
        <v>1</v>
      </c>
      <c r="U387" t="str">
        <f>IF(O387=O388,"",S387/T387)</f>
        <v/>
      </c>
      <c r="V387" t="str">
        <f>IF(U387="","",IF(ABS(Q387-U387)&gt;V$1,"error",""))</f>
        <v/>
      </c>
    </row>
    <row r="388" spans="1:22" x14ac:dyDescent="0.55000000000000004">
      <c r="A388">
        <v>13839.11</v>
      </c>
      <c r="B388" s="1">
        <v>1.375E-2</v>
      </c>
      <c r="C388" s="1">
        <v>1.375E-2</v>
      </c>
      <c r="D388" s="2" t="s">
        <v>1121</v>
      </c>
      <c r="E388">
        <v>2</v>
      </c>
      <c r="F388" s="2" t="s">
        <v>1</v>
      </c>
      <c r="G388">
        <v>0</v>
      </c>
      <c r="H388">
        <v>36.5</v>
      </c>
      <c r="I388" s="2" t="s">
        <v>0</v>
      </c>
      <c r="J388">
        <v>1</v>
      </c>
      <c r="K388" s="2" t="s">
        <v>2</v>
      </c>
      <c r="L388">
        <v>0</v>
      </c>
      <c r="M388">
        <v>36.5</v>
      </c>
      <c r="N388" s="2" t="s">
        <v>1488</v>
      </c>
      <c r="O388" t="str">
        <f>D388&amp;"-"&amp;E388&amp;"-"&amp;F388&amp;"-"&amp;G388&amp;"-"&amp;H388</f>
        <v>A-2-f-0-36.5</v>
      </c>
      <c r="P388" t="str">
        <f>I388&amp;"-"&amp;J388&amp;"-"&amp;K388&amp;"-"&amp;L388&amp;"-"&amp;M388</f>
        <v>X-1-e-0-36.5</v>
      </c>
      <c r="Q388">
        <f>A388+R388</f>
        <v>18445.344473000001</v>
      </c>
      <c r="R388">
        <f>_xlfn.IFNA(VLOOKUP(P388,PGOPHER!A$2:G$181,7,FALSE),_xlfn.IFNA(VLOOKUP(P388,en!A$2:I$768,7,FALSE),-10000))</f>
        <v>4606.2344730000004</v>
      </c>
      <c r="S388">
        <f>IF(O388=O387,Q387+S387,Q388)</f>
        <v>36890.638945999999</v>
      </c>
      <c r="T388">
        <f>IF(O388=O387,T387+1,1)</f>
        <v>2</v>
      </c>
      <c r="U388">
        <f>IF(O388=O389,"",S388/T388)</f>
        <v>18445.319473</v>
      </c>
      <c r="V388" t="str">
        <f>IF(U388="","",IF(ABS(Q388-U388)&gt;V$1,"error",""))</f>
        <v/>
      </c>
    </row>
    <row r="389" spans="1:22" x14ac:dyDescent="0.55000000000000004">
      <c r="A389">
        <v>13315.24</v>
      </c>
      <c r="B389" s="1">
        <v>0.01</v>
      </c>
      <c r="C389" s="1">
        <v>0.01</v>
      </c>
      <c r="D389" s="2" t="s">
        <v>1121</v>
      </c>
      <c r="E389">
        <v>1</v>
      </c>
      <c r="F389" s="2" t="s">
        <v>2</v>
      </c>
      <c r="G389">
        <v>0</v>
      </c>
      <c r="H389">
        <v>37.5</v>
      </c>
      <c r="I389" s="2" t="s">
        <v>0</v>
      </c>
      <c r="J389">
        <v>1</v>
      </c>
      <c r="K389" s="2" t="s">
        <v>2</v>
      </c>
      <c r="L389">
        <v>0</v>
      </c>
      <c r="M389">
        <v>38.5</v>
      </c>
      <c r="N389" s="2" t="s">
        <v>1497</v>
      </c>
      <c r="O389" t="str">
        <f>D389&amp;"-"&amp;E389&amp;"-"&amp;F389&amp;"-"&amp;G389&amp;"-"&amp;H389</f>
        <v>A-1-e-0-37.5</v>
      </c>
      <c r="P389" t="str">
        <f>I389&amp;"-"&amp;J389&amp;"-"&amp;K389&amp;"-"&amp;L389&amp;"-"&amp;M389</f>
        <v>X-1-e-0-38.5</v>
      </c>
      <c r="Q389">
        <f>A389+R389</f>
        <v>3315.24</v>
      </c>
      <c r="R389">
        <f>_xlfn.IFNA(VLOOKUP(P389,PGOPHER!A$2:G$181,7,FALSE),_xlfn.IFNA(VLOOKUP(P389,en!A$2:I$768,7,FALSE),-10000))</f>
        <v>-10000</v>
      </c>
      <c r="S389">
        <f>IF(O389=O388,Q388+S388,Q389)</f>
        <v>3315.24</v>
      </c>
      <c r="T389">
        <f>IF(O389=O388,T388+1,1)</f>
        <v>1</v>
      </c>
      <c r="U389">
        <f>IF(O389=O390,"",S389/T389)</f>
        <v>3315.24</v>
      </c>
      <c r="V389" t="str">
        <f>IF(U389="","",IF(ABS(Q389-U389)&gt;V$1,"error",""))</f>
        <v/>
      </c>
    </row>
    <row r="390" spans="1:22" x14ac:dyDescent="0.55000000000000004">
      <c r="A390">
        <v>13504.64</v>
      </c>
      <c r="B390" s="1">
        <v>2.75E-2</v>
      </c>
      <c r="C390" s="1">
        <v>2.75E-2</v>
      </c>
      <c r="D390" s="2" t="s">
        <v>1121</v>
      </c>
      <c r="E390">
        <v>1</v>
      </c>
      <c r="F390" s="2" t="s">
        <v>1</v>
      </c>
      <c r="G390">
        <v>0</v>
      </c>
      <c r="H390">
        <v>37.5</v>
      </c>
      <c r="I390" s="2" t="s">
        <v>0</v>
      </c>
      <c r="J390">
        <v>1</v>
      </c>
      <c r="K390" s="2" t="s">
        <v>2</v>
      </c>
      <c r="L390">
        <v>0</v>
      </c>
      <c r="M390">
        <v>37.5</v>
      </c>
      <c r="N390" s="2" t="s">
        <v>1498</v>
      </c>
      <c r="O390" t="str">
        <f>D390&amp;"-"&amp;E390&amp;"-"&amp;F390&amp;"-"&amp;G390&amp;"-"&amp;H390</f>
        <v>A-1-f-0-37.5</v>
      </c>
      <c r="P390" t="str">
        <f>I390&amp;"-"&amp;J390&amp;"-"&amp;K390&amp;"-"&amp;L390&amp;"-"&amp;M390</f>
        <v>X-1-e-0-37.5</v>
      </c>
      <c r="Q390">
        <f>A390+R390</f>
        <v>18356.937566000001</v>
      </c>
      <c r="R390">
        <f>_xlfn.IFNA(VLOOKUP(P390,PGOPHER!A$2:G$181,7,FALSE),_xlfn.IFNA(VLOOKUP(P390,en!A$2:I$768,7,FALSE),-10000))</f>
        <v>4852.2975660000002</v>
      </c>
      <c r="S390">
        <f>IF(O390=O389,Q389+S389,Q390)</f>
        <v>18356.937566000001</v>
      </c>
      <c r="T390">
        <f>IF(O390=O389,T389+1,1)</f>
        <v>1</v>
      </c>
      <c r="U390" t="str">
        <f>IF(O390=O391,"",S390/T390)</f>
        <v/>
      </c>
      <c r="V390" t="str">
        <f>IF(U390="","",IF(ABS(Q390-U390)&gt;V$1,"error",""))</f>
        <v/>
      </c>
    </row>
    <row r="391" spans="1:22" x14ac:dyDescent="0.55000000000000004">
      <c r="A391">
        <v>13508.67</v>
      </c>
      <c r="B391" s="1">
        <v>2.75E-2</v>
      </c>
      <c r="C391" s="1">
        <v>2.75E-2</v>
      </c>
      <c r="D391" s="2" t="s">
        <v>1121</v>
      </c>
      <c r="E391">
        <v>1</v>
      </c>
      <c r="F391" s="2" t="s">
        <v>1</v>
      </c>
      <c r="G391">
        <v>0</v>
      </c>
      <c r="H391">
        <v>37.5</v>
      </c>
      <c r="I391" s="2" t="s">
        <v>0</v>
      </c>
      <c r="J391">
        <v>2</v>
      </c>
      <c r="K391" s="2" t="s">
        <v>1</v>
      </c>
      <c r="L391">
        <v>0</v>
      </c>
      <c r="M391">
        <v>36.5</v>
      </c>
      <c r="N391" s="2" t="s">
        <v>1499</v>
      </c>
      <c r="O391" t="str">
        <f>D391&amp;"-"&amp;E391&amp;"-"&amp;F391&amp;"-"&amp;G391&amp;"-"&amp;H391</f>
        <v>A-1-f-0-37.5</v>
      </c>
      <c r="P391" t="str">
        <f>I391&amp;"-"&amp;J391&amp;"-"&amp;K391&amp;"-"&amp;L391&amp;"-"&amp;M391</f>
        <v>X-2-f-0-36.5</v>
      </c>
      <c r="Q391">
        <f>A391+R391</f>
        <v>18356.987566</v>
      </c>
      <c r="R391">
        <f>_xlfn.IFNA(VLOOKUP(P391,PGOPHER!A$2:G$181,7,FALSE),_xlfn.IFNA(VLOOKUP(P391,en!A$2:I$768,7,FALSE),-10000))</f>
        <v>4848.3175659999997</v>
      </c>
      <c r="S391">
        <f>IF(O391=O390,Q390+S390,Q391)</f>
        <v>36713.875132000001</v>
      </c>
      <c r="T391">
        <f>IF(O391=O390,T390+1,1)</f>
        <v>2</v>
      </c>
      <c r="U391">
        <f>IF(O391=O392,"",S391/T391)</f>
        <v>18356.937566000001</v>
      </c>
      <c r="V391" t="str">
        <f>IF(U391="","",IF(ABS(Q391-U391)&gt;V$1,"error",""))</f>
        <v/>
      </c>
    </row>
    <row r="392" spans="1:22" x14ac:dyDescent="0.55000000000000004">
      <c r="A392">
        <v>13652.51</v>
      </c>
      <c r="B392" s="1">
        <v>0.01</v>
      </c>
      <c r="C392" s="1">
        <v>0.01</v>
      </c>
      <c r="D392" s="2" t="s">
        <v>1121</v>
      </c>
      <c r="E392">
        <v>2</v>
      </c>
      <c r="F392" s="2" t="s">
        <v>2</v>
      </c>
      <c r="G392">
        <v>0</v>
      </c>
      <c r="H392">
        <v>37.5</v>
      </c>
      <c r="I392" s="2" t="s">
        <v>0</v>
      </c>
      <c r="J392">
        <v>2</v>
      </c>
      <c r="K392" s="2" t="s">
        <v>1</v>
      </c>
      <c r="L392">
        <v>0</v>
      </c>
      <c r="M392">
        <v>37.5</v>
      </c>
      <c r="N392" s="2" t="s">
        <v>1494</v>
      </c>
      <c r="O392" t="str">
        <f>D392&amp;"-"&amp;E392&amp;"-"&amp;F392&amp;"-"&amp;G392&amp;"-"&amp;H392</f>
        <v>A-2-e-0-37.5</v>
      </c>
      <c r="P392" t="str">
        <f>I392&amp;"-"&amp;J392&amp;"-"&amp;K392&amp;"-"&amp;L392&amp;"-"&amp;M392</f>
        <v>X-2-f-0-37.5</v>
      </c>
      <c r="Q392">
        <f>A392+R392</f>
        <v>3652.51</v>
      </c>
      <c r="R392">
        <f>_xlfn.IFNA(VLOOKUP(P392,PGOPHER!A$2:G$181,7,FALSE),_xlfn.IFNA(VLOOKUP(P392,en!A$2:I$768,7,FALSE),-10000))</f>
        <v>-10000</v>
      </c>
      <c r="S392">
        <f>IF(O392=O391,Q391+S391,Q392)</f>
        <v>3652.51</v>
      </c>
      <c r="T392">
        <f>IF(O392=O391,T391+1,1)</f>
        <v>1</v>
      </c>
      <c r="U392">
        <f>IF(O392=O393,"",S392/T392)</f>
        <v>3652.51</v>
      </c>
      <c r="V392" t="str">
        <f>IF(U392="","",IF(ABS(Q392-U392)&gt;V$1,"error",""))</f>
        <v/>
      </c>
    </row>
    <row r="393" spans="1:22" x14ac:dyDescent="0.55000000000000004">
      <c r="A393">
        <v>13850.08</v>
      </c>
      <c r="B393" s="1">
        <v>2.75E-2</v>
      </c>
      <c r="C393" s="1">
        <v>2.75E-2</v>
      </c>
      <c r="D393" s="2" t="s">
        <v>1121</v>
      </c>
      <c r="E393">
        <v>2</v>
      </c>
      <c r="F393" s="2" t="s">
        <v>1</v>
      </c>
      <c r="G393">
        <v>0</v>
      </c>
      <c r="H393">
        <v>37.5</v>
      </c>
      <c r="I393" s="2" t="s">
        <v>0</v>
      </c>
      <c r="J393">
        <v>2</v>
      </c>
      <c r="K393" s="2" t="s">
        <v>1</v>
      </c>
      <c r="L393">
        <v>0</v>
      </c>
      <c r="M393">
        <v>36.5</v>
      </c>
      <c r="N393" s="2" t="s">
        <v>1496</v>
      </c>
      <c r="O393" t="str">
        <f>D393&amp;"-"&amp;E393&amp;"-"&amp;F393&amp;"-"&amp;G393&amp;"-"&amp;H393</f>
        <v>A-2-f-0-37.5</v>
      </c>
      <c r="P393" t="str">
        <f>I393&amp;"-"&amp;J393&amp;"-"&amp;K393&amp;"-"&amp;L393&amp;"-"&amp;M393</f>
        <v>X-2-f-0-36.5</v>
      </c>
      <c r="Q393">
        <f>A393+R393</f>
        <v>18698.397566</v>
      </c>
      <c r="R393">
        <f>_xlfn.IFNA(VLOOKUP(P393,PGOPHER!A$2:G$181,7,FALSE),_xlfn.IFNA(VLOOKUP(P393,en!A$2:I$768,7,FALSE),-10000))</f>
        <v>4848.3175659999997</v>
      </c>
      <c r="S393">
        <f>IF(O393=O392,Q392+S392,Q393)</f>
        <v>18698.397566</v>
      </c>
      <c r="T393">
        <f>IF(O393=O392,T392+1,1)</f>
        <v>1</v>
      </c>
      <c r="U393" t="str">
        <f>IF(O393=O394,"",S393/T393)</f>
        <v/>
      </c>
      <c r="V393" t="str">
        <f>IF(U393="","",IF(ABS(Q393-U393)&gt;V$1,"error",""))</f>
        <v/>
      </c>
    </row>
    <row r="394" spans="1:22" x14ac:dyDescent="0.55000000000000004">
      <c r="A394">
        <v>13846.15</v>
      </c>
      <c r="B394" s="1">
        <v>2.75E-2</v>
      </c>
      <c r="C394" s="1">
        <v>2.75E-2</v>
      </c>
      <c r="D394" s="2" t="s">
        <v>1121</v>
      </c>
      <c r="E394">
        <v>2</v>
      </c>
      <c r="F394" s="2" t="s">
        <v>1</v>
      </c>
      <c r="G394">
        <v>0</v>
      </c>
      <c r="H394">
        <v>37.5</v>
      </c>
      <c r="I394" s="2" t="s">
        <v>0</v>
      </c>
      <c r="J394">
        <v>1</v>
      </c>
      <c r="K394" s="2" t="s">
        <v>2</v>
      </c>
      <c r="L394">
        <v>0</v>
      </c>
      <c r="M394">
        <v>37.5</v>
      </c>
      <c r="N394" s="2" t="s">
        <v>1495</v>
      </c>
      <c r="O394" t="str">
        <f>D394&amp;"-"&amp;E394&amp;"-"&amp;F394&amp;"-"&amp;G394&amp;"-"&amp;H394</f>
        <v>A-2-f-0-37.5</v>
      </c>
      <c r="P394" t="str">
        <f>I394&amp;"-"&amp;J394&amp;"-"&amp;K394&amp;"-"&amp;L394&amp;"-"&amp;M394</f>
        <v>X-1-e-0-37.5</v>
      </c>
      <c r="Q394">
        <f>A394+R394</f>
        <v>18698.447565999999</v>
      </c>
      <c r="R394">
        <f>_xlfn.IFNA(VLOOKUP(P394,PGOPHER!A$2:G$181,7,FALSE),_xlfn.IFNA(VLOOKUP(P394,en!A$2:I$768,7,FALSE),-10000))</f>
        <v>4852.2975660000002</v>
      </c>
      <c r="S394">
        <f>IF(O394=O393,Q393+S393,Q394)</f>
        <v>37396.795131999999</v>
      </c>
      <c r="T394">
        <f>IF(O394=O393,T393+1,1)</f>
        <v>2</v>
      </c>
      <c r="U394">
        <f>IF(O394=O395,"",S394/T394)</f>
        <v>18698.397566</v>
      </c>
      <c r="V394" t="str">
        <f>IF(U394="","",IF(ABS(Q394-U394)&gt;V$1,"error",""))</f>
        <v/>
      </c>
    </row>
    <row r="395" spans="1:22" x14ac:dyDescent="0.55000000000000004">
      <c r="A395">
        <v>13511.28</v>
      </c>
      <c r="B395" s="1">
        <v>0.01</v>
      </c>
      <c r="C395" s="1">
        <v>0.01</v>
      </c>
      <c r="D395" s="2" t="s">
        <v>1121</v>
      </c>
      <c r="E395">
        <v>1</v>
      </c>
      <c r="F395" s="2" t="s">
        <v>1</v>
      </c>
      <c r="G395">
        <v>0</v>
      </c>
      <c r="H395">
        <v>38.5</v>
      </c>
      <c r="I395" s="2" t="s">
        <v>0</v>
      </c>
      <c r="J395">
        <v>1</v>
      </c>
      <c r="K395" s="2" t="s">
        <v>2</v>
      </c>
      <c r="L395">
        <v>0</v>
      </c>
      <c r="M395">
        <v>38.5</v>
      </c>
      <c r="N395" s="2" t="s">
        <v>1503</v>
      </c>
      <c r="O395" t="str">
        <f>D395&amp;"-"&amp;E395&amp;"-"&amp;F395&amp;"-"&amp;G395&amp;"-"&amp;H395</f>
        <v>A-1-f-0-38.5</v>
      </c>
      <c r="P395" t="str">
        <f>I395&amp;"-"&amp;J395&amp;"-"&amp;K395&amp;"-"&amp;L395&amp;"-"&amp;M395</f>
        <v>X-1-e-0-38.5</v>
      </c>
      <c r="Q395">
        <f>A395+R395</f>
        <v>3511.2800000000007</v>
      </c>
      <c r="R395">
        <f>_xlfn.IFNA(VLOOKUP(P395,PGOPHER!A$2:G$181,7,FALSE),_xlfn.IFNA(VLOOKUP(P395,en!A$2:I$768,7,FALSE),-10000))</f>
        <v>-10000</v>
      </c>
      <c r="S395">
        <f>IF(O395=O394,Q394+S394,Q395)</f>
        <v>3511.2800000000007</v>
      </c>
      <c r="T395">
        <f>IF(O395=O394,T394+1,1)</f>
        <v>1</v>
      </c>
      <c r="U395" t="str">
        <f>IF(O395=O396,"",S395/T395)</f>
        <v/>
      </c>
      <c r="V395" t="str">
        <f>IF(U395="","",IF(ABS(Q395-U395)&gt;V$1,"error",""))</f>
        <v/>
      </c>
    </row>
    <row r="396" spans="1:22" x14ac:dyDescent="0.55000000000000004">
      <c r="A396">
        <v>13515.48</v>
      </c>
      <c r="B396" s="1">
        <v>0.01</v>
      </c>
      <c r="C396" s="1">
        <v>0.01</v>
      </c>
      <c r="D396" s="2" t="s">
        <v>1121</v>
      </c>
      <c r="E396">
        <v>1</v>
      </c>
      <c r="F396" s="2" t="s">
        <v>1</v>
      </c>
      <c r="G396">
        <v>0</v>
      </c>
      <c r="H396">
        <v>38.5</v>
      </c>
      <c r="I396" s="2" t="s">
        <v>0</v>
      </c>
      <c r="J396">
        <v>2</v>
      </c>
      <c r="K396" s="2" t="s">
        <v>1</v>
      </c>
      <c r="L396">
        <v>0</v>
      </c>
      <c r="M396">
        <v>37.5</v>
      </c>
      <c r="N396" s="2" t="s">
        <v>1504</v>
      </c>
      <c r="O396" t="str">
        <f>D396&amp;"-"&amp;E396&amp;"-"&amp;F396&amp;"-"&amp;G396&amp;"-"&amp;H396</f>
        <v>A-1-f-0-38.5</v>
      </c>
      <c r="P396" t="str">
        <f>I396&amp;"-"&amp;J396&amp;"-"&amp;K396&amp;"-"&amp;L396&amp;"-"&amp;M396</f>
        <v>X-2-f-0-37.5</v>
      </c>
      <c r="Q396">
        <f>A396+R396</f>
        <v>3515.4799999999996</v>
      </c>
      <c r="R396">
        <f>_xlfn.IFNA(VLOOKUP(P396,PGOPHER!A$2:G$181,7,FALSE),_xlfn.IFNA(VLOOKUP(P396,en!A$2:I$768,7,FALSE),-10000))</f>
        <v>-10000</v>
      </c>
      <c r="S396">
        <f>IF(O396=O395,Q395+S395,Q396)</f>
        <v>7022.5600000000013</v>
      </c>
      <c r="T396">
        <f>IF(O396=O395,T395+1,1)</f>
        <v>2</v>
      </c>
      <c r="U396">
        <f>IF(O396=O397,"",S396/T396)</f>
        <v>3511.2800000000007</v>
      </c>
      <c r="V396" t="str">
        <f>IF(U396="","",IF(ABS(Q396-U396)&gt;V$1,"error",""))</f>
        <v>error</v>
      </c>
    </row>
    <row r="397" spans="1:22" x14ac:dyDescent="0.55000000000000004">
      <c r="A397">
        <v>13657.49</v>
      </c>
      <c r="B397" s="1">
        <v>0.01</v>
      </c>
      <c r="C397" s="1">
        <v>0.01</v>
      </c>
      <c r="D397" s="2" t="s">
        <v>1121</v>
      </c>
      <c r="E397">
        <v>2</v>
      </c>
      <c r="F397" s="2" t="s">
        <v>2</v>
      </c>
      <c r="G397">
        <v>0</v>
      </c>
      <c r="H397">
        <v>38.5</v>
      </c>
      <c r="I397" s="2" t="s">
        <v>0</v>
      </c>
      <c r="J397">
        <v>2</v>
      </c>
      <c r="K397" s="2" t="s">
        <v>1</v>
      </c>
      <c r="L397">
        <v>0</v>
      </c>
      <c r="M397">
        <v>38.5</v>
      </c>
      <c r="N397" s="2" t="s">
        <v>1500</v>
      </c>
      <c r="O397" t="str">
        <f>D397&amp;"-"&amp;E397&amp;"-"&amp;F397&amp;"-"&amp;G397&amp;"-"&amp;H397</f>
        <v>A-2-e-0-38.5</v>
      </c>
      <c r="P397" t="str">
        <f>I397&amp;"-"&amp;J397&amp;"-"&amp;K397&amp;"-"&amp;L397&amp;"-"&amp;M397</f>
        <v>X-2-f-0-38.5</v>
      </c>
      <c r="Q397">
        <f>A397+R397</f>
        <v>3657.49</v>
      </c>
      <c r="R397">
        <f>_xlfn.IFNA(VLOOKUP(P397,PGOPHER!A$2:G$181,7,FALSE),_xlfn.IFNA(VLOOKUP(P397,en!A$2:I$768,7,FALSE),-10000))</f>
        <v>-10000</v>
      </c>
      <c r="S397">
        <f>IF(O397=O396,Q396+S396,Q397)</f>
        <v>3657.49</v>
      </c>
      <c r="T397">
        <f>IF(O397=O396,T396+1,1)</f>
        <v>1</v>
      </c>
      <c r="U397">
        <f>IF(O397=O398,"",S397/T397)</f>
        <v>3657.49</v>
      </c>
      <c r="V397" t="str">
        <f>IF(U397="","",IF(ABS(Q397-U397)&gt;V$1,"error",""))</f>
        <v/>
      </c>
    </row>
    <row r="398" spans="1:22" x14ac:dyDescent="0.55000000000000004">
      <c r="A398">
        <v>13853.2</v>
      </c>
      <c r="B398" s="1">
        <v>0.01</v>
      </c>
      <c r="C398" s="1">
        <v>0.01</v>
      </c>
      <c r="D398" s="2" t="s">
        <v>1121</v>
      </c>
      <c r="E398">
        <v>2</v>
      </c>
      <c r="F398" s="2" t="s">
        <v>1</v>
      </c>
      <c r="G398">
        <v>0</v>
      </c>
      <c r="H398">
        <v>38.5</v>
      </c>
      <c r="I398" s="2" t="s">
        <v>0</v>
      </c>
      <c r="J398">
        <v>1</v>
      </c>
      <c r="K398" s="2" t="s">
        <v>2</v>
      </c>
      <c r="L398">
        <v>0</v>
      </c>
      <c r="M398">
        <v>38.5</v>
      </c>
      <c r="N398" s="2" t="s">
        <v>1501</v>
      </c>
      <c r="O398" t="str">
        <f>D398&amp;"-"&amp;E398&amp;"-"&amp;F398&amp;"-"&amp;G398&amp;"-"&amp;H398</f>
        <v>A-2-f-0-38.5</v>
      </c>
      <c r="P398" t="str">
        <f>I398&amp;"-"&amp;J398&amp;"-"&amp;K398&amp;"-"&amp;L398&amp;"-"&amp;M398</f>
        <v>X-1-e-0-38.5</v>
      </c>
      <c r="Q398">
        <f>A398+R398</f>
        <v>3853.2000000000007</v>
      </c>
      <c r="R398">
        <f>_xlfn.IFNA(VLOOKUP(P398,PGOPHER!A$2:G$181,7,FALSE),_xlfn.IFNA(VLOOKUP(P398,en!A$2:I$768,7,FALSE),-10000))</f>
        <v>-10000</v>
      </c>
      <c r="S398">
        <f>IF(O398=O397,Q397+S397,Q398)</f>
        <v>3853.2000000000007</v>
      </c>
      <c r="T398">
        <f>IF(O398=O397,T397+1,1)</f>
        <v>1</v>
      </c>
      <c r="U398" t="str">
        <f>IF(O398=O399,"",S398/T398)</f>
        <v/>
      </c>
      <c r="V398" t="str">
        <f>IF(U398="","",IF(ABS(Q398-U398)&gt;V$1,"error",""))</f>
        <v/>
      </c>
    </row>
    <row r="399" spans="1:22" x14ac:dyDescent="0.55000000000000004">
      <c r="A399">
        <v>13857.08</v>
      </c>
      <c r="B399" s="1">
        <v>0.01</v>
      </c>
      <c r="C399" s="1">
        <v>0.01</v>
      </c>
      <c r="D399" s="2" t="s">
        <v>1121</v>
      </c>
      <c r="E399">
        <v>2</v>
      </c>
      <c r="F399" s="2" t="s">
        <v>1</v>
      </c>
      <c r="G399">
        <v>0</v>
      </c>
      <c r="H399">
        <v>38.5</v>
      </c>
      <c r="I399" s="2" t="s">
        <v>0</v>
      </c>
      <c r="J399">
        <v>2</v>
      </c>
      <c r="K399" s="2" t="s">
        <v>1</v>
      </c>
      <c r="L399">
        <v>0</v>
      </c>
      <c r="M399">
        <v>37.5</v>
      </c>
      <c r="N399" s="2" t="s">
        <v>1502</v>
      </c>
      <c r="O399" t="str">
        <f>D399&amp;"-"&amp;E399&amp;"-"&amp;F399&amp;"-"&amp;G399&amp;"-"&amp;H399</f>
        <v>A-2-f-0-38.5</v>
      </c>
      <c r="P399" t="str">
        <f>I399&amp;"-"&amp;J399&amp;"-"&amp;K399&amp;"-"&amp;L399&amp;"-"&amp;M399</f>
        <v>X-2-f-0-37.5</v>
      </c>
      <c r="Q399">
        <f>A399+R399</f>
        <v>3857.08</v>
      </c>
      <c r="R399">
        <f>_xlfn.IFNA(VLOOKUP(P399,PGOPHER!A$2:G$181,7,FALSE),_xlfn.IFNA(VLOOKUP(P399,en!A$2:I$768,7,FALSE),-10000))</f>
        <v>-10000</v>
      </c>
      <c r="S399">
        <f>IF(O399=O398,Q398+S398,Q399)</f>
        <v>7706.4000000000015</v>
      </c>
      <c r="T399">
        <f>IF(O399=O398,T398+1,1)</f>
        <v>2</v>
      </c>
      <c r="U399">
        <f>IF(O399=O400,"",S399/T399)</f>
        <v>3853.2000000000007</v>
      </c>
      <c r="V399" t="str">
        <f>IF(U399="","",IF(ABS(Q399-U399)&gt;V$1,"error",""))</f>
        <v>error</v>
      </c>
    </row>
    <row r="400" spans="1:22" x14ac:dyDescent="0.55000000000000004">
      <c r="A400">
        <v>13518.04</v>
      </c>
      <c r="B400" s="1">
        <v>0.01</v>
      </c>
      <c r="C400" s="1">
        <v>0.01</v>
      </c>
      <c r="D400" s="2" t="s">
        <v>1121</v>
      </c>
      <c r="E400">
        <v>1</v>
      </c>
      <c r="F400" s="2" t="s">
        <v>1</v>
      </c>
      <c r="G400">
        <v>0</v>
      </c>
      <c r="H400">
        <v>39.5</v>
      </c>
      <c r="I400" s="2" t="s">
        <v>0</v>
      </c>
      <c r="J400">
        <v>1</v>
      </c>
      <c r="K400" s="2" t="s">
        <v>2</v>
      </c>
      <c r="L400">
        <v>0</v>
      </c>
      <c r="M400">
        <v>39.5</v>
      </c>
      <c r="N400" s="2" t="s">
        <v>1505</v>
      </c>
      <c r="O400" t="str">
        <f>D400&amp;"-"&amp;E400&amp;"-"&amp;F400&amp;"-"&amp;G400&amp;"-"&amp;H400</f>
        <v>A-1-f-0-39.5</v>
      </c>
      <c r="P400" t="str">
        <f>I400&amp;"-"&amp;J400&amp;"-"&amp;K400&amp;"-"&amp;L400&amp;"-"&amp;M400</f>
        <v>X-1-e-0-39.5</v>
      </c>
      <c r="Q400">
        <f>A400+R400</f>
        <v>3518.0400000000009</v>
      </c>
      <c r="R400">
        <f>_xlfn.IFNA(VLOOKUP(P400,PGOPHER!A$2:G$181,7,FALSE),_xlfn.IFNA(VLOOKUP(P400,en!A$2:I$768,7,FALSE),-10000))</f>
        <v>-10000</v>
      </c>
      <c r="S400">
        <f>IF(O400=O399,Q399+S399,Q400)</f>
        <v>3518.0400000000009</v>
      </c>
      <c r="T400">
        <f>IF(O400=O399,T399+1,1)</f>
        <v>1</v>
      </c>
      <c r="U400" t="str">
        <f>IF(O400=O401,"",S400/T400)</f>
        <v/>
      </c>
      <c r="V400" t="str">
        <f>IF(U400="","",IF(ABS(Q400-U400)&gt;V$1,"error",""))</f>
        <v/>
      </c>
    </row>
    <row r="401" spans="1:22" x14ac:dyDescent="0.55000000000000004">
      <c r="A401">
        <v>13522.29</v>
      </c>
      <c r="B401" s="1">
        <v>0.01</v>
      </c>
      <c r="C401" s="1">
        <v>0.01</v>
      </c>
      <c r="D401" s="2" t="s">
        <v>1121</v>
      </c>
      <c r="E401">
        <v>1</v>
      </c>
      <c r="F401" s="2" t="s">
        <v>1</v>
      </c>
      <c r="G401">
        <v>0</v>
      </c>
      <c r="H401">
        <v>39.5</v>
      </c>
      <c r="I401" s="2" t="s">
        <v>0</v>
      </c>
      <c r="J401">
        <v>2</v>
      </c>
      <c r="K401" s="2" t="s">
        <v>1</v>
      </c>
      <c r="L401">
        <v>0</v>
      </c>
      <c r="M401">
        <v>38.5</v>
      </c>
      <c r="N401" s="2" t="s">
        <v>1506</v>
      </c>
      <c r="O401" t="str">
        <f>D401&amp;"-"&amp;E401&amp;"-"&amp;F401&amp;"-"&amp;G401&amp;"-"&amp;H401</f>
        <v>A-1-f-0-39.5</v>
      </c>
      <c r="P401" t="str">
        <f>I401&amp;"-"&amp;J401&amp;"-"&amp;K401&amp;"-"&amp;L401&amp;"-"&amp;M401</f>
        <v>X-2-f-0-38.5</v>
      </c>
      <c r="Q401">
        <f>A401+R401</f>
        <v>3522.2900000000009</v>
      </c>
      <c r="R401">
        <f>_xlfn.IFNA(VLOOKUP(P401,PGOPHER!A$2:G$181,7,FALSE),_xlfn.IFNA(VLOOKUP(P401,en!A$2:I$768,7,FALSE),-10000))</f>
        <v>-10000</v>
      </c>
      <c r="S401">
        <f>IF(O401=O400,Q400+S400,Q401)</f>
        <v>7036.0800000000017</v>
      </c>
      <c r="T401">
        <f>IF(O401=O400,T400+1,1)</f>
        <v>2</v>
      </c>
      <c r="U401">
        <f>IF(O401=O402,"",S401/T401)</f>
        <v>3518.0400000000009</v>
      </c>
      <c r="V401" t="str">
        <f>IF(U401="","",IF(ABS(Q401-U401)&gt;V$1,"error",""))</f>
        <v>error</v>
      </c>
    </row>
    <row r="402" spans="1:22" x14ac:dyDescent="0.55000000000000004">
      <c r="A402">
        <v>13524.99</v>
      </c>
      <c r="B402" s="1">
        <v>0.01</v>
      </c>
      <c r="C402" s="1">
        <v>0.01</v>
      </c>
      <c r="D402" s="2" t="s">
        <v>1121</v>
      </c>
      <c r="E402">
        <v>1</v>
      </c>
      <c r="F402" s="2" t="s">
        <v>1</v>
      </c>
      <c r="G402">
        <v>0</v>
      </c>
      <c r="H402">
        <v>40.5</v>
      </c>
      <c r="I402" s="2" t="s">
        <v>0</v>
      </c>
      <c r="J402">
        <v>1</v>
      </c>
      <c r="K402" s="2" t="s">
        <v>2</v>
      </c>
      <c r="L402">
        <v>0</v>
      </c>
      <c r="M402">
        <v>40.5</v>
      </c>
      <c r="N402" s="2" t="s">
        <v>1507</v>
      </c>
      <c r="O402" t="str">
        <f>D402&amp;"-"&amp;E402&amp;"-"&amp;F402&amp;"-"&amp;G402&amp;"-"&amp;H402</f>
        <v>A-1-f-0-40.5</v>
      </c>
      <c r="P402" t="str">
        <f>I402&amp;"-"&amp;J402&amp;"-"&amp;K402&amp;"-"&amp;L402&amp;"-"&amp;M402</f>
        <v>X-1-e-0-40.5</v>
      </c>
      <c r="Q402">
        <f>A402+R402</f>
        <v>3524.99</v>
      </c>
      <c r="R402">
        <f>_xlfn.IFNA(VLOOKUP(P402,PGOPHER!A$2:G$181,7,FALSE),_xlfn.IFNA(VLOOKUP(P402,en!A$2:I$768,7,FALSE),-10000))</f>
        <v>-10000</v>
      </c>
      <c r="S402">
        <f>IF(O402=O401,Q401+S401,Q402)</f>
        <v>3524.99</v>
      </c>
      <c r="T402">
        <f>IF(O402=O401,T401+1,1)</f>
        <v>1</v>
      </c>
      <c r="U402" t="str">
        <f>IF(O402=O403,"",S402/T402)</f>
        <v/>
      </c>
      <c r="V402" t="str">
        <f>IF(U402="","",IF(ABS(Q402-U402)&gt;V$1,"error",""))</f>
        <v/>
      </c>
    </row>
    <row r="403" spans="1:22" x14ac:dyDescent="0.55000000000000004">
      <c r="A403">
        <v>13529.22</v>
      </c>
      <c r="B403" s="1">
        <v>0.01</v>
      </c>
      <c r="C403" s="1">
        <v>0.01</v>
      </c>
      <c r="D403" s="2" t="s">
        <v>1121</v>
      </c>
      <c r="E403">
        <v>1</v>
      </c>
      <c r="F403" s="2" t="s">
        <v>1</v>
      </c>
      <c r="G403">
        <v>0</v>
      </c>
      <c r="H403">
        <v>40.5</v>
      </c>
      <c r="I403" s="2" t="s">
        <v>0</v>
      </c>
      <c r="J403">
        <v>2</v>
      </c>
      <c r="K403" s="2" t="s">
        <v>1</v>
      </c>
      <c r="L403">
        <v>0</v>
      </c>
      <c r="M403">
        <v>39.5</v>
      </c>
      <c r="N403" s="2" t="s">
        <v>1508</v>
      </c>
      <c r="O403" t="str">
        <f>D403&amp;"-"&amp;E403&amp;"-"&amp;F403&amp;"-"&amp;G403&amp;"-"&amp;H403</f>
        <v>A-1-f-0-40.5</v>
      </c>
      <c r="P403" t="str">
        <f>I403&amp;"-"&amp;J403&amp;"-"&amp;K403&amp;"-"&amp;L403&amp;"-"&amp;M403</f>
        <v>X-2-f-0-39.5</v>
      </c>
      <c r="Q403">
        <f>A403+R403</f>
        <v>3529.2199999999993</v>
      </c>
      <c r="R403">
        <f>_xlfn.IFNA(VLOOKUP(P403,PGOPHER!A$2:G$181,7,FALSE),_xlfn.IFNA(VLOOKUP(P403,en!A$2:I$768,7,FALSE),-10000))</f>
        <v>-10000</v>
      </c>
      <c r="S403">
        <f>IF(O403=O402,Q402+S402,Q403)</f>
        <v>7049.98</v>
      </c>
      <c r="T403">
        <f>IF(O403=O402,T402+1,1)</f>
        <v>2</v>
      </c>
      <c r="U403">
        <f>IF(O403=O404,"",S403/T403)</f>
        <v>3524.99</v>
      </c>
      <c r="V403" t="str">
        <f>IF(U403="","",IF(ABS(Q403-U403)&gt;V$1,"error",""))</f>
        <v>error</v>
      </c>
    </row>
    <row r="404" spans="1:22" x14ac:dyDescent="0.55000000000000004">
      <c r="A404">
        <v>13532.05</v>
      </c>
      <c r="B404" s="1">
        <v>0.01</v>
      </c>
      <c r="C404" s="1">
        <v>0.01</v>
      </c>
      <c r="D404" s="2" t="s">
        <v>1121</v>
      </c>
      <c r="E404">
        <v>1</v>
      </c>
      <c r="F404" s="2" t="s">
        <v>1</v>
      </c>
      <c r="G404">
        <v>0</v>
      </c>
      <c r="H404">
        <v>41.5</v>
      </c>
      <c r="I404" s="2" t="s">
        <v>0</v>
      </c>
      <c r="J404">
        <v>1</v>
      </c>
      <c r="K404" s="2" t="s">
        <v>2</v>
      </c>
      <c r="L404">
        <v>0</v>
      </c>
      <c r="M404">
        <v>41.5</v>
      </c>
      <c r="N404" s="2" t="s">
        <v>1509</v>
      </c>
      <c r="O404" t="str">
        <f>D404&amp;"-"&amp;E404&amp;"-"&amp;F404&amp;"-"&amp;G404&amp;"-"&amp;H404</f>
        <v>A-1-f-0-41.5</v>
      </c>
      <c r="P404" t="str">
        <f>I404&amp;"-"&amp;J404&amp;"-"&amp;K404&amp;"-"&amp;L404&amp;"-"&amp;M404</f>
        <v>X-1-e-0-41.5</v>
      </c>
      <c r="Q404">
        <f>A404+R404</f>
        <v>3532.0499999999993</v>
      </c>
      <c r="R404">
        <f>_xlfn.IFNA(VLOOKUP(P404,PGOPHER!A$2:G$181,7,FALSE),_xlfn.IFNA(VLOOKUP(P404,en!A$2:I$768,7,FALSE),-10000))</f>
        <v>-10000</v>
      </c>
      <c r="S404">
        <f>IF(O404=O403,Q403+S403,Q404)</f>
        <v>3532.0499999999993</v>
      </c>
      <c r="T404">
        <f>IF(O404=O403,T403+1,1)</f>
        <v>1</v>
      </c>
      <c r="U404" t="str">
        <f>IF(O404=O405,"",S404/T404)</f>
        <v/>
      </c>
      <c r="V404" t="str">
        <f>IF(U404="","",IF(ABS(Q404-U404)&gt;V$1,"error",""))</f>
        <v/>
      </c>
    </row>
    <row r="405" spans="1:22" x14ac:dyDescent="0.55000000000000004">
      <c r="A405">
        <v>13536.23</v>
      </c>
      <c r="B405" s="1">
        <v>0.01</v>
      </c>
      <c r="C405" s="1">
        <v>0.01</v>
      </c>
      <c r="D405" s="2" t="s">
        <v>1121</v>
      </c>
      <c r="E405">
        <v>1</v>
      </c>
      <c r="F405" s="2" t="s">
        <v>1</v>
      </c>
      <c r="G405">
        <v>0</v>
      </c>
      <c r="H405">
        <v>41.5</v>
      </c>
      <c r="I405" s="2" t="s">
        <v>0</v>
      </c>
      <c r="J405">
        <v>2</v>
      </c>
      <c r="K405" s="2" t="s">
        <v>1</v>
      </c>
      <c r="L405">
        <v>0</v>
      </c>
      <c r="M405">
        <v>40.5</v>
      </c>
      <c r="N405" s="2" t="s">
        <v>1510</v>
      </c>
      <c r="O405" t="str">
        <f>D405&amp;"-"&amp;E405&amp;"-"&amp;F405&amp;"-"&amp;G405&amp;"-"&amp;H405</f>
        <v>A-1-f-0-41.5</v>
      </c>
      <c r="P405" t="str">
        <f>I405&amp;"-"&amp;J405&amp;"-"&amp;K405&amp;"-"&amp;L405&amp;"-"&amp;M405</f>
        <v>X-2-f-0-40.5</v>
      </c>
      <c r="Q405">
        <f>A405+R405</f>
        <v>3536.2299999999996</v>
      </c>
      <c r="R405">
        <f>_xlfn.IFNA(VLOOKUP(P405,PGOPHER!A$2:G$181,7,FALSE),_xlfn.IFNA(VLOOKUP(P405,en!A$2:I$768,7,FALSE),-10000))</f>
        <v>-10000</v>
      </c>
      <c r="S405">
        <f>IF(O405=O404,Q404+S404,Q405)</f>
        <v>7064.0999999999985</v>
      </c>
      <c r="T405">
        <f>IF(O405=O404,T404+1,1)</f>
        <v>2</v>
      </c>
      <c r="U405">
        <f>IF(O405=O406,"",S405/T405)</f>
        <v>3532.0499999999993</v>
      </c>
      <c r="V405" t="str">
        <f>IF(U405="","",IF(ABS(Q405-U405)&gt;V$1,"error",""))</f>
        <v>error</v>
      </c>
    </row>
    <row r="406" spans="1:22" x14ac:dyDescent="0.55000000000000004">
      <c r="A406">
        <v>13539.24</v>
      </c>
      <c r="B406" s="1">
        <v>0.01</v>
      </c>
      <c r="C406" s="1">
        <v>0.01</v>
      </c>
      <c r="D406" s="2" t="s">
        <v>1121</v>
      </c>
      <c r="E406">
        <v>1</v>
      </c>
      <c r="F406" s="2" t="s">
        <v>1</v>
      </c>
      <c r="G406">
        <v>0</v>
      </c>
      <c r="H406">
        <v>42.5</v>
      </c>
      <c r="I406" s="2" t="s">
        <v>0</v>
      </c>
      <c r="J406">
        <v>1</v>
      </c>
      <c r="K406" s="2" t="s">
        <v>2</v>
      </c>
      <c r="L406">
        <v>0</v>
      </c>
      <c r="M406">
        <v>42.5</v>
      </c>
      <c r="N406" s="2" t="s">
        <v>1511</v>
      </c>
      <c r="O406" t="str">
        <f>D406&amp;"-"&amp;E406&amp;"-"&amp;F406&amp;"-"&amp;G406&amp;"-"&amp;H406</f>
        <v>A-1-f-0-42.5</v>
      </c>
      <c r="P406" t="str">
        <f>I406&amp;"-"&amp;J406&amp;"-"&amp;K406&amp;"-"&amp;L406&amp;"-"&amp;M406</f>
        <v>X-1-e-0-42.5</v>
      </c>
      <c r="Q406">
        <f>A406+R406</f>
        <v>3539.24</v>
      </c>
      <c r="R406">
        <f>_xlfn.IFNA(VLOOKUP(P406,PGOPHER!A$2:G$181,7,FALSE),_xlfn.IFNA(VLOOKUP(P406,en!A$2:I$768,7,FALSE),-10000))</f>
        <v>-10000</v>
      </c>
      <c r="S406">
        <f>IF(O406=O405,Q405+S405,Q406)</f>
        <v>3539.24</v>
      </c>
      <c r="T406">
        <f>IF(O406=O405,T405+1,1)</f>
        <v>1</v>
      </c>
      <c r="U406">
        <f>IF(O406=O407,"",S406/T406)</f>
        <v>3539.24</v>
      </c>
      <c r="V406" t="str">
        <f>IF(U406="","",IF(ABS(Q406-U406)&gt;V$1,"error",""))</f>
        <v/>
      </c>
    </row>
    <row r="407" spans="1:22" x14ac:dyDescent="0.55000000000000004">
      <c r="A407">
        <v>13546.58</v>
      </c>
      <c r="B407" s="1">
        <v>0.01</v>
      </c>
      <c r="C407" s="1">
        <v>0.01</v>
      </c>
      <c r="D407" s="2" t="s">
        <v>1121</v>
      </c>
      <c r="E407">
        <v>1</v>
      </c>
      <c r="F407" s="2" t="s">
        <v>1</v>
      </c>
      <c r="G407">
        <v>0</v>
      </c>
      <c r="H407">
        <v>43.5</v>
      </c>
      <c r="I407" s="2" t="s">
        <v>0</v>
      </c>
      <c r="J407">
        <v>1</v>
      </c>
      <c r="K407" s="2" t="s">
        <v>2</v>
      </c>
      <c r="L407">
        <v>0</v>
      </c>
      <c r="M407">
        <v>43.5</v>
      </c>
      <c r="N407" s="2" t="s">
        <v>1512</v>
      </c>
      <c r="O407" t="str">
        <f>D407&amp;"-"&amp;E407&amp;"-"&amp;F407&amp;"-"&amp;G407&amp;"-"&amp;H407</f>
        <v>A-1-f-0-43.5</v>
      </c>
      <c r="P407" t="str">
        <f>I407&amp;"-"&amp;J407&amp;"-"&amp;K407&amp;"-"&amp;L407&amp;"-"&amp;M407</f>
        <v>X-1-e-0-43.5</v>
      </c>
      <c r="Q407">
        <f>A407+R407</f>
        <v>3546.58</v>
      </c>
      <c r="R407">
        <f>_xlfn.IFNA(VLOOKUP(P407,PGOPHER!A$2:G$181,7,FALSE),_xlfn.IFNA(VLOOKUP(P407,en!A$2:I$768,7,FALSE),-10000))</f>
        <v>-10000</v>
      </c>
      <c r="S407">
        <f>IF(O407=O406,Q406+S406,Q407)</f>
        <v>3546.58</v>
      </c>
      <c r="T407">
        <f>IF(O407=O406,T406+1,1)</f>
        <v>1</v>
      </c>
      <c r="U407">
        <f>IF(O407=O408,"",S407/T407)</f>
        <v>3546.58</v>
      </c>
      <c r="V407" t="str">
        <f>IF(U407="","",IF(ABS(Q407-U407)&gt;V$1,"error",""))</f>
        <v/>
      </c>
    </row>
    <row r="408" spans="1:22" x14ac:dyDescent="0.55000000000000004">
      <c r="A408">
        <v>13554.07</v>
      </c>
      <c r="B408" s="1">
        <v>0.01</v>
      </c>
      <c r="C408" s="1">
        <v>0.01</v>
      </c>
      <c r="D408" s="2" t="s">
        <v>1121</v>
      </c>
      <c r="E408">
        <v>1</v>
      </c>
      <c r="F408" s="2" t="s">
        <v>1</v>
      </c>
      <c r="G408">
        <v>0</v>
      </c>
      <c r="H408">
        <v>44.5</v>
      </c>
      <c r="I408" s="2" t="s">
        <v>0</v>
      </c>
      <c r="J408">
        <v>1</v>
      </c>
      <c r="K408" s="2" t="s">
        <v>2</v>
      </c>
      <c r="L408">
        <v>0</v>
      </c>
      <c r="M408">
        <v>44.5</v>
      </c>
      <c r="N408" s="2" t="s">
        <v>1513</v>
      </c>
      <c r="O408" t="str">
        <f>D408&amp;"-"&amp;E408&amp;"-"&amp;F408&amp;"-"&amp;G408&amp;"-"&amp;H408</f>
        <v>A-1-f-0-44.5</v>
      </c>
      <c r="P408" t="str">
        <f>I408&amp;"-"&amp;J408&amp;"-"&amp;K408&amp;"-"&amp;L408&amp;"-"&amp;M408</f>
        <v>X-1-e-0-44.5</v>
      </c>
      <c r="Q408">
        <f>A408+R408</f>
        <v>3554.0699999999997</v>
      </c>
      <c r="R408">
        <f>_xlfn.IFNA(VLOOKUP(P408,PGOPHER!A$2:G$181,7,FALSE),_xlfn.IFNA(VLOOKUP(P408,en!A$2:I$768,7,FALSE),-10000))</f>
        <v>-10000</v>
      </c>
      <c r="S408">
        <f>IF(O408=O407,Q407+S407,Q408)</f>
        <v>3554.0699999999997</v>
      </c>
      <c r="T408">
        <f>IF(O408=O407,T407+1,1)</f>
        <v>1</v>
      </c>
      <c r="U408">
        <f>IF(O408=O409,"",S408/T408)</f>
        <v>3554.0699999999997</v>
      </c>
      <c r="V408" t="str">
        <f>IF(U408="","",IF(ABS(Q408-U408)&gt;V$1,"error",""))</f>
        <v/>
      </c>
    </row>
    <row r="409" spans="1:22" x14ac:dyDescent="0.55000000000000004">
      <c r="A409">
        <v>13561.66</v>
      </c>
      <c r="B409" s="1">
        <v>0.01</v>
      </c>
      <c r="C409" s="1">
        <v>0.01</v>
      </c>
      <c r="D409" s="2" t="s">
        <v>1121</v>
      </c>
      <c r="E409">
        <v>1</v>
      </c>
      <c r="F409" s="2" t="s">
        <v>1</v>
      </c>
      <c r="G409">
        <v>0</v>
      </c>
      <c r="H409">
        <v>45.5</v>
      </c>
      <c r="I409" s="2" t="s">
        <v>0</v>
      </c>
      <c r="J409">
        <v>1</v>
      </c>
      <c r="K409" s="2" t="s">
        <v>2</v>
      </c>
      <c r="L409">
        <v>0</v>
      </c>
      <c r="M409">
        <v>45.5</v>
      </c>
      <c r="N409" s="2" t="s">
        <v>1514</v>
      </c>
      <c r="O409" t="str">
        <f>D409&amp;"-"&amp;E409&amp;"-"&amp;F409&amp;"-"&amp;G409&amp;"-"&amp;H409</f>
        <v>A-1-f-0-45.5</v>
      </c>
      <c r="P409" t="str">
        <f>I409&amp;"-"&amp;J409&amp;"-"&amp;K409&amp;"-"&amp;L409&amp;"-"&amp;M409</f>
        <v>X-1-e-0-45.5</v>
      </c>
      <c r="Q409">
        <f>A409+R409</f>
        <v>3561.66</v>
      </c>
      <c r="R409">
        <f>_xlfn.IFNA(VLOOKUP(P409,PGOPHER!A$2:G$181,7,FALSE),_xlfn.IFNA(VLOOKUP(P409,en!A$2:I$768,7,FALSE),-10000))</f>
        <v>-10000</v>
      </c>
      <c r="S409">
        <f>IF(O409=O408,Q408+S408,Q409)</f>
        <v>3561.66</v>
      </c>
      <c r="T409">
        <f>IF(O409=O408,T408+1,1)</f>
        <v>1</v>
      </c>
      <c r="U409">
        <f>IF(O409=O410,"",S409/T409)</f>
        <v>3561.66</v>
      </c>
      <c r="V409" t="str">
        <f>IF(U409="","",IF(ABS(Q409-U409)&gt;V$1,"error",""))</f>
        <v/>
      </c>
    </row>
    <row r="410" spans="1:22" x14ac:dyDescent="0.55000000000000004">
      <c r="A410">
        <v>14345.3</v>
      </c>
      <c r="B410" s="1">
        <v>0.01</v>
      </c>
      <c r="C410" s="1">
        <v>0.01</v>
      </c>
      <c r="D410" s="2" t="s">
        <v>1515</v>
      </c>
      <c r="E410">
        <v>1</v>
      </c>
      <c r="F410" s="2" t="s">
        <v>2</v>
      </c>
      <c r="G410">
        <v>0</v>
      </c>
      <c r="H410">
        <v>0.5</v>
      </c>
      <c r="I410" s="2" t="s">
        <v>0</v>
      </c>
      <c r="J410">
        <v>1</v>
      </c>
      <c r="K410" s="2" t="s">
        <v>2</v>
      </c>
      <c r="L410">
        <v>0</v>
      </c>
      <c r="M410">
        <v>1.5</v>
      </c>
      <c r="N410" s="2" t="s">
        <v>1666</v>
      </c>
      <c r="O410" t="str">
        <f>D410&amp;"-"&amp;E410&amp;"-"&amp;F410&amp;"-"&amp;G410&amp;"-"&amp;H410</f>
        <v>B-1-e-0-0.5</v>
      </c>
      <c r="P410" t="str">
        <f>I410&amp;"-"&amp;J410&amp;"-"&amp;K410&amp;"-"&amp;L410&amp;"-"&amp;M410</f>
        <v>X-1-e-0-1.5</v>
      </c>
      <c r="Q410">
        <f>A410+R410</f>
        <v>14352.628328999999</v>
      </c>
      <c r="R410">
        <f>_xlfn.IFNA(VLOOKUP(P410,PGOPHER!A$2:G$181,7,FALSE),_xlfn.IFNA(VLOOKUP(P410,en!A$2:I$768,7,FALSE),-10000))</f>
        <v>7.3283290000000001</v>
      </c>
      <c r="S410">
        <f>IF(O410=O409,Q409+S409,Q410)</f>
        <v>14352.628328999999</v>
      </c>
      <c r="T410">
        <f>IF(O410=O409,T409+1,1)</f>
        <v>1</v>
      </c>
      <c r="U410">
        <f>IF(O410=O411,"",S410/T410)</f>
        <v>14352.628328999999</v>
      </c>
      <c r="V410" t="str">
        <f>IF(U410="","",IF(ABS(Q410-U410)&gt;V$1,"error",""))</f>
        <v/>
      </c>
    </row>
    <row r="411" spans="1:22" x14ac:dyDescent="0.55000000000000004">
      <c r="A411">
        <v>14336.01</v>
      </c>
      <c r="B411" s="1">
        <v>0.39579999999999999</v>
      </c>
      <c r="C411" s="1">
        <v>0.39579999999999999</v>
      </c>
      <c r="D411" s="2" t="s">
        <v>1515</v>
      </c>
      <c r="E411">
        <v>1</v>
      </c>
      <c r="F411" s="2" t="s">
        <v>2</v>
      </c>
      <c r="G411">
        <v>0</v>
      </c>
      <c r="H411">
        <v>1.5</v>
      </c>
      <c r="I411" s="2" t="s">
        <v>0</v>
      </c>
      <c r="J411">
        <v>1</v>
      </c>
      <c r="K411" s="2" t="s">
        <v>2</v>
      </c>
      <c r="L411">
        <v>0</v>
      </c>
      <c r="M411">
        <v>2.5</v>
      </c>
      <c r="N411" s="2" t="s">
        <v>1667</v>
      </c>
      <c r="O411" t="str">
        <f>D411&amp;"-"&amp;E411&amp;"-"&amp;F411&amp;"-"&amp;G411&amp;"-"&amp;H411</f>
        <v>B-1-e-0-1.5</v>
      </c>
      <c r="P411" t="str">
        <f>I411&amp;"-"&amp;J411&amp;"-"&amp;K411&amp;"-"&amp;L411&amp;"-"&amp;M411</f>
        <v>X-1-e-0-2.5</v>
      </c>
      <c r="Q411">
        <f>A411+R411</f>
        <v>14357.929700000001</v>
      </c>
      <c r="R411">
        <f>_xlfn.IFNA(VLOOKUP(P411,PGOPHER!A$2:G$181,7,FALSE),_xlfn.IFNA(VLOOKUP(P411,en!A$2:I$768,7,FALSE),-10000))</f>
        <v>21.919699999999999</v>
      </c>
      <c r="S411">
        <f>IF(O411=O410,Q410+S410,Q411)</f>
        <v>14357.929700000001</v>
      </c>
      <c r="T411">
        <f>IF(O411=O410,T410+1,1)</f>
        <v>1</v>
      </c>
      <c r="U411" t="str">
        <f>IF(O411=O412,"",S411/T411)</f>
        <v/>
      </c>
      <c r="V411" t="str">
        <f>IF(U411="","",IF(ABS(Q411-U411)&gt;V$1,"error",""))</f>
        <v/>
      </c>
    </row>
    <row r="412" spans="1:22" x14ac:dyDescent="0.55000000000000004">
      <c r="A412">
        <v>14357.21</v>
      </c>
      <c r="B412" s="1">
        <v>0.39579999999999999</v>
      </c>
      <c r="C412" s="1">
        <v>0.39579999999999999</v>
      </c>
      <c r="D412" s="2" t="s">
        <v>1515</v>
      </c>
      <c r="E412">
        <v>1</v>
      </c>
      <c r="F412" s="2" t="s">
        <v>2</v>
      </c>
      <c r="G412">
        <v>0</v>
      </c>
      <c r="H412">
        <v>1.5</v>
      </c>
      <c r="I412" s="2" t="s">
        <v>0</v>
      </c>
      <c r="J412">
        <v>1</v>
      </c>
      <c r="K412" s="2" t="s">
        <v>2</v>
      </c>
      <c r="L412">
        <v>0</v>
      </c>
      <c r="M412">
        <v>0.5</v>
      </c>
      <c r="N412" s="2" t="s">
        <v>1709</v>
      </c>
      <c r="O412" t="str">
        <f>D412&amp;"-"&amp;E412&amp;"-"&amp;F412&amp;"-"&amp;G412&amp;"-"&amp;H412</f>
        <v>B-1-e-0-1.5</v>
      </c>
      <c r="P412" t="str">
        <f>I412&amp;"-"&amp;J412&amp;"-"&amp;K412&amp;"-"&amp;L412&amp;"-"&amp;M412</f>
        <v>X-1-e-0-0.5</v>
      </c>
      <c r="Q412">
        <f>A412+R412</f>
        <v>14357.21</v>
      </c>
      <c r="R412">
        <f>_xlfn.IFNA(VLOOKUP(P412,PGOPHER!A$2:G$181,7,FALSE),_xlfn.IFNA(VLOOKUP(P412,en!A$2:I$768,7,FALSE),-10000))</f>
        <v>0</v>
      </c>
      <c r="S412">
        <f>IF(O412=O411,Q411+S411,Q412)</f>
        <v>28715.859400000001</v>
      </c>
      <c r="T412">
        <f>IF(O412=O411,T411+1,1)</f>
        <v>2</v>
      </c>
      <c r="U412">
        <f>IF(O412=O413,"",S412/T412)</f>
        <v>14357.929700000001</v>
      </c>
      <c r="V412" t="str">
        <f>IF(U412="","",IF(ABS(Q412-U412)&gt;V$1,"error",""))</f>
        <v>error</v>
      </c>
    </row>
    <row r="413" spans="1:22" x14ac:dyDescent="0.55000000000000004">
      <c r="A413">
        <v>14356.63</v>
      </c>
      <c r="B413" s="1">
        <v>8.1839999999999996E-2</v>
      </c>
      <c r="C413" s="1">
        <v>8.1839999999999996E-2</v>
      </c>
      <c r="D413" s="2" t="s">
        <v>1515</v>
      </c>
      <c r="E413">
        <v>1</v>
      </c>
      <c r="F413" s="2" t="s">
        <v>2</v>
      </c>
      <c r="G413">
        <v>1</v>
      </c>
      <c r="H413">
        <v>1.5</v>
      </c>
      <c r="I413" s="2" t="s">
        <v>0</v>
      </c>
      <c r="J413">
        <v>1</v>
      </c>
      <c r="K413" s="2" t="s">
        <v>2</v>
      </c>
      <c r="L413">
        <v>1</v>
      </c>
      <c r="M413">
        <v>2.5</v>
      </c>
      <c r="N413" s="2" t="s">
        <v>1548</v>
      </c>
      <c r="O413" t="str">
        <f>D413&amp;"-"&amp;E413&amp;"-"&amp;F413&amp;"-"&amp;G413&amp;"-"&amp;H413</f>
        <v>B-1-e-1-1.5</v>
      </c>
      <c r="P413" t="str">
        <f>I413&amp;"-"&amp;J413&amp;"-"&amp;K413&amp;"-"&amp;L413&amp;"-"&amp;M413</f>
        <v>X-1-e-1-2.5</v>
      </c>
      <c r="Q413">
        <f>A413+R413</f>
        <v>15550.866819999999</v>
      </c>
      <c r="R413">
        <f>_xlfn.IFNA(VLOOKUP(P413,PGOPHER!A$2:G$181,7,FALSE),_xlfn.IFNA(VLOOKUP(P413,en!A$2:I$768,7,FALSE),-10000))</f>
        <v>1194.2368200000001</v>
      </c>
      <c r="S413">
        <f>IF(O413=O412,Q412+S412,Q413)</f>
        <v>15550.866819999999</v>
      </c>
      <c r="T413">
        <f>IF(O413=O412,T412+1,1)</f>
        <v>1</v>
      </c>
      <c r="U413" t="str">
        <f>IF(O413=O414,"",S413/T413)</f>
        <v/>
      </c>
      <c r="V413" t="str">
        <f>IF(U413="","",IF(ABS(Q413-U413)&gt;V$1,"error",""))</f>
        <v/>
      </c>
    </row>
    <row r="414" spans="1:22" x14ac:dyDescent="0.55000000000000004">
      <c r="A414">
        <v>14377.91</v>
      </c>
      <c r="B414" s="1">
        <v>8.1839999999999996E-2</v>
      </c>
      <c r="C414" s="1">
        <v>8.1839999999999996E-2</v>
      </c>
      <c r="D414" s="2" t="s">
        <v>1515</v>
      </c>
      <c r="E414">
        <v>1</v>
      </c>
      <c r="F414" s="2" t="s">
        <v>2</v>
      </c>
      <c r="G414">
        <v>1</v>
      </c>
      <c r="H414">
        <v>1.5</v>
      </c>
      <c r="I414" s="2" t="s">
        <v>0</v>
      </c>
      <c r="J414">
        <v>1</v>
      </c>
      <c r="K414" s="2" t="s">
        <v>2</v>
      </c>
      <c r="L414">
        <v>1</v>
      </c>
      <c r="M414">
        <v>0.5</v>
      </c>
      <c r="N414" s="2" t="s">
        <v>1516</v>
      </c>
      <c r="O414" t="str">
        <f>D414&amp;"-"&amp;E414&amp;"-"&amp;F414&amp;"-"&amp;G414&amp;"-"&amp;H414</f>
        <v>B-1-e-1-1.5</v>
      </c>
      <c r="P414" t="str">
        <f>I414&amp;"-"&amp;J414&amp;"-"&amp;K414&amp;"-"&amp;L414&amp;"-"&amp;M414</f>
        <v>X-1-e-1-0.5</v>
      </c>
      <c r="Q414">
        <f>A414+R414</f>
        <v>15550.715040999999</v>
      </c>
      <c r="R414">
        <f>_xlfn.IFNA(VLOOKUP(P414,PGOPHER!A$2:G$181,7,FALSE),_xlfn.IFNA(VLOOKUP(P414,en!A$2:I$768,7,FALSE),-10000))</f>
        <v>1172.8050410000001</v>
      </c>
      <c r="S414">
        <f>IF(O414=O413,Q413+S413,Q414)</f>
        <v>31101.733639999999</v>
      </c>
      <c r="T414">
        <f>IF(O414=O413,T413+1,1)</f>
        <v>2</v>
      </c>
      <c r="U414">
        <f>IF(O414=O415,"",S414/T414)</f>
        <v>15550.866819999999</v>
      </c>
      <c r="V414" t="str">
        <f>IF(U414="","",IF(ABS(Q414-U414)&gt;V$1,"error",""))</f>
        <v/>
      </c>
    </row>
    <row r="415" spans="1:22" x14ac:dyDescent="0.55000000000000004">
      <c r="A415">
        <v>14329.95</v>
      </c>
      <c r="B415" s="1">
        <v>0.01</v>
      </c>
      <c r="C415" s="1">
        <v>0.01</v>
      </c>
      <c r="D415" s="2" t="s">
        <v>1515</v>
      </c>
      <c r="E415">
        <v>2</v>
      </c>
      <c r="F415" s="2" t="s">
        <v>1</v>
      </c>
      <c r="G415">
        <v>0</v>
      </c>
      <c r="H415">
        <v>1.5</v>
      </c>
      <c r="I415" s="2" t="s">
        <v>0</v>
      </c>
      <c r="J415">
        <v>2</v>
      </c>
      <c r="K415" s="2" t="s">
        <v>1</v>
      </c>
      <c r="L415">
        <v>0</v>
      </c>
      <c r="M415">
        <v>2.5</v>
      </c>
      <c r="N415" s="2" t="s">
        <v>1739</v>
      </c>
      <c r="O415" t="str">
        <f>D415&amp;"-"&amp;E415&amp;"-"&amp;F415&amp;"-"&amp;G415&amp;"-"&amp;H415</f>
        <v>B-2-f-0-1.5</v>
      </c>
      <c r="P415" t="str">
        <f>I415&amp;"-"&amp;J415&amp;"-"&amp;K415&amp;"-"&amp;L415&amp;"-"&amp;M415</f>
        <v>X-2-f-0-2.5</v>
      </c>
      <c r="Q415">
        <f>A415+R415</f>
        <v>14373.283493000001</v>
      </c>
      <c r="R415">
        <f>_xlfn.IFNA(VLOOKUP(P415,PGOPHER!A$2:G$181,7,FALSE),_xlfn.IFNA(VLOOKUP(P415,en!A$2:I$768,7,FALSE),-10000))</f>
        <v>43.333492999999997</v>
      </c>
      <c r="S415">
        <f>IF(O415=O414,Q414+S414,Q415)</f>
        <v>14373.283493000001</v>
      </c>
      <c r="T415">
        <f>IF(O415=O414,T414+1,1)</f>
        <v>1</v>
      </c>
      <c r="U415">
        <f>IF(O415=O416,"",S415/T415)</f>
        <v>14373.283493000001</v>
      </c>
      <c r="V415" t="str">
        <f>IF(U415="","",IF(ABS(Q415-U415)&gt;V$1,"error",""))</f>
        <v/>
      </c>
    </row>
    <row r="416" spans="1:22" x14ac:dyDescent="0.55000000000000004">
      <c r="A416">
        <v>14358.61</v>
      </c>
      <c r="B416" s="1">
        <v>0.45150000000000001</v>
      </c>
      <c r="C416" s="1">
        <v>0.45150000000000001</v>
      </c>
      <c r="D416" s="2" t="s">
        <v>1515</v>
      </c>
      <c r="E416">
        <v>2</v>
      </c>
      <c r="F416" s="2" t="s">
        <v>1</v>
      </c>
      <c r="G416">
        <v>1</v>
      </c>
      <c r="H416">
        <v>1.5</v>
      </c>
      <c r="I416" s="2" t="s">
        <v>0</v>
      </c>
      <c r="J416">
        <v>2</v>
      </c>
      <c r="K416" s="2" t="s">
        <v>1</v>
      </c>
      <c r="L416">
        <v>1</v>
      </c>
      <c r="M416">
        <v>2.5</v>
      </c>
      <c r="N416" s="2" t="s">
        <v>1596</v>
      </c>
      <c r="O416" t="str">
        <f>D416&amp;"-"&amp;E416&amp;"-"&amp;F416&amp;"-"&amp;G416&amp;"-"&amp;H416</f>
        <v>B-2-f-1-1.5</v>
      </c>
      <c r="P416" t="str">
        <f>I416&amp;"-"&amp;J416&amp;"-"&amp;K416&amp;"-"&amp;L416&amp;"-"&amp;M416</f>
        <v>X-2-f-1-2.5</v>
      </c>
      <c r="Q416">
        <f>A416+R416</f>
        <v>15573.791930000001</v>
      </c>
      <c r="R416">
        <f>_xlfn.IFNA(VLOOKUP(P416,PGOPHER!A$2:G$181,7,FALSE),_xlfn.IFNA(VLOOKUP(P416,en!A$2:I$768,7,FALSE),-10000))</f>
        <v>1215.18193</v>
      </c>
      <c r="S416">
        <f>IF(O416=O415,Q415+S415,Q416)</f>
        <v>15573.791930000001</v>
      </c>
      <c r="T416">
        <f>IF(O416=O415,T415+1,1)</f>
        <v>1</v>
      </c>
      <c r="U416" t="str">
        <f>IF(O416=O417,"",S416/T416)</f>
        <v/>
      </c>
      <c r="V416" t="str">
        <f>IF(U416="","",IF(ABS(Q416-U416)&gt;V$1,"error",""))</f>
        <v/>
      </c>
    </row>
    <row r="417" spans="1:22" x14ac:dyDescent="0.55000000000000004">
      <c r="A417">
        <v>14393.18</v>
      </c>
      <c r="B417" s="1">
        <v>0.45150000000000001</v>
      </c>
      <c r="C417" s="1">
        <v>0.45150000000000001</v>
      </c>
      <c r="D417" s="2" t="s">
        <v>1515</v>
      </c>
      <c r="E417">
        <v>2</v>
      </c>
      <c r="F417" s="2" t="s">
        <v>1</v>
      </c>
      <c r="G417">
        <v>1</v>
      </c>
      <c r="H417">
        <v>1.5</v>
      </c>
      <c r="I417" s="2" t="s">
        <v>0</v>
      </c>
      <c r="J417">
        <v>2</v>
      </c>
      <c r="K417" s="2" t="s">
        <v>1</v>
      </c>
      <c r="L417">
        <v>1</v>
      </c>
      <c r="M417">
        <v>0.5</v>
      </c>
      <c r="N417" s="2" t="s">
        <v>1580</v>
      </c>
      <c r="O417" t="str">
        <f>D417&amp;"-"&amp;E417&amp;"-"&amp;F417&amp;"-"&amp;G417&amp;"-"&amp;H417</f>
        <v>B-2-f-1-1.5</v>
      </c>
      <c r="P417" t="str">
        <f>I417&amp;"-"&amp;J417&amp;"-"&amp;K417&amp;"-"&amp;L417&amp;"-"&amp;M417</f>
        <v>X-2-f-1-0.5</v>
      </c>
      <c r="Q417">
        <f>A417+R417</f>
        <v>15572.968582</v>
      </c>
      <c r="R417">
        <f>_xlfn.IFNA(VLOOKUP(P417,PGOPHER!A$2:G$181,7,FALSE),_xlfn.IFNA(VLOOKUP(P417,en!A$2:I$768,7,FALSE),-10000))</f>
        <v>1179.7885819999999</v>
      </c>
      <c r="S417">
        <f>IF(O417=O416,Q416+S416,Q417)</f>
        <v>31147.583860000002</v>
      </c>
      <c r="T417">
        <f>IF(O417=O416,T416+1,1)</f>
        <v>2</v>
      </c>
      <c r="U417">
        <f>IF(O417=O418,"",S417/T417)</f>
        <v>15573.791930000001</v>
      </c>
      <c r="V417" t="str">
        <f>IF(U417="","",IF(ABS(Q417-U417)&gt;V$1,"error",""))</f>
        <v>error</v>
      </c>
    </row>
    <row r="418" spans="1:22" x14ac:dyDescent="0.55000000000000004">
      <c r="A418">
        <v>14327.14</v>
      </c>
      <c r="B418" s="1">
        <v>0.1159</v>
      </c>
      <c r="C418" s="1">
        <v>0.1159</v>
      </c>
      <c r="D418" s="2" t="s">
        <v>1515</v>
      </c>
      <c r="E418">
        <v>1</v>
      </c>
      <c r="F418" s="2" t="s">
        <v>2</v>
      </c>
      <c r="G418">
        <v>0</v>
      </c>
      <c r="H418">
        <v>2.5</v>
      </c>
      <c r="I418" s="2" t="s">
        <v>0</v>
      </c>
      <c r="J418">
        <v>1</v>
      </c>
      <c r="K418" s="2" t="s">
        <v>2</v>
      </c>
      <c r="L418">
        <v>0</v>
      </c>
      <c r="M418">
        <v>3.5</v>
      </c>
      <c r="N418" s="2" t="s">
        <v>1668</v>
      </c>
      <c r="O418" t="str">
        <f>D418&amp;"-"&amp;E418&amp;"-"&amp;F418&amp;"-"&amp;G418&amp;"-"&amp;H418</f>
        <v>B-1-e-0-2.5</v>
      </c>
      <c r="P418" t="str">
        <f>I418&amp;"-"&amp;J418&amp;"-"&amp;K418&amp;"-"&amp;L418&amp;"-"&amp;M418</f>
        <v>X-1-e-0-3.5</v>
      </c>
      <c r="Q418">
        <f>A418+R418</f>
        <v>14370.907772999999</v>
      </c>
      <c r="R418">
        <f>_xlfn.IFNA(VLOOKUP(P418,PGOPHER!A$2:G$181,7,FALSE),_xlfn.IFNA(VLOOKUP(P418,en!A$2:I$768,7,FALSE),-10000))</f>
        <v>43.767772999999998</v>
      </c>
      <c r="S418">
        <f>IF(O418=O417,Q417+S417,Q418)</f>
        <v>14370.907772999999</v>
      </c>
      <c r="T418">
        <f>IF(O418=O417,T417+1,1)</f>
        <v>1</v>
      </c>
      <c r="U418" t="str">
        <f>IF(O418=O419,"",S418/T418)</f>
        <v/>
      </c>
      <c r="V418" t="str">
        <f>IF(U418="","",IF(ABS(Q418-U418)&gt;V$1,"error",""))</f>
        <v/>
      </c>
    </row>
    <row r="419" spans="1:22" x14ac:dyDescent="0.55000000000000004">
      <c r="A419">
        <v>14363.79</v>
      </c>
      <c r="B419" s="1">
        <v>0.1159</v>
      </c>
      <c r="C419" s="1">
        <v>0.1159</v>
      </c>
      <c r="D419" s="2" t="s">
        <v>1515</v>
      </c>
      <c r="E419">
        <v>1</v>
      </c>
      <c r="F419" s="2" t="s">
        <v>2</v>
      </c>
      <c r="G419">
        <v>0</v>
      </c>
      <c r="H419">
        <v>2.5</v>
      </c>
      <c r="I419" s="2" t="s">
        <v>0</v>
      </c>
      <c r="J419">
        <v>1</v>
      </c>
      <c r="K419" s="2" t="s">
        <v>2</v>
      </c>
      <c r="L419">
        <v>0</v>
      </c>
      <c r="M419">
        <v>1.5</v>
      </c>
      <c r="N419" s="2" t="s">
        <v>1710</v>
      </c>
      <c r="O419" t="str">
        <f>D419&amp;"-"&amp;E419&amp;"-"&amp;F419&amp;"-"&amp;G419&amp;"-"&amp;H419</f>
        <v>B-1-e-0-2.5</v>
      </c>
      <c r="P419" t="str">
        <f>I419&amp;"-"&amp;J419&amp;"-"&amp;K419&amp;"-"&amp;L419&amp;"-"&amp;M419</f>
        <v>X-1-e-0-1.5</v>
      </c>
      <c r="Q419">
        <f>A419+R419</f>
        <v>14371.118329000001</v>
      </c>
      <c r="R419">
        <f>_xlfn.IFNA(VLOOKUP(P419,PGOPHER!A$2:G$181,7,FALSE),_xlfn.IFNA(VLOOKUP(P419,en!A$2:I$768,7,FALSE),-10000))</f>
        <v>7.3283290000000001</v>
      </c>
      <c r="S419">
        <f>IF(O419=O418,Q418+S418,Q419)</f>
        <v>28741.815545999998</v>
      </c>
      <c r="T419">
        <f>IF(O419=O418,T418+1,1)</f>
        <v>2</v>
      </c>
      <c r="U419">
        <f>IF(O419=O420,"",S419/T419)</f>
        <v>14370.907772999999</v>
      </c>
      <c r="V419" t="str">
        <f>IF(U419="","",IF(ABS(Q419-U419)&gt;V$1,"error",""))</f>
        <v/>
      </c>
    </row>
    <row r="420" spans="1:22" x14ac:dyDescent="0.55000000000000004">
      <c r="A420">
        <v>14348.6</v>
      </c>
      <c r="B420" s="1">
        <v>0.2266</v>
      </c>
      <c r="C420" s="1">
        <v>0.2266</v>
      </c>
      <c r="D420" s="2" t="s">
        <v>1515</v>
      </c>
      <c r="E420">
        <v>1</v>
      </c>
      <c r="F420" s="2" t="s">
        <v>2</v>
      </c>
      <c r="G420">
        <v>1</v>
      </c>
      <c r="H420">
        <v>2.5</v>
      </c>
      <c r="I420" s="2" t="s">
        <v>0</v>
      </c>
      <c r="J420">
        <v>1</v>
      </c>
      <c r="K420" s="2" t="s">
        <v>2</v>
      </c>
      <c r="L420">
        <v>1</v>
      </c>
      <c r="M420">
        <v>3.5</v>
      </c>
      <c r="N420" s="2" t="s">
        <v>1549</v>
      </c>
      <c r="O420" t="str">
        <f>D420&amp;"-"&amp;E420&amp;"-"&amp;F420&amp;"-"&amp;G420&amp;"-"&amp;H420</f>
        <v>B-1-e-1-2.5</v>
      </c>
      <c r="P420" t="str">
        <f>I420&amp;"-"&amp;J420&amp;"-"&amp;K420&amp;"-"&amp;L420&amp;"-"&amp;M420</f>
        <v>X-1-e-1-3.5</v>
      </c>
      <c r="Q420">
        <f>A420+R420</f>
        <v>15564.201130000001</v>
      </c>
      <c r="R420">
        <f>_xlfn.IFNA(VLOOKUP(P420,PGOPHER!A$2:G$181,7,FALSE),_xlfn.IFNA(VLOOKUP(P420,en!A$2:I$768,7,FALSE),-10000))</f>
        <v>1215.60113</v>
      </c>
      <c r="S420">
        <f>IF(O420=O419,Q419+S419,Q420)</f>
        <v>15564.201130000001</v>
      </c>
      <c r="T420">
        <f>IF(O420=O419,T419+1,1)</f>
        <v>1</v>
      </c>
      <c r="U420" t="str">
        <f>IF(O420=O421,"",S420/T420)</f>
        <v/>
      </c>
      <c r="V420" t="str">
        <f>IF(U420="","",IF(ABS(Q420-U420)&gt;V$1,"error",""))</f>
        <v/>
      </c>
    </row>
    <row r="421" spans="1:22" x14ac:dyDescent="0.55000000000000004">
      <c r="A421">
        <v>14383.82</v>
      </c>
      <c r="B421" s="1">
        <v>0.2266</v>
      </c>
      <c r="C421" s="1">
        <v>0.2266</v>
      </c>
      <c r="D421" s="2" t="s">
        <v>1515</v>
      </c>
      <c r="E421">
        <v>1</v>
      </c>
      <c r="F421" s="2" t="s">
        <v>2</v>
      </c>
      <c r="G421">
        <v>1</v>
      </c>
      <c r="H421">
        <v>2.5</v>
      </c>
      <c r="I421" s="2" t="s">
        <v>0</v>
      </c>
      <c r="J421">
        <v>1</v>
      </c>
      <c r="K421" s="2" t="s">
        <v>2</v>
      </c>
      <c r="L421">
        <v>1</v>
      </c>
      <c r="M421">
        <v>1.5</v>
      </c>
      <c r="N421" s="2" t="s">
        <v>1517</v>
      </c>
      <c r="O421" t="str">
        <f>D421&amp;"-"&amp;E421&amp;"-"&amp;F421&amp;"-"&amp;G421&amp;"-"&amp;H421</f>
        <v>B-1-e-1-2.5</v>
      </c>
      <c r="P421" t="str">
        <f>I421&amp;"-"&amp;J421&amp;"-"&amp;K421&amp;"-"&amp;L421&amp;"-"&amp;M421</f>
        <v>X-1-e-1-1.5</v>
      </c>
      <c r="Q421">
        <f>A421+R421</f>
        <v>15563.788535</v>
      </c>
      <c r="R421">
        <f>_xlfn.IFNA(VLOOKUP(P421,PGOPHER!A$2:G$181,7,FALSE),_xlfn.IFNA(VLOOKUP(P421,en!A$2:I$768,7,FALSE),-10000))</f>
        <v>1179.968535</v>
      </c>
      <c r="S421">
        <f>IF(O421=O420,Q420+S420,Q421)</f>
        <v>31128.402260000003</v>
      </c>
      <c r="T421">
        <f>IF(O421=O420,T420+1,1)</f>
        <v>2</v>
      </c>
      <c r="U421">
        <f>IF(O421=O422,"",S421/T421)</f>
        <v>15564.201130000001</v>
      </c>
      <c r="V421" t="str">
        <f>IF(U421="","",IF(ABS(Q421-U421)&gt;V$1,"error",""))</f>
        <v/>
      </c>
    </row>
    <row r="422" spans="1:22" x14ac:dyDescent="0.55000000000000004">
      <c r="A422">
        <v>14354.8</v>
      </c>
      <c r="B422" s="1">
        <v>0.26079999999999998</v>
      </c>
      <c r="C422" s="1">
        <v>0.26079999999999998</v>
      </c>
      <c r="D422" s="2" t="s">
        <v>1515</v>
      </c>
      <c r="E422">
        <v>2</v>
      </c>
      <c r="F422" s="2" t="s">
        <v>1</v>
      </c>
      <c r="G422">
        <v>1</v>
      </c>
      <c r="H422">
        <v>2.5</v>
      </c>
      <c r="I422" s="2" t="s">
        <v>0</v>
      </c>
      <c r="J422">
        <v>2</v>
      </c>
      <c r="K422" s="2" t="s">
        <v>1</v>
      </c>
      <c r="L422">
        <v>1</v>
      </c>
      <c r="M422">
        <v>3.5</v>
      </c>
      <c r="N422" s="2" t="s">
        <v>1597</v>
      </c>
      <c r="O422" t="str">
        <f>D422&amp;"-"&amp;E422&amp;"-"&amp;F422&amp;"-"&amp;G422&amp;"-"&amp;H422</f>
        <v>B-2-f-1-2.5</v>
      </c>
      <c r="P422" t="str">
        <f>I422&amp;"-"&amp;J422&amp;"-"&amp;K422&amp;"-"&amp;L422&amp;"-"&amp;M422</f>
        <v>X-2-f-1-3.5</v>
      </c>
      <c r="Q422">
        <f>A422+R422</f>
        <v>15598.313346999999</v>
      </c>
      <c r="R422">
        <f>_xlfn.IFNA(VLOOKUP(P422,PGOPHER!A$2:G$181,7,FALSE),_xlfn.IFNA(VLOOKUP(P422,en!A$2:I$768,7,FALSE),-10000))</f>
        <v>1243.5133470000001</v>
      </c>
      <c r="S422">
        <f>IF(O422=O421,Q421+S421,Q422)</f>
        <v>15598.313346999999</v>
      </c>
      <c r="T422">
        <f>IF(O422=O421,T421+1,1)</f>
        <v>1</v>
      </c>
      <c r="U422" t="str">
        <f>IF(O422=O423,"",S422/T422)</f>
        <v/>
      </c>
      <c r="V422" t="str">
        <f>IF(U422="","",IF(ABS(Q422-U422)&gt;V$1,"error",""))</f>
        <v/>
      </c>
    </row>
    <row r="423" spans="1:22" x14ac:dyDescent="0.55000000000000004">
      <c r="A423">
        <v>14403.9</v>
      </c>
      <c r="B423" s="1">
        <v>0.26079999999999998</v>
      </c>
      <c r="C423" s="1">
        <v>0.26079999999999998</v>
      </c>
      <c r="D423" s="2" t="s">
        <v>1515</v>
      </c>
      <c r="E423">
        <v>2</v>
      </c>
      <c r="F423" s="2" t="s">
        <v>1</v>
      </c>
      <c r="G423">
        <v>1</v>
      </c>
      <c r="H423">
        <v>2.5</v>
      </c>
      <c r="I423" s="2" t="s">
        <v>0</v>
      </c>
      <c r="J423">
        <v>2</v>
      </c>
      <c r="K423" s="2" t="s">
        <v>1</v>
      </c>
      <c r="L423">
        <v>1</v>
      </c>
      <c r="M423">
        <v>1.5</v>
      </c>
      <c r="N423" s="2" t="s">
        <v>1581</v>
      </c>
      <c r="O423" t="str">
        <f>D423&amp;"-"&amp;E423&amp;"-"&amp;F423&amp;"-"&amp;G423&amp;"-"&amp;H423</f>
        <v>B-2-f-1-2.5</v>
      </c>
      <c r="P423" t="str">
        <f>I423&amp;"-"&amp;J423&amp;"-"&amp;K423&amp;"-"&amp;L423&amp;"-"&amp;M423</f>
        <v>X-2-f-1-1.5</v>
      </c>
      <c r="Q423">
        <f>A423+R423</f>
        <v>15597.837125</v>
      </c>
      <c r="R423">
        <f>_xlfn.IFNA(VLOOKUP(P423,PGOPHER!A$2:G$181,7,FALSE),_xlfn.IFNA(VLOOKUP(P423,en!A$2:I$768,7,FALSE),-10000))</f>
        <v>1193.9371249999999</v>
      </c>
      <c r="S423">
        <f>IF(O423=O422,Q422+S422,Q423)</f>
        <v>31196.626693999999</v>
      </c>
      <c r="T423">
        <f>IF(O423=O422,T422+1,1)</f>
        <v>2</v>
      </c>
      <c r="U423">
        <f>IF(O423=O424,"",S423/T423)</f>
        <v>15598.313346999999</v>
      </c>
      <c r="V423" t="str">
        <f>IF(U423="","",IF(ABS(Q423-U423)&gt;V$1,"error",""))</f>
        <v/>
      </c>
    </row>
    <row r="424" spans="1:22" x14ac:dyDescent="0.55000000000000004">
      <c r="A424">
        <v>14319.6</v>
      </c>
      <c r="B424" s="1">
        <v>0.13059999999999999</v>
      </c>
      <c r="C424" s="1">
        <v>0.13059999999999999</v>
      </c>
      <c r="D424" s="2" t="s">
        <v>1515</v>
      </c>
      <c r="E424">
        <v>1</v>
      </c>
      <c r="F424" s="2" t="s">
        <v>2</v>
      </c>
      <c r="G424">
        <v>0</v>
      </c>
      <c r="H424">
        <v>3.5</v>
      </c>
      <c r="I424" s="2" t="s">
        <v>0</v>
      </c>
      <c r="J424">
        <v>1</v>
      </c>
      <c r="K424" s="2" t="s">
        <v>2</v>
      </c>
      <c r="L424">
        <v>0</v>
      </c>
      <c r="M424">
        <v>4.5</v>
      </c>
      <c r="N424" s="2" t="s">
        <v>1669</v>
      </c>
      <c r="O424" t="str">
        <f>D424&amp;"-"&amp;E424&amp;"-"&amp;F424&amp;"-"&amp;G424&amp;"-"&amp;H424</f>
        <v>B-1-e-0-3.5</v>
      </c>
      <c r="P424" t="str">
        <f>I424&amp;"-"&amp;J424&amp;"-"&amp;K424&amp;"-"&amp;L424&amp;"-"&amp;M424</f>
        <v>X-1-e-0-4.5</v>
      </c>
      <c r="Q424">
        <f>A424+R424</f>
        <v>14392.461504000001</v>
      </c>
      <c r="R424">
        <f>_xlfn.IFNA(VLOOKUP(P424,PGOPHER!A$2:G$181,7,FALSE),_xlfn.IFNA(VLOOKUP(P424,en!A$2:I$768,7,FALSE),-10000))</f>
        <v>72.861503999999996</v>
      </c>
      <c r="S424">
        <f>IF(O424=O423,Q423+S423,Q424)</f>
        <v>14392.461504000001</v>
      </c>
      <c r="T424">
        <f>IF(O424=O423,T423+1,1)</f>
        <v>1</v>
      </c>
      <c r="U424" t="str">
        <f>IF(O424=O425,"",S424/T424)</f>
        <v/>
      </c>
      <c r="V424" t="str">
        <f>IF(U424="","",IF(ABS(Q424-U424)&gt;V$1,"error",""))</f>
        <v/>
      </c>
    </row>
    <row r="425" spans="1:22" x14ac:dyDescent="0.55000000000000004">
      <c r="A425">
        <v>14370.78</v>
      </c>
      <c r="B425" s="1">
        <v>0.13059999999999999</v>
      </c>
      <c r="C425" s="1">
        <v>0.13059999999999999</v>
      </c>
      <c r="D425" s="2" t="s">
        <v>1515</v>
      </c>
      <c r="E425">
        <v>1</v>
      </c>
      <c r="F425" s="2" t="s">
        <v>2</v>
      </c>
      <c r="G425">
        <v>0</v>
      </c>
      <c r="H425">
        <v>3.5</v>
      </c>
      <c r="I425" s="2" t="s">
        <v>0</v>
      </c>
      <c r="J425">
        <v>1</v>
      </c>
      <c r="K425" s="2" t="s">
        <v>2</v>
      </c>
      <c r="L425">
        <v>0</v>
      </c>
      <c r="M425">
        <v>2.5</v>
      </c>
      <c r="N425" s="2" t="s">
        <v>1711</v>
      </c>
      <c r="O425" t="str">
        <f>D425&amp;"-"&amp;E425&amp;"-"&amp;F425&amp;"-"&amp;G425&amp;"-"&amp;H425</f>
        <v>B-1-e-0-3.5</v>
      </c>
      <c r="P425" t="str">
        <f>I425&amp;"-"&amp;J425&amp;"-"&amp;K425&amp;"-"&amp;L425&amp;"-"&amp;M425</f>
        <v>X-1-e-0-2.5</v>
      </c>
      <c r="Q425">
        <f>A425+R425</f>
        <v>14392.699700000001</v>
      </c>
      <c r="R425">
        <f>_xlfn.IFNA(VLOOKUP(P425,PGOPHER!A$2:G$181,7,FALSE),_xlfn.IFNA(VLOOKUP(P425,en!A$2:I$768,7,FALSE),-10000))</f>
        <v>21.919699999999999</v>
      </c>
      <c r="S425">
        <f>IF(O425=O424,Q424+S424,Q425)</f>
        <v>28784.923008000002</v>
      </c>
      <c r="T425">
        <f>IF(O425=O424,T424+1,1)</f>
        <v>2</v>
      </c>
      <c r="U425">
        <f>IF(O425=O426,"",S425/T425)</f>
        <v>14392.461504000001</v>
      </c>
      <c r="V425" t="str">
        <f>IF(U425="","",IF(ABS(Q425-U425)&gt;V$1,"error",""))</f>
        <v/>
      </c>
    </row>
    <row r="426" spans="1:22" x14ac:dyDescent="0.55000000000000004">
      <c r="A426">
        <v>14340.6</v>
      </c>
      <c r="B426" s="1">
        <v>0.62270000000000003</v>
      </c>
      <c r="C426" s="1">
        <v>0.62270000000000003</v>
      </c>
      <c r="D426" s="2" t="s">
        <v>1515</v>
      </c>
      <c r="E426">
        <v>1</v>
      </c>
      <c r="F426" s="2" t="s">
        <v>2</v>
      </c>
      <c r="G426">
        <v>1</v>
      </c>
      <c r="H426">
        <v>3.5</v>
      </c>
      <c r="I426" s="2" t="s">
        <v>0</v>
      </c>
      <c r="J426">
        <v>1</v>
      </c>
      <c r="K426" s="2" t="s">
        <v>2</v>
      </c>
      <c r="L426">
        <v>1</v>
      </c>
      <c r="M426">
        <v>4.5</v>
      </c>
      <c r="N426" s="2" t="s">
        <v>1550</v>
      </c>
      <c r="O426" t="str">
        <f>D426&amp;"-"&amp;E426&amp;"-"&amp;F426&amp;"-"&amp;G426&amp;"-"&amp;H426</f>
        <v>B-1-e-1-3.5</v>
      </c>
      <c r="P426" t="str">
        <f>I426&amp;"-"&amp;J426&amp;"-"&amp;K426&amp;"-"&amp;L426&amp;"-"&amp;M426</f>
        <v>X-1-e-1-4.5</v>
      </c>
      <c r="Q426">
        <f>A426+R426</f>
        <v>15584.651535000001</v>
      </c>
      <c r="R426">
        <f>_xlfn.IFNA(VLOOKUP(P426,PGOPHER!A$2:G$181,7,FALSE),_xlfn.IFNA(VLOOKUP(P426,en!A$2:I$768,7,FALSE),-10000))</f>
        <v>1244.0515350000001</v>
      </c>
      <c r="S426">
        <f>IF(O426=O425,Q425+S425,Q426)</f>
        <v>15584.651535000001</v>
      </c>
      <c r="T426">
        <f>IF(O426=O425,T425+1,1)</f>
        <v>1</v>
      </c>
      <c r="U426" t="str">
        <f>IF(O426=O427,"",S426/T426)</f>
        <v/>
      </c>
      <c r="V426" t="str">
        <f>IF(U426="","",IF(ABS(Q426-U426)&gt;V$1,"error",""))</f>
        <v/>
      </c>
    </row>
    <row r="427" spans="1:22" x14ac:dyDescent="0.55000000000000004">
      <c r="A427">
        <v>14389.28</v>
      </c>
      <c r="B427" s="1">
        <v>0.62270000000000003</v>
      </c>
      <c r="C427" s="1">
        <v>0.62270000000000003</v>
      </c>
      <c r="D427" s="2" t="s">
        <v>1515</v>
      </c>
      <c r="E427">
        <v>1</v>
      </c>
      <c r="F427" s="2" t="s">
        <v>2</v>
      </c>
      <c r="G427">
        <v>1</v>
      </c>
      <c r="H427">
        <v>3.5</v>
      </c>
      <c r="I427" s="2" t="s">
        <v>0</v>
      </c>
      <c r="J427">
        <v>1</v>
      </c>
      <c r="K427" s="2" t="s">
        <v>2</v>
      </c>
      <c r="L427">
        <v>1</v>
      </c>
      <c r="M427">
        <v>2.5</v>
      </c>
      <c r="N427" s="2" t="s">
        <v>1518</v>
      </c>
      <c r="O427" t="str">
        <f>D427&amp;"-"&amp;E427&amp;"-"&amp;F427&amp;"-"&amp;G427&amp;"-"&amp;H427</f>
        <v>B-1-e-1-3.5</v>
      </c>
      <c r="P427" t="str">
        <f>I427&amp;"-"&amp;J427&amp;"-"&amp;K427&amp;"-"&amp;L427&amp;"-"&amp;M427</f>
        <v>X-1-e-1-2.5</v>
      </c>
      <c r="Q427">
        <f>A427+R427</f>
        <v>15583.516820000001</v>
      </c>
      <c r="R427">
        <f>_xlfn.IFNA(VLOOKUP(P427,PGOPHER!A$2:G$181,7,FALSE),_xlfn.IFNA(VLOOKUP(P427,en!A$2:I$768,7,FALSE),-10000))</f>
        <v>1194.2368200000001</v>
      </c>
      <c r="S427">
        <f>IF(O427=O426,Q426+S426,Q427)</f>
        <v>31169.303070000002</v>
      </c>
      <c r="T427">
        <f>IF(O427=O426,T426+1,1)</f>
        <v>2</v>
      </c>
      <c r="U427">
        <f>IF(O427=O428,"",S427/T427)</f>
        <v>15584.651535000001</v>
      </c>
      <c r="V427" t="str">
        <f>IF(U427="","",IF(ABS(Q427-U427)&gt;V$1,"error",""))</f>
        <v>error</v>
      </c>
    </row>
    <row r="428" spans="1:22" x14ac:dyDescent="0.55000000000000004">
      <c r="A428">
        <v>14326.66</v>
      </c>
      <c r="B428" s="1">
        <v>0.01</v>
      </c>
      <c r="C428" s="1">
        <v>0.01</v>
      </c>
      <c r="D428" s="2" t="s">
        <v>1515</v>
      </c>
      <c r="E428">
        <v>2</v>
      </c>
      <c r="F428" s="2" t="s">
        <v>1</v>
      </c>
      <c r="G428">
        <v>0</v>
      </c>
      <c r="H428">
        <v>3.5</v>
      </c>
      <c r="I428" s="2" t="s">
        <v>0</v>
      </c>
      <c r="J428">
        <v>2</v>
      </c>
      <c r="K428" s="2" t="s">
        <v>1</v>
      </c>
      <c r="L428">
        <v>0</v>
      </c>
      <c r="M428">
        <v>4.5</v>
      </c>
      <c r="N428" s="2" t="s">
        <v>1740</v>
      </c>
      <c r="O428" t="str">
        <f>D428&amp;"-"&amp;E428&amp;"-"&amp;F428&amp;"-"&amp;G428&amp;"-"&amp;H428</f>
        <v>B-2-f-0-3.5</v>
      </c>
      <c r="P428" t="str">
        <f>I428&amp;"-"&amp;J428&amp;"-"&amp;K428&amp;"-"&amp;L428&amp;"-"&amp;M428</f>
        <v>X-2-f-0-4.5</v>
      </c>
      <c r="Q428">
        <f>A428+R428</f>
        <v>14435.171082000001</v>
      </c>
      <c r="R428">
        <f>_xlfn.IFNA(VLOOKUP(P428,PGOPHER!A$2:G$181,7,FALSE),_xlfn.IFNA(VLOOKUP(P428,en!A$2:I$768,7,FALSE),-10000))</f>
        <v>108.511082</v>
      </c>
      <c r="S428">
        <f>IF(O428=O427,Q427+S427,Q428)</f>
        <v>14435.171082000001</v>
      </c>
      <c r="T428">
        <f>IF(O428=O427,T427+1,1)</f>
        <v>1</v>
      </c>
      <c r="U428">
        <f>IF(O428=O429,"",S428/T428)</f>
        <v>14435.171082000001</v>
      </c>
      <c r="V428" t="str">
        <f>IF(U428="","",IF(ABS(Q428-U428)&gt;V$1,"error",""))</f>
        <v/>
      </c>
    </row>
    <row r="429" spans="1:22" x14ac:dyDescent="0.55000000000000004">
      <c r="A429">
        <v>14351.28</v>
      </c>
      <c r="B429" s="1">
        <v>0.21909999999999999</v>
      </c>
      <c r="C429" s="1">
        <v>0.21909999999999999</v>
      </c>
      <c r="D429" s="2" t="s">
        <v>1515</v>
      </c>
      <c r="E429">
        <v>2</v>
      </c>
      <c r="F429" s="2" t="s">
        <v>1</v>
      </c>
      <c r="G429">
        <v>1</v>
      </c>
      <c r="H429">
        <v>3.5</v>
      </c>
      <c r="I429" s="2" t="s">
        <v>0</v>
      </c>
      <c r="J429">
        <v>2</v>
      </c>
      <c r="K429" s="2" t="s">
        <v>1</v>
      </c>
      <c r="L429">
        <v>1</v>
      </c>
      <c r="M429">
        <v>4.5</v>
      </c>
      <c r="N429" s="2" t="s">
        <v>1598</v>
      </c>
      <c r="O429" t="str">
        <f>D429&amp;"-"&amp;E429&amp;"-"&amp;F429&amp;"-"&amp;G429&amp;"-"&amp;H429</f>
        <v>B-2-f-1-3.5</v>
      </c>
      <c r="P429" t="str">
        <f>I429&amp;"-"&amp;J429&amp;"-"&amp;K429&amp;"-"&amp;L429&amp;"-"&amp;M429</f>
        <v>X-2-f-1-4.5</v>
      </c>
      <c r="Q429">
        <f>A429+R429</f>
        <v>15630.197466000001</v>
      </c>
      <c r="R429">
        <f>_xlfn.IFNA(VLOOKUP(P429,PGOPHER!A$2:G$181,7,FALSE),_xlfn.IFNA(VLOOKUP(P429,en!A$2:I$768,7,FALSE),-10000))</f>
        <v>1278.9174660000001</v>
      </c>
      <c r="S429">
        <f>IF(O429=O428,Q428+S428,Q429)</f>
        <v>15630.197466000001</v>
      </c>
      <c r="T429">
        <f>IF(O429=O428,T428+1,1)</f>
        <v>1</v>
      </c>
      <c r="U429" t="str">
        <f>IF(O429=O430,"",S429/T429)</f>
        <v/>
      </c>
      <c r="V429" t="str">
        <f>IF(U429="","",IF(ABS(Q429-U429)&gt;V$1,"error",""))</f>
        <v/>
      </c>
    </row>
    <row r="430" spans="1:22" x14ac:dyDescent="0.55000000000000004">
      <c r="A430">
        <v>14414.62</v>
      </c>
      <c r="B430" s="1">
        <v>0.21909999999999999</v>
      </c>
      <c r="C430" s="1">
        <v>0.21909999999999999</v>
      </c>
      <c r="D430" s="2" t="s">
        <v>1515</v>
      </c>
      <c r="E430">
        <v>2</v>
      </c>
      <c r="F430" s="2" t="s">
        <v>1</v>
      </c>
      <c r="G430">
        <v>1</v>
      </c>
      <c r="H430">
        <v>3.5</v>
      </c>
      <c r="I430" s="2" t="s">
        <v>0</v>
      </c>
      <c r="J430">
        <v>2</v>
      </c>
      <c r="K430" s="2" t="s">
        <v>1</v>
      </c>
      <c r="L430">
        <v>1</v>
      </c>
      <c r="M430">
        <v>2.5</v>
      </c>
      <c r="N430" s="2" t="s">
        <v>1582</v>
      </c>
      <c r="O430" t="str">
        <f>D430&amp;"-"&amp;E430&amp;"-"&amp;F430&amp;"-"&amp;G430&amp;"-"&amp;H430</f>
        <v>B-2-f-1-3.5</v>
      </c>
      <c r="P430" t="str">
        <f>I430&amp;"-"&amp;J430&amp;"-"&amp;K430&amp;"-"&amp;L430&amp;"-"&amp;M430</f>
        <v>X-2-f-1-2.5</v>
      </c>
      <c r="Q430">
        <f>A430+R430</f>
        <v>15629.801930000001</v>
      </c>
      <c r="R430">
        <f>_xlfn.IFNA(VLOOKUP(P430,PGOPHER!A$2:G$181,7,FALSE),_xlfn.IFNA(VLOOKUP(P430,en!A$2:I$768,7,FALSE),-10000))</f>
        <v>1215.18193</v>
      </c>
      <c r="S430">
        <f>IF(O430=O429,Q429+S429,Q430)</f>
        <v>31260.394932000003</v>
      </c>
      <c r="T430">
        <f>IF(O430=O429,T429+1,1)</f>
        <v>2</v>
      </c>
      <c r="U430">
        <f>IF(O430=O431,"",S430/T430)</f>
        <v>15630.197466000001</v>
      </c>
      <c r="V430" t="str">
        <f>IF(U430="","",IF(ABS(Q430-U430)&gt;V$1,"error",""))</f>
        <v/>
      </c>
    </row>
    <row r="431" spans="1:22" x14ac:dyDescent="0.55000000000000004">
      <c r="A431">
        <v>14311.54</v>
      </c>
      <c r="B431" s="1">
        <v>1.7940000000000001E-2</v>
      </c>
      <c r="C431" s="1">
        <v>1.7940000000000001E-2</v>
      </c>
      <c r="D431" s="2" t="s">
        <v>1515</v>
      </c>
      <c r="E431">
        <v>1</v>
      </c>
      <c r="F431" s="2" t="s">
        <v>2</v>
      </c>
      <c r="G431">
        <v>0</v>
      </c>
      <c r="H431">
        <v>4.5</v>
      </c>
      <c r="I431" s="2" t="s">
        <v>0</v>
      </c>
      <c r="J431">
        <v>1</v>
      </c>
      <c r="K431" s="2" t="s">
        <v>2</v>
      </c>
      <c r="L431">
        <v>0</v>
      </c>
      <c r="M431">
        <v>5.5</v>
      </c>
      <c r="N431" s="2" t="s">
        <v>1670</v>
      </c>
      <c r="O431" t="str">
        <f>D431&amp;"-"&amp;E431&amp;"-"&amp;F431&amp;"-"&amp;G431&amp;"-"&amp;H431</f>
        <v>B-1-e-0-4.5</v>
      </c>
      <c r="P431" t="str">
        <f>I431&amp;"-"&amp;J431&amp;"-"&amp;K431&amp;"-"&amp;L431&amp;"-"&amp;M431</f>
        <v>X-1-e-0-5.5</v>
      </c>
      <c r="Q431">
        <f>A431+R431</f>
        <v>14420.730175000001</v>
      </c>
      <c r="R431">
        <f>_xlfn.IFNA(VLOOKUP(P431,PGOPHER!A$2:G$181,7,FALSE),_xlfn.IFNA(VLOOKUP(P431,en!A$2:I$768,7,FALSE),-10000))</f>
        <v>109.190175</v>
      </c>
      <c r="S431">
        <f>IF(O431=O430,Q430+S430,Q431)</f>
        <v>14420.730175000001</v>
      </c>
      <c r="T431">
        <f>IF(O431=O430,T430+1,1)</f>
        <v>1</v>
      </c>
      <c r="U431" t="str">
        <f>IF(O431=O432,"",S431/T431)</f>
        <v/>
      </c>
      <c r="V431" t="str">
        <f>IF(U431="","",IF(ABS(Q431-U431)&gt;V$1,"error",""))</f>
        <v/>
      </c>
    </row>
    <row r="432" spans="1:22" x14ac:dyDescent="0.55000000000000004">
      <c r="A432">
        <v>14376.93</v>
      </c>
      <c r="B432" s="1">
        <v>1.7940000000000001E-2</v>
      </c>
      <c r="C432" s="1">
        <v>1.7940000000000001E-2</v>
      </c>
      <c r="D432" s="2" t="s">
        <v>1515</v>
      </c>
      <c r="E432">
        <v>1</v>
      </c>
      <c r="F432" s="2" t="s">
        <v>2</v>
      </c>
      <c r="G432">
        <v>0</v>
      </c>
      <c r="H432">
        <v>4.5</v>
      </c>
      <c r="I432" s="2" t="s">
        <v>0</v>
      </c>
      <c r="J432">
        <v>1</v>
      </c>
      <c r="K432" s="2" t="s">
        <v>2</v>
      </c>
      <c r="L432">
        <v>0</v>
      </c>
      <c r="M432">
        <v>3.5</v>
      </c>
      <c r="N432" s="2" t="s">
        <v>1712</v>
      </c>
      <c r="O432" t="str">
        <f>D432&amp;"-"&amp;E432&amp;"-"&amp;F432&amp;"-"&amp;G432&amp;"-"&amp;H432</f>
        <v>B-1-e-0-4.5</v>
      </c>
      <c r="P432" t="str">
        <f>I432&amp;"-"&amp;J432&amp;"-"&amp;K432&amp;"-"&amp;L432&amp;"-"&amp;M432</f>
        <v>X-1-e-0-3.5</v>
      </c>
      <c r="Q432">
        <f>A432+R432</f>
        <v>14420.697773</v>
      </c>
      <c r="R432">
        <f>_xlfn.IFNA(VLOOKUP(P432,PGOPHER!A$2:G$181,7,FALSE),_xlfn.IFNA(VLOOKUP(P432,en!A$2:I$768,7,FALSE),-10000))</f>
        <v>43.767772999999998</v>
      </c>
      <c r="S432">
        <f>IF(O432=O431,Q431+S431,Q432)</f>
        <v>28841.460350000001</v>
      </c>
      <c r="T432">
        <f>IF(O432=O431,T431+1,1)</f>
        <v>2</v>
      </c>
      <c r="U432">
        <f>IF(O432=O433,"",S432/T432)</f>
        <v>14420.730175000001</v>
      </c>
      <c r="V432" t="str">
        <f>IF(U432="","",IF(ABS(Q432-U432)&gt;V$1,"error",""))</f>
        <v/>
      </c>
    </row>
    <row r="433" spans="1:22" x14ac:dyDescent="0.55000000000000004">
      <c r="A433">
        <v>14332.6</v>
      </c>
      <c r="B433" s="1">
        <v>8.9719999999999994E-2</v>
      </c>
      <c r="C433" s="1">
        <v>8.9719999999999994E-2</v>
      </c>
      <c r="D433" s="2" t="s">
        <v>1515</v>
      </c>
      <c r="E433">
        <v>1</v>
      </c>
      <c r="F433" s="2" t="s">
        <v>2</v>
      </c>
      <c r="G433">
        <v>1</v>
      </c>
      <c r="H433">
        <v>4.5</v>
      </c>
      <c r="I433" s="2" t="s">
        <v>0</v>
      </c>
      <c r="J433">
        <v>1</v>
      </c>
      <c r="K433" s="2" t="s">
        <v>2</v>
      </c>
      <c r="L433">
        <v>1</v>
      </c>
      <c r="M433">
        <v>5.5</v>
      </c>
      <c r="N433" s="2" t="s">
        <v>1551</v>
      </c>
      <c r="O433" t="str">
        <f>D433&amp;"-"&amp;E433&amp;"-"&amp;F433&amp;"-"&amp;G433&amp;"-"&amp;H433</f>
        <v>B-1-e-1-4.5</v>
      </c>
      <c r="P433" t="str">
        <f>I433&amp;"-"&amp;J433&amp;"-"&amp;K433&amp;"-"&amp;L433&amp;"-"&amp;M433</f>
        <v>X-1-e-1-5.5</v>
      </c>
      <c r="Q433">
        <f>A433+R433</f>
        <v>15612.174565000001</v>
      </c>
      <c r="R433">
        <f>_xlfn.IFNA(VLOOKUP(P433,PGOPHER!A$2:G$181,7,FALSE),_xlfn.IFNA(VLOOKUP(P433,en!A$2:I$768,7,FALSE),-10000))</f>
        <v>1279.5745649999999</v>
      </c>
      <c r="S433">
        <f>IF(O433=O432,Q432+S432,Q433)</f>
        <v>15612.174565000001</v>
      </c>
      <c r="T433">
        <f>IF(O433=O432,T432+1,1)</f>
        <v>1</v>
      </c>
      <c r="U433" t="str">
        <f>IF(O433=O434,"",S433/T433)</f>
        <v/>
      </c>
      <c r="V433" t="str">
        <f>IF(U433="","",IF(ABS(Q433-U433)&gt;V$1,"error",""))</f>
        <v/>
      </c>
    </row>
    <row r="434" spans="1:22" x14ac:dyDescent="0.55000000000000004">
      <c r="A434">
        <v>14396.41</v>
      </c>
      <c r="B434" s="1">
        <v>8.9719999999999994E-2</v>
      </c>
      <c r="C434" s="1">
        <v>8.9719999999999994E-2</v>
      </c>
      <c r="D434" s="2" t="s">
        <v>1515</v>
      </c>
      <c r="E434">
        <v>1</v>
      </c>
      <c r="F434" s="2" t="s">
        <v>2</v>
      </c>
      <c r="G434">
        <v>1</v>
      </c>
      <c r="H434">
        <v>4.5</v>
      </c>
      <c r="I434" s="2" t="s">
        <v>0</v>
      </c>
      <c r="J434">
        <v>1</v>
      </c>
      <c r="K434" s="2" t="s">
        <v>2</v>
      </c>
      <c r="L434">
        <v>1</v>
      </c>
      <c r="M434">
        <v>3.5</v>
      </c>
      <c r="N434" s="2" t="s">
        <v>1519</v>
      </c>
      <c r="O434" t="str">
        <f>D434&amp;"-"&amp;E434&amp;"-"&amp;F434&amp;"-"&amp;G434&amp;"-"&amp;H434</f>
        <v>B-1-e-1-4.5</v>
      </c>
      <c r="P434" t="str">
        <f>I434&amp;"-"&amp;J434&amp;"-"&amp;K434&amp;"-"&amp;L434&amp;"-"&amp;M434</f>
        <v>X-1-e-1-3.5</v>
      </c>
      <c r="Q434">
        <f>A434+R434</f>
        <v>15612.011129999999</v>
      </c>
      <c r="R434">
        <f>_xlfn.IFNA(VLOOKUP(P434,PGOPHER!A$2:G$181,7,FALSE),_xlfn.IFNA(VLOOKUP(P434,en!A$2:I$768,7,FALSE),-10000))</f>
        <v>1215.60113</v>
      </c>
      <c r="S434">
        <f>IF(O434=O433,Q433+S433,Q434)</f>
        <v>31224.349130000002</v>
      </c>
      <c r="T434">
        <f>IF(O434=O433,T433+1,1)</f>
        <v>2</v>
      </c>
      <c r="U434">
        <f>IF(O434=O435,"",S434/T434)</f>
        <v>15612.174565000001</v>
      </c>
      <c r="V434" t="str">
        <f>IF(U434="","",IF(ABS(Q434-U434)&gt;V$1,"error",""))</f>
        <v/>
      </c>
    </row>
    <row r="435" spans="1:22" x14ac:dyDescent="0.55000000000000004">
      <c r="A435">
        <v>14323.75</v>
      </c>
      <c r="B435" s="1">
        <v>1.601</v>
      </c>
      <c r="C435" s="1">
        <v>1.601</v>
      </c>
      <c r="D435" s="2" t="s">
        <v>1515</v>
      </c>
      <c r="E435">
        <v>2</v>
      </c>
      <c r="F435" s="2" t="s">
        <v>1</v>
      </c>
      <c r="G435">
        <v>0</v>
      </c>
      <c r="H435">
        <v>4.5</v>
      </c>
      <c r="I435" s="2" t="s">
        <v>0</v>
      </c>
      <c r="J435">
        <v>2</v>
      </c>
      <c r="K435" s="2" t="s">
        <v>1</v>
      </c>
      <c r="L435">
        <v>0</v>
      </c>
      <c r="M435">
        <v>5.5</v>
      </c>
      <c r="N435" s="2" t="s">
        <v>1741</v>
      </c>
      <c r="O435" t="str">
        <f>D435&amp;"-"&amp;E435&amp;"-"&amp;F435&amp;"-"&amp;G435&amp;"-"&amp;H435</f>
        <v>B-2-f-0-4.5</v>
      </c>
      <c r="P435" t="str">
        <f>I435&amp;"-"&amp;J435&amp;"-"&amp;K435&amp;"-"&amp;L435&amp;"-"&amp;M435</f>
        <v>X-2-f-0-5.5</v>
      </c>
      <c r="Q435">
        <f>A435+R435</f>
        <v>14475.683564999999</v>
      </c>
      <c r="R435">
        <f>_xlfn.IFNA(VLOOKUP(P435,PGOPHER!A$2:G$181,7,FALSE),_xlfn.IFNA(VLOOKUP(P435,en!A$2:I$768,7,FALSE),-10000))</f>
        <v>151.93356499999999</v>
      </c>
      <c r="S435">
        <f>IF(O435=O434,Q434+S434,Q435)</f>
        <v>14475.683564999999</v>
      </c>
      <c r="T435">
        <f>IF(O435=O434,T434+1,1)</f>
        <v>1</v>
      </c>
      <c r="U435" t="str">
        <f>IF(O435=O436,"",S435/T435)</f>
        <v/>
      </c>
      <c r="V435" t="str">
        <f>IF(U435="","",IF(ABS(Q435-U435)&gt;V$1,"error",""))</f>
        <v/>
      </c>
    </row>
    <row r="436" spans="1:22" x14ac:dyDescent="0.55000000000000004">
      <c r="A436">
        <v>14406.3</v>
      </c>
      <c r="B436" s="1">
        <v>1.601</v>
      </c>
      <c r="C436" s="1">
        <v>1.601</v>
      </c>
      <c r="D436" s="2" t="s">
        <v>1515</v>
      </c>
      <c r="E436">
        <v>2</v>
      </c>
      <c r="F436" s="2" t="s">
        <v>1</v>
      </c>
      <c r="G436">
        <v>0</v>
      </c>
      <c r="H436">
        <v>4.5</v>
      </c>
      <c r="I436" s="2" t="s">
        <v>0</v>
      </c>
      <c r="J436">
        <v>2</v>
      </c>
      <c r="K436" s="2" t="s">
        <v>1</v>
      </c>
      <c r="L436">
        <v>0</v>
      </c>
      <c r="M436">
        <v>3.5</v>
      </c>
      <c r="N436" s="2" t="s">
        <v>1780</v>
      </c>
      <c r="O436" t="str">
        <f>D436&amp;"-"&amp;E436&amp;"-"&amp;F436&amp;"-"&amp;G436&amp;"-"&amp;H436</f>
        <v>B-2-f-0-4.5</v>
      </c>
      <c r="P436" t="str">
        <f>I436&amp;"-"&amp;J436&amp;"-"&amp;K436&amp;"-"&amp;L436&amp;"-"&amp;M436</f>
        <v>X-2-f-0-3.5</v>
      </c>
      <c r="Q436">
        <f>A436+R436</f>
        <v>14478.604555999998</v>
      </c>
      <c r="R436">
        <f>_xlfn.IFNA(VLOOKUP(P436,PGOPHER!A$2:G$181,7,FALSE),_xlfn.IFNA(VLOOKUP(P436,en!A$2:I$768,7,FALSE),-10000))</f>
        <v>72.304556000000005</v>
      </c>
      <c r="S436">
        <f>IF(O436=O435,Q435+S435,Q436)</f>
        <v>28951.367129999999</v>
      </c>
      <c r="T436">
        <f>IF(O436=O435,T435+1,1)</f>
        <v>2</v>
      </c>
      <c r="U436">
        <f>IF(O436=O437,"",S436/T436)</f>
        <v>14475.683564999999</v>
      </c>
      <c r="V436" t="str">
        <f>IF(U436="","",IF(ABS(Q436-U436)&gt;V$1,"error",""))</f>
        <v>error</v>
      </c>
    </row>
    <row r="437" spans="1:22" x14ac:dyDescent="0.55000000000000004">
      <c r="A437">
        <v>14348.05</v>
      </c>
      <c r="B437" s="1">
        <v>2.0910000000000002E-2</v>
      </c>
      <c r="C437" s="1">
        <v>2.0910000000000002E-2</v>
      </c>
      <c r="D437" s="2" t="s">
        <v>1515</v>
      </c>
      <c r="E437">
        <v>2</v>
      </c>
      <c r="F437" s="2" t="s">
        <v>1</v>
      </c>
      <c r="G437">
        <v>1</v>
      </c>
      <c r="H437">
        <v>4.5</v>
      </c>
      <c r="I437" s="2" t="s">
        <v>0</v>
      </c>
      <c r="J437">
        <v>2</v>
      </c>
      <c r="K437" s="2" t="s">
        <v>1</v>
      </c>
      <c r="L437">
        <v>1</v>
      </c>
      <c r="M437">
        <v>5.5</v>
      </c>
      <c r="N437" s="2" t="s">
        <v>1599</v>
      </c>
      <c r="O437" t="str">
        <f>D437&amp;"-"&amp;E437&amp;"-"&amp;F437&amp;"-"&amp;G437&amp;"-"&amp;H437</f>
        <v>B-2-f-1-4.5</v>
      </c>
      <c r="P437" t="str">
        <f>I437&amp;"-"&amp;J437&amp;"-"&amp;K437&amp;"-"&amp;L437&amp;"-"&amp;M437</f>
        <v>X-2-f-1-5.5</v>
      </c>
      <c r="Q437">
        <f>A437+R437</f>
        <v>15669.431118999999</v>
      </c>
      <c r="R437">
        <f>_xlfn.IFNA(VLOOKUP(P437,PGOPHER!A$2:G$181,7,FALSE),_xlfn.IFNA(VLOOKUP(P437,en!A$2:I$768,7,FALSE),-10000))</f>
        <v>1321.3811189999999</v>
      </c>
      <c r="S437">
        <f>IF(O437=O436,Q436+S436,Q437)</f>
        <v>15669.431118999999</v>
      </c>
      <c r="T437">
        <f>IF(O437=O436,T436+1,1)</f>
        <v>1</v>
      </c>
      <c r="U437" t="str">
        <f>IF(O437=O438,"",S437/T437)</f>
        <v/>
      </c>
      <c r="V437" t="str">
        <f>IF(U437="","",IF(ABS(Q437-U437)&gt;V$1,"error",""))</f>
        <v/>
      </c>
    </row>
    <row r="438" spans="1:22" x14ac:dyDescent="0.55000000000000004">
      <c r="A438">
        <v>14425.88</v>
      </c>
      <c r="B438" s="1">
        <v>2.0910000000000002E-2</v>
      </c>
      <c r="C438" s="1">
        <v>2.0910000000000002E-2</v>
      </c>
      <c r="D438" s="2" t="s">
        <v>1515</v>
      </c>
      <c r="E438">
        <v>2</v>
      </c>
      <c r="F438" s="2" t="s">
        <v>1</v>
      </c>
      <c r="G438">
        <v>1</v>
      </c>
      <c r="H438">
        <v>4.5</v>
      </c>
      <c r="I438" s="2" t="s">
        <v>0</v>
      </c>
      <c r="J438">
        <v>2</v>
      </c>
      <c r="K438" s="2" t="s">
        <v>1</v>
      </c>
      <c r="L438">
        <v>1</v>
      </c>
      <c r="M438">
        <v>3.5</v>
      </c>
      <c r="N438" s="2" t="s">
        <v>1583</v>
      </c>
      <c r="O438" t="str">
        <f>D438&amp;"-"&amp;E438&amp;"-"&amp;F438&amp;"-"&amp;G438&amp;"-"&amp;H438</f>
        <v>B-2-f-1-4.5</v>
      </c>
      <c r="P438" t="str">
        <f>I438&amp;"-"&amp;J438&amp;"-"&amp;K438&amp;"-"&amp;L438&amp;"-"&amp;M438</f>
        <v>X-2-f-1-3.5</v>
      </c>
      <c r="Q438">
        <f>A438+R438</f>
        <v>15669.393346999999</v>
      </c>
      <c r="R438">
        <f>_xlfn.IFNA(VLOOKUP(P438,PGOPHER!A$2:G$181,7,FALSE),_xlfn.IFNA(VLOOKUP(P438,en!A$2:I$768,7,FALSE),-10000))</f>
        <v>1243.5133470000001</v>
      </c>
      <c r="S438">
        <f>IF(O438=O437,Q437+S437,Q438)</f>
        <v>31338.862237999998</v>
      </c>
      <c r="T438">
        <f>IF(O438=O437,T437+1,1)</f>
        <v>2</v>
      </c>
      <c r="U438">
        <f>IF(O438=O439,"",S438/T438)</f>
        <v>15669.431118999999</v>
      </c>
      <c r="V438" t="str">
        <f>IF(U438="","",IF(ABS(Q438-U438)&gt;V$1,"error",""))</f>
        <v/>
      </c>
    </row>
    <row r="439" spans="1:22" x14ac:dyDescent="0.55000000000000004">
      <c r="A439">
        <v>14304.31</v>
      </c>
      <c r="B439" s="1">
        <v>0.01</v>
      </c>
      <c r="C439" s="1">
        <v>0.01</v>
      </c>
      <c r="D439" s="2" t="s">
        <v>1515</v>
      </c>
      <c r="E439">
        <v>1</v>
      </c>
      <c r="F439" s="2" t="s">
        <v>2</v>
      </c>
      <c r="G439">
        <v>0</v>
      </c>
      <c r="H439">
        <v>5.5</v>
      </c>
      <c r="I439" s="2" t="s">
        <v>0</v>
      </c>
      <c r="J439">
        <v>1</v>
      </c>
      <c r="K439" s="2" t="s">
        <v>2</v>
      </c>
      <c r="L439">
        <v>0</v>
      </c>
      <c r="M439">
        <v>6.5</v>
      </c>
      <c r="N439" s="2" t="s">
        <v>1671</v>
      </c>
      <c r="O439" t="str">
        <f>D439&amp;"-"&amp;E439&amp;"-"&amp;F439&amp;"-"&amp;G439&amp;"-"&amp;H439</f>
        <v>B-1-e-0-5.5</v>
      </c>
      <c r="P439" t="str">
        <f>I439&amp;"-"&amp;J439&amp;"-"&amp;K439&amp;"-"&amp;L439&amp;"-"&amp;M439</f>
        <v>X-1-e-0-6.5</v>
      </c>
      <c r="Q439">
        <f>A439+R439</f>
        <v>14457.045627</v>
      </c>
      <c r="R439">
        <f>_xlfn.IFNA(VLOOKUP(P439,PGOPHER!A$2:G$181,7,FALSE),_xlfn.IFNA(VLOOKUP(P439,en!A$2:I$768,7,FALSE),-10000))</f>
        <v>152.73562699999999</v>
      </c>
      <c r="S439">
        <f>IF(O439=O438,Q438+S438,Q439)</f>
        <v>14457.045627</v>
      </c>
      <c r="T439">
        <f>IF(O439=O438,T438+1,1)</f>
        <v>1</v>
      </c>
      <c r="U439" t="str">
        <f>IF(O439=O440,"",S439/T439)</f>
        <v/>
      </c>
      <c r="V439" t="str">
        <f>IF(U439="","",IF(ABS(Q439-U439)&gt;V$1,"error",""))</f>
        <v/>
      </c>
    </row>
    <row r="440" spans="1:22" x14ac:dyDescent="0.55000000000000004">
      <c r="A440">
        <v>14384.2</v>
      </c>
      <c r="B440" s="1">
        <v>0.01</v>
      </c>
      <c r="C440" s="1">
        <v>0.01</v>
      </c>
      <c r="D440" s="2" t="s">
        <v>1515</v>
      </c>
      <c r="E440">
        <v>1</v>
      </c>
      <c r="F440" s="2" t="s">
        <v>2</v>
      </c>
      <c r="G440">
        <v>0</v>
      </c>
      <c r="H440">
        <v>5.5</v>
      </c>
      <c r="I440" s="2" t="s">
        <v>0</v>
      </c>
      <c r="J440">
        <v>1</v>
      </c>
      <c r="K440" s="2" t="s">
        <v>2</v>
      </c>
      <c r="L440">
        <v>0</v>
      </c>
      <c r="M440">
        <v>4.5</v>
      </c>
      <c r="N440" s="2" t="s">
        <v>1713</v>
      </c>
      <c r="O440" t="str">
        <f>D440&amp;"-"&amp;E440&amp;"-"&amp;F440&amp;"-"&amp;G440&amp;"-"&amp;H440</f>
        <v>B-1-e-0-5.5</v>
      </c>
      <c r="P440" t="str">
        <f>I440&amp;"-"&amp;J440&amp;"-"&amp;K440&amp;"-"&amp;L440&amp;"-"&amp;M440</f>
        <v>X-1-e-0-4.5</v>
      </c>
      <c r="Q440">
        <f>A440+R440</f>
        <v>14457.061504000001</v>
      </c>
      <c r="R440">
        <f>_xlfn.IFNA(VLOOKUP(P440,PGOPHER!A$2:G$181,7,FALSE),_xlfn.IFNA(VLOOKUP(P440,en!A$2:I$768,7,FALSE),-10000))</f>
        <v>72.861503999999996</v>
      </c>
      <c r="S440">
        <f>IF(O440=O439,Q439+S439,Q440)</f>
        <v>28914.091253999999</v>
      </c>
      <c r="T440">
        <f>IF(O440=O439,T439+1,1)</f>
        <v>2</v>
      </c>
      <c r="U440">
        <f>IF(O440=O441,"",S440/T440)</f>
        <v>14457.045627</v>
      </c>
      <c r="V440" t="str">
        <f>IF(U440="","",IF(ABS(Q440-U440)&gt;V$1,"error",""))</f>
        <v/>
      </c>
    </row>
    <row r="441" spans="1:22" x14ac:dyDescent="0.55000000000000004">
      <c r="A441">
        <v>14325.77</v>
      </c>
      <c r="B441" s="1">
        <v>1.396E-2</v>
      </c>
      <c r="C441" s="1">
        <v>1.396E-2</v>
      </c>
      <c r="D441" s="2" t="s">
        <v>1515</v>
      </c>
      <c r="E441">
        <v>1</v>
      </c>
      <c r="F441" s="2" t="s">
        <v>2</v>
      </c>
      <c r="G441">
        <v>1</v>
      </c>
      <c r="H441">
        <v>5.5</v>
      </c>
      <c r="I441" s="2" t="s">
        <v>0</v>
      </c>
      <c r="J441">
        <v>1</v>
      </c>
      <c r="K441" s="2" t="s">
        <v>2</v>
      </c>
      <c r="L441">
        <v>1</v>
      </c>
      <c r="M441">
        <v>6.5</v>
      </c>
      <c r="N441" s="2" t="s">
        <v>1552</v>
      </c>
      <c r="O441" t="str">
        <f>D441&amp;"-"&amp;E441&amp;"-"&amp;F441&amp;"-"&amp;G441&amp;"-"&amp;H441</f>
        <v>B-1-e-1-5.5</v>
      </c>
      <c r="P441" t="str">
        <f>I441&amp;"-"&amp;J441&amp;"-"&amp;K441&amp;"-"&amp;L441&amp;"-"&amp;M441</f>
        <v>X-1-e-1-6.5</v>
      </c>
      <c r="Q441">
        <f>A441+R441</f>
        <v>15647.925817000001</v>
      </c>
      <c r="R441">
        <f>_xlfn.IFNA(VLOOKUP(P441,PGOPHER!A$2:G$181,7,FALSE),_xlfn.IFNA(VLOOKUP(P441,en!A$2:I$768,7,FALSE),-10000))</f>
        <v>1322.1558170000001</v>
      </c>
      <c r="S441">
        <f>IF(O441=O440,Q440+S440,Q441)</f>
        <v>15647.925817000001</v>
      </c>
      <c r="T441">
        <f>IF(O441=O440,T440+1,1)</f>
        <v>1</v>
      </c>
      <c r="U441" t="str">
        <f>IF(O441=O442,"",S441/T441)</f>
        <v/>
      </c>
      <c r="V441" t="str">
        <f>IF(U441="","",IF(ABS(Q441-U441)&gt;V$1,"error",""))</f>
        <v/>
      </c>
    </row>
    <row r="442" spans="1:22" x14ac:dyDescent="0.55000000000000004">
      <c r="A442">
        <v>14403.9</v>
      </c>
      <c r="B442" s="1">
        <v>1.396E-2</v>
      </c>
      <c r="C442" s="1">
        <v>1.396E-2</v>
      </c>
      <c r="D442" s="2" t="s">
        <v>1515</v>
      </c>
      <c r="E442">
        <v>1</v>
      </c>
      <c r="F442" s="2" t="s">
        <v>2</v>
      </c>
      <c r="G442">
        <v>1</v>
      </c>
      <c r="H442">
        <v>5.5</v>
      </c>
      <c r="I442" s="2" t="s">
        <v>0</v>
      </c>
      <c r="J442">
        <v>1</v>
      </c>
      <c r="K442" s="2" t="s">
        <v>2</v>
      </c>
      <c r="L442">
        <v>1</v>
      </c>
      <c r="M442">
        <v>4.5</v>
      </c>
      <c r="N442" s="2" t="s">
        <v>1520</v>
      </c>
      <c r="O442" t="str">
        <f>D442&amp;"-"&amp;E442&amp;"-"&amp;F442&amp;"-"&amp;G442&amp;"-"&amp;H442</f>
        <v>B-1-e-1-5.5</v>
      </c>
      <c r="P442" t="str">
        <f>I442&amp;"-"&amp;J442&amp;"-"&amp;K442&amp;"-"&amp;L442&amp;"-"&amp;M442</f>
        <v>X-1-e-1-4.5</v>
      </c>
      <c r="Q442">
        <f>A442+R442</f>
        <v>15647.951535</v>
      </c>
      <c r="R442">
        <f>_xlfn.IFNA(VLOOKUP(P442,PGOPHER!A$2:G$181,7,FALSE),_xlfn.IFNA(VLOOKUP(P442,en!A$2:I$768,7,FALSE),-10000))</f>
        <v>1244.0515350000001</v>
      </c>
      <c r="S442">
        <f>IF(O442=O441,Q441+S441,Q442)</f>
        <v>31295.851634000002</v>
      </c>
      <c r="T442">
        <f>IF(O442=O441,T441+1,1)</f>
        <v>2</v>
      </c>
      <c r="U442">
        <f>IF(O442=O443,"",S442/T442)</f>
        <v>15647.925817000001</v>
      </c>
      <c r="V442" t="str">
        <f>IF(U442="","",IF(ABS(Q442-U442)&gt;V$1,"error",""))</f>
        <v/>
      </c>
    </row>
    <row r="443" spans="1:22" x14ac:dyDescent="0.55000000000000004">
      <c r="A443">
        <v>14321.19</v>
      </c>
      <c r="B443" s="1">
        <v>1.4239999999999999</v>
      </c>
      <c r="C443" s="1">
        <v>1.4239999999999999</v>
      </c>
      <c r="D443" s="2" t="s">
        <v>1515</v>
      </c>
      <c r="E443">
        <v>2</v>
      </c>
      <c r="F443" s="2" t="s">
        <v>1</v>
      </c>
      <c r="G443">
        <v>0</v>
      </c>
      <c r="H443">
        <v>5.5</v>
      </c>
      <c r="I443" s="2" t="s">
        <v>0</v>
      </c>
      <c r="J443">
        <v>2</v>
      </c>
      <c r="K443" s="2" t="s">
        <v>1</v>
      </c>
      <c r="L443">
        <v>0</v>
      </c>
      <c r="M443">
        <v>6.5</v>
      </c>
      <c r="N443" s="2" t="s">
        <v>1742</v>
      </c>
      <c r="O443" t="str">
        <f>D443&amp;"-"&amp;E443&amp;"-"&amp;F443&amp;"-"&amp;G443&amp;"-"&amp;H443</f>
        <v>B-2-f-0-5.5</v>
      </c>
      <c r="P443" t="str">
        <f>I443&amp;"-"&amp;J443&amp;"-"&amp;K443&amp;"-"&amp;L443&amp;"-"&amp;M443</f>
        <v>X-2-f-0-6.5</v>
      </c>
      <c r="Q443">
        <f>A443+R443</f>
        <v>14523.745611</v>
      </c>
      <c r="R443">
        <f>_xlfn.IFNA(VLOOKUP(P443,PGOPHER!A$2:G$181,7,FALSE),_xlfn.IFNA(VLOOKUP(P443,en!A$2:I$768,7,FALSE),-10000))</f>
        <v>202.555611</v>
      </c>
      <c r="S443">
        <f>IF(O443=O442,Q442+S442,Q443)</f>
        <v>14523.745611</v>
      </c>
      <c r="T443">
        <f>IF(O443=O442,T442+1,1)</f>
        <v>1</v>
      </c>
      <c r="U443" t="str">
        <f>IF(O443=O444,"",S443/T443)</f>
        <v/>
      </c>
      <c r="V443" t="str">
        <f>IF(U443="","",IF(ABS(Q443-U443)&gt;V$1,"error",""))</f>
        <v/>
      </c>
    </row>
    <row r="444" spans="1:22" x14ac:dyDescent="0.55000000000000004">
      <c r="A444">
        <v>14417.83</v>
      </c>
      <c r="B444" s="1">
        <v>1.4239999999999999</v>
      </c>
      <c r="C444" s="1">
        <v>1.4239999999999999</v>
      </c>
      <c r="D444" s="2" t="s">
        <v>1515</v>
      </c>
      <c r="E444">
        <v>2</v>
      </c>
      <c r="F444" s="2" t="s">
        <v>1</v>
      </c>
      <c r="G444">
        <v>0</v>
      </c>
      <c r="H444">
        <v>5.5</v>
      </c>
      <c r="I444" s="2" t="s">
        <v>0</v>
      </c>
      <c r="J444">
        <v>2</v>
      </c>
      <c r="K444" s="2" t="s">
        <v>1</v>
      </c>
      <c r="L444">
        <v>0</v>
      </c>
      <c r="M444">
        <v>4.5</v>
      </c>
      <c r="N444" s="2" t="s">
        <v>1781</v>
      </c>
      <c r="O444" t="str">
        <f>D444&amp;"-"&amp;E444&amp;"-"&amp;F444&amp;"-"&amp;G444&amp;"-"&amp;H444</f>
        <v>B-2-f-0-5.5</v>
      </c>
      <c r="P444" t="str">
        <f>I444&amp;"-"&amp;J444&amp;"-"&amp;K444&amp;"-"&amp;L444&amp;"-"&amp;M444</f>
        <v>X-2-f-0-4.5</v>
      </c>
      <c r="Q444">
        <f>A444+R444</f>
        <v>14526.341082000001</v>
      </c>
      <c r="R444">
        <f>_xlfn.IFNA(VLOOKUP(P444,PGOPHER!A$2:G$181,7,FALSE),_xlfn.IFNA(VLOOKUP(P444,en!A$2:I$768,7,FALSE),-10000))</f>
        <v>108.511082</v>
      </c>
      <c r="S444">
        <f>IF(O444=O443,Q443+S443,Q444)</f>
        <v>29047.491222000001</v>
      </c>
      <c r="T444">
        <f>IF(O444=O443,T443+1,1)</f>
        <v>2</v>
      </c>
      <c r="U444">
        <f>IF(O444=O445,"",S444/T444)</f>
        <v>14523.745611</v>
      </c>
      <c r="V444" t="str">
        <f>IF(U444="","",IF(ABS(Q444-U444)&gt;V$1,"error",""))</f>
        <v>error</v>
      </c>
    </row>
    <row r="445" spans="1:22" x14ac:dyDescent="0.55000000000000004">
      <c r="A445">
        <v>14345.29</v>
      </c>
      <c r="B445" s="1">
        <v>7.8729999999999994E-2</v>
      </c>
      <c r="C445" s="1">
        <v>7.8729999999999994E-2</v>
      </c>
      <c r="D445" s="2" t="s">
        <v>1515</v>
      </c>
      <c r="E445">
        <v>2</v>
      </c>
      <c r="F445" s="2" t="s">
        <v>1</v>
      </c>
      <c r="G445">
        <v>1</v>
      </c>
      <c r="H445">
        <v>5.5</v>
      </c>
      <c r="I445" s="2" t="s">
        <v>0</v>
      </c>
      <c r="J445">
        <v>2</v>
      </c>
      <c r="K445" s="2" t="s">
        <v>1</v>
      </c>
      <c r="L445">
        <v>1</v>
      </c>
      <c r="M445">
        <v>6.5</v>
      </c>
      <c r="N445" s="2" t="s">
        <v>1600</v>
      </c>
      <c r="O445" t="str">
        <f>D445&amp;"-"&amp;E445&amp;"-"&amp;F445&amp;"-"&amp;G445&amp;"-"&amp;H445</f>
        <v>B-2-f-1-5.5</v>
      </c>
      <c r="P445" t="str">
        <f>I445&amp;"-"&amp;J445&amp;"-"&amp;K445&amp;"-"&amp;L445&amp;"-"&amp;M445</f>
        <v>X-2-f-1-6.5</v>
      </c>
      <c r="Q445">
        <f>A445+R445</f>
        <v>15716.170521</v>
      </c>
      <c r="R445">
        <f>_xlfn.IFNA(VLOOKUP(P445,PGOPHER!A$2:G$181,7,FALSE),_xlfn.IFNA(VLOOKUP(P445,en!A$2:I$768,7,FALSE),-10000))</f>
        <v>1370.880521</v>
      </c>
      <c r="S445">
        <f>IF(O445=O444,Q444+S444,Q445)</f>
        <v>15716.170521</v>
      </c>
      <c r="T445">
        <f>IF(O445=O444,T444+1,1)</f>
        <v>1</v>
      </c>
      <c r="U445" t="str">
        <f>IF(O445=O446,"",S445/T445)</f>
        <v/>
      </c>
      <c r="V445" t="str">
        <f>IF(U445="","",IF(ABS(Q445-U445)&gt;V$1,"error",""))</f>
        <v/>
      </c>
    </row>
    <row r="446" spans="1:22" x14ac:dyDescent="0.55000000000000004">
      <c r="A446">
        <v>14437.11</v>
      </c>
      <c r="B446" s="1">
        <v>7.8729999999999994E-2</v>
      </c>
      <c r="C446" s="1">
        <v>7.8729999999999994E-2</v>
      </c>
      <c r="D446" s="2" t="s">
        <v>1515</v>
      </c>
      <c r="E446">
        <v>2</v>
      </c>
      <c r="F446" s="2" t="s">
        <v>1</v>
      </c>
      <c r="G446">
        <v>1</v>
      </c>
      <c r="H446">
        <v>5.5</v>
      </c>
      <c r="I446" s="2" t="s">
        <v>0</v>
      </c>
      <c r="J446">
        <v>2</v>
      </c>
      <c r="K446" s="2" t="s">
        <v>1</v>
      </c>
      <c r="L446">
        <v>1</v>
      </c>
      <c r="M446">
        <v>4.5</v>
      </c>
      <c r="N446" s="2" t="s">
        <v>1584</v>
      </c>
      <c r="O446" t="str">
        <f>D446&amp;"-"&amp;E446&amp;"-"&amp;F446&amp;"-"&amp;G446&amp;"-"&amp;H446</f>
        <v>B-2-f-1-5.5</v>
      </c>
      <c r="P446" t="str">
        <f>I446&amp;"-"&amp;J446&amp;"-"&amp;K446&amp;"-"&amp;L446&amp;"-"&amp;M446</f>
        <v>X-2-f-1-4.5</v>
      </c>
      <c r="Q446">
        <f>A446+R446</f>
        <v>15716.027466000001</v>
      </c>
      <c r="R446">
        <f>_xlfn.IFNA(VLOOKUP(P446,PGOPHER!A$2:G$181,7,FALSE),_xlfn.IFNA(VLOOKUP(P446,en!A$2:I$768,7,FALSE),-10000))</f>
        <v>1278.9174660000001</v>
      </c>
      <c r="S446">
        <f>IF(O446=O445,Q445+S445,Q446)</f>
        <v>31432.341042</v>
      </c>
      <c r="T446">
        <f>IF(O446=O445,T445+1,1)</f>
        <v>2</v>
      </c>
      <c r="U446">
        <f>IF(O446=O447,"",S446/T446)</f>
        <v>15716.170521</v>
      </c>
      <c r="V446" t="str">
        <f>IF(U446="","",IF(ABS(Q446-U446)&gt;V$1,"error",""))</f>
        <v/>
      </c>
    </row>
    <row r="447" spans="1:22" x14ac:dyDescent="0.55000000000000004">
      <c r="A447">
        <v>14297.44</v>
      </c>
      <c r="B447" s="1">
        <v>0.01</v>
      </c>
      <c r="C447" s="1">
        <v>0.01</v>
      </c>
      <c r="D447" s="2" t="s">
        <v>1515</v>
      </c>
      <c r="E447">
        <v>1</v>
      </c>
      <c r="F447" s="2" t="s">
        <v>2</v>
      </c>
      <c r="G447">
        <v>0</v>
      </c>
      <c r="H447">
        <v>6.5</v>
      </c>
      <c r="I447" s="2" t="s">
        <v>0</v>
      </c>
      <c r="J447">
        <v>1</v>
      </c>
      <c r="K447" s="2" t="s">
        <v>2</v>
      </c>
      <c r="L447">
        <v>0</v>
      </c>
      <c r="M447">
        <v>7.5</v>
      </c>
      <c r="N447" s="2" t="s">
        <v>1672</v>
      </c>
      <c r="O447" t="str">
        <f>D447&amp;"-"&amp;E447&amp;"-"&amp;F447&amp;"-"&amp;G447&amp;"-"&amp;H447</f>
        <v>B-1-e-0-6.5</v>
      </c>
      <c r="P447" t="str">
        <f>I447&amp;"-"&amp;J447&amp;"-"&amp;K447&amp;"-"&amp;L447&amp;"-"&amp;M447</f>
        <v>X-1-e-0-7.5</v>
      </c>
      <c r="Q447">
        <f>A447+R447</f>
        <v>14500.919523</v>
      </c>
      <c r="R447">
        <f>_xlfn.IFNA(VLOOKUP(P447,PGOPHER!A$2:G$181,7,FALSE),_xlfn.IFNA(VLOOKUP(P447,en!A$2:I$768,7,FALSE),-10000))</f>
        <v>203.479523</v>
      </c>
      <c r="S447">
        <f>IF(O447=O446,Q446+S446,Q447)</f>
        <v>14500.919523</v>
      </c>
      <c r="T447">
        <f>IF(O447=O446,T446+1,1)</f>
        <v>1</v>
      </c>
      <c r="U447" t="str">
        <f>IF(O447=O448,"",S447/T447)</f>
        <v/>
      </c>
      <c r="V447" t="str">
        <f>IF(U447="","",IF(ABS(Q447-U447)&gt;V$1,"error",""))</f>
        <v/>
      </c>
    </row>
    <row r="448" spans="1:22" x14ac:dyDescent="0.55000000000000004">
      <c r="A448">
        <v>14391.73</v>
      </c>
      <c r="B448" s="1">
        <v>0.01</v>
      </c>
      <c r="C448" s="1">
        <v>0.01</v>
      </c>
      <c r="D448" s="2" t="s">
        <v>1515</v>
      </c>
      <c r="E448">
        <v>1</v>
      </c>
      <c r="F448" s="2" t="s">
        <v>2</v>
      </c>
      <c r="G448">
        <v>0</v>
      </c>
      <c r="H448">
        <v>6.5</v>
      </c>
      <c r="I448" s="2" t="s">
        <v>0</v>
      </c>
      <c r="J448">
        <v>1</v>
      </c>
      <c r="K448" s="2" t="s">
        <v>2</v>
      </c>
      <c r="L448">
        <v>0</v>
      </c>
      <c r="M448">
        <v>5.5</v>
      </c>
      <c r="N448" s="2" t="s">
        <v>1714</v>
      </c>
      <c r="O448" t="str">
        <f>D448&amp;"-"&amp;E448&amp;"-"&amp;F448&amp;"-"&amp;G448&amp;"-"&amp;H448</f>
        <v>B-1-e-0-6.5</v>
      </c>
      <c r="P448" t="str">
        <f>I448&amp;"-"&amp;J448&amp;"-"&amp;K448&amp;"-"&amp;L448&amp;"-"&amp;M448</f>
        <v>X-1-e-0-5.5</v>
      </c>
      <c r="Q448">
        <f>A448+R448</f>
        <v>14500.920174999999</v>
      </c>
      <c r="R448">
        <f>_xlfn.IFNA(VLOOKUP(P448,PGOPHER!A$2:G$181,7,FALSE),_xlfn.IFNA(VLOOKUP(P448,en!A$2:I$768,7,FALSE),-10000))</f>
        <v>109.190175</v>
      </c>
      <c r="S448">
        <f>IF(O448=O447,Q447+S447,Q448)</f>
        <v>29001.839046000001</v>
      </c>
      <c r="T448">
        <f>IF(O448=O447,T447+1,1)</f>
        <v>2</v>
      </c>
      <c r="U448">
        <f>IF(O448=O449,"",S448/T448)</f>
        <v>14500.919523</v>
      </c>
      <c r="V448" t="str">
        <f>IF(U448="","",IF(ABS(Q448-U448)&gt;V$1,"error",""))</f>
        <v/>
      </c>
    </row>
    <row r="449" spans="1:22" x14ac:dyDescent="0.55000000000000004">
      <c r="A449">
        <v>14319.06</v>
      </c>
      <c r="B449" s="1">
        <v>6.5629999999999994E-2</v>
      </c>
      <c r="C449" s="1">
        <v>6.5629999999999994E-2</v>
      </c>
      <c r="D449" s="2" t="s">
        <v>1515</v>
      </c>
      <c r="E449">
        <v>1</v>
      </c>
      <c r="F449" s="2" t="s">
        <v>2</v>
      </c>
      <c r="G449">
        <v>1</v>
      </c>
      <c r="H449">
        <v>6.5</v>
      </c>
      <c r="I449" s="2" t="s">
        <v>0</v>
      </c>
      <c r="J449">
        <v>1</v>
      </c>
      <c r="K449" s="2" t="s">
        <v>2</v>
      </c>
      <c r="L449">
        <v>1</v>
      </c>
      <c r="M449">
        <v>7.5</v>
      </c>
      <c r="N449" s="2" t="s">
        <v>1553</v>
      </c>
      <c r="O449" t="str">
        <f>D449&amp;"-"&amp;E449&amp;"-"&amp;F449&amp;"-"&amp;G449&amp;"-"&amp;H449</f>
        <v>B-1-e-1-6.5</v>
      </c>
      <c r="P449" t="str">
        <f>I449&amp;"-"&amp;J449&amp;"-"&amp;K449&amp;"-"&amp;L449&amp;"-"&amp;M449</f>
        <v>X-1-e-1-7.5</v>
      </c>
      <c r="Q449">
        <f>A449+R449</f>
        <v>15690.834095999999</v>
      </c>
      <c r="R449">
        <f>_xlfn.IFNA(VLOOKUP(P449,PGOPHER!A$2:G$181,7,FALSE),_xlfn.IFNA(VLOOKUP(P449,en!A$2:I$768,7,FALSE),-10000))</f>
        <v>1371.7740960000001</v>
      </c>
      <c r="S449">
        <f>IF(O449=O448,Q448+S448,Q449)</f>
        <v>15690.834095999999</v>
      </c>
      <c r="T449">
        <f>IF(O449=O448,T448+1,1)</f>
        <v>1</v>
      </c>
      <c r="U449" t="str">
        <f>IF(O449=O450,"",S449/T449)</f>
        <v/>
      </c>
      <c r="V449" t="str">
        <f>IF(U449="","",IF(ABS(Q449-U449)&gt;V$1,"error",""))</f>
        <v/>
      </c>
    </row>
    <row r="450" spans="1:22" x14ac:dyDescent="0.55000000000000004">
      <c r="A450">
        <v>14411.14</v>
      </c>
      <c r="B450" s="1">
        <v>6.5629999999999994E-2</v>
      </c>
      <c r="C450" s="1">
        <v>6.5629999999999994E-2</v>
      </c>
      <c r="D450" s="2" t="s">
        <v>1515</v>
      </c>
      <c r="E450">
        <v>1</v>
      </c>
      <c r="F450" s="2" t="s">
        <v>2</v>
      </c>
      <c r="G450">
        <v>1</v>
      </c>
      <c r="H450">
        <v>6.5</v>
      </c>
      <c r="I450" s="2" t="s">
        <v>0</v>
      </c>
      <c r="J450">
        <v>1</v>
      </c>
      <c r="K450" s="2" t="s">
        <v>2</v>
      </c>
      <c r="L450">
        <v>1</v>
      </c>
      <c r="M450">
        <v>5.5</v>
      </c>
      <c r="N450" s="2" t="s">
        <v>1521</v>
      </c>
      <c r="O450" t="str">
        <f>D450&amp;"-"&amp;E450&amp;"-"&amp;F450&amp;"-"&amp;G450&amp;"-"&amp;H450</f>
        <v>B-1-e-1-6.5</v>
      </c>
      <c r="P450" t="str">
        <f>I450&amp;"-"&amp;J450&amp;"-"&amp;K450&amp;"-"&amp;L450&amp;"-"&amp;M450</f>
        <v>X-1-e-1-5.5</v>
      </c>
      <c r="Q450">
        <f>A450+R450</f>
        <v>15690.714564999998</v>
      </c>
      <c r="R450">
        <f>_xlfn.IFNA(VLOOKUP(P450,PGOPHER!A$2:G$181,7,FALSE),_xlfn.IFNA(VLOOKUP(P450,en!A$2:I$768,7,FALSE),-10000))</f>
        <v>1279.5745649999999</v>
      </c>
      <c r="S450">
        <f>IF(O450=O449,Q449+S449,Q450)</f>
        <v>31381.668191999997</v>
      </c>
      <c r="T450">
        <f>IF(O450=O449,T449+1,1)</f>
        <v>2</v>
      </c>
      <c r="U450">
        <f>IF(O450=O451,"",S450/T450)</f>
        <v>15690.834095999999</v>
      </c>
      <c r="V450" t="str">
        <f>IF(U450="","",IF(ABS(Q450-U450)&gt;V$1,"error",""))</f>
        <v/>
      </c>
    </row>
    <row r="451" spans="1:22" x14ac:dyDescent="0.55000000000000004">
      <c r="A451">
        <v>14319</v>
      </c>
      <c r="B451" s="1">
        <v>1.2310000000000001</v>
      </c>
      <c r="C451" s="1">
        <v>1.2310000000000001</v>
      </c>
      <c r="D451" s="2" t="s">
        <v>1515</v>
      </c>
      <c r="E451">
        <v>2</v>
      </c>
      <c r="F451" s="2" t="s">
        <v>1</v>
      </c>
      <c r="G451">
        <v>0</v>
      </c>
      <c r="H451">
        <v>6.5</v>
      </c>
      <c r="I451" s="2" t="s">
        <v>0</v>
      </c>
      <c r="J451">
        <v>2</v>
      </c>
      <c r="K451" s="2" t="s">
        <v>1</v>
      </c>
      <c r="L451">
        <v>0</v>
      </c>
      <c r="M451">
        <v>7.5</v>
      </c>
      <c r="N451" s="2" t="s">
        <v>1743</v>
      </c>
      <c r="O451" t="str">
        <f>D451&amp;"-"&amp;E451&amp;"-"&amp;F451&amp;"-"&amp;G451&amp;"-"&amp;H451</f>
        <v>B-2-f-0-6.5</v>
      </c>
      <c r="P451" t="str">
        <f>I451&amp;"-"&amp;J451&amp;"-"&amp;K451&amp;"-"&amp;L451&amp;"-"&amp;M451</f>
        <v>X-2-f-0-7.5</v>
      </c>
      <c r="Q451">
        <f>A451+R451</f>
        <v>14579.352131</v>
      </c>
      <c r="R451">
        <f>_xlfn.IFNA(VLOOKUP(P451,PGOPHER!A$2:G$181,7,FALSE),_xlfn.IFNA(VLOOKUP(P451,en!A$2:I$768,7,FALSE),-10000))</f>
        <v>260.35213099999999</v>
      </c>
      <c r="S451">
        <f>IF(O451=O450,Q450+S450,Q451)</f>
        <v>14579.352131</v>
      </c>
      <c r="T451">
        <f>IF(O451=O450,T450+1,1)</f>
        <v>1</v>
      </c>
      <c r="U451" t="str">
        <f>IF(O451=O452,"",S451/T451)</f>
        <v/>
      </c>
      <c r="V451" t="str">
        <f>IF(U451="","",IF(ABS(Q451-U451)&gt;V$1,"error",""))</f>
        <v/>
      </c>
    </row>
    <row r="452" spans="1:22" x14ac:dyDescent="0.55000000000000004">
      <c r="A452">
        <v>14429.66</v>
      </c>
      <c r="B452" s="1">
        <v>1.2310000000000001</v>
      </c>
      <c r="C452" s="1">
        <v>1.2310000000000001</v>
      </c>
      <c r="D452" s="2" t="s">
        <v>1515</v>
      </c>
      <c r="E452">
        <v>2</v>
      </c>
      <c r="F452" s="2" t="s">
        <v>1</v>
      </c>
      <c r="G452">
        <v>0</v>
      </c>
      <c r="H452">
        <v>6.5</v>
      </c>
      <c r="I452" s="2" t="s">
        <v>0</v>
      </c>
      <c r="J452">
        <v>2</v>
      </c>
      <c r="K452" s="2" t="s">
        <v>1</v>
      </c>
      <c r="L452">
        <v>0</v>
      </c>
      <c r="M452">
        <v>5.5</v>
      </c>
      <c r="N452" s="2" t="s">
        <v>1782</v>
      </c>
      <c r="O452" t="str">
        <f>D452&amp;"-"&amp;E452&amp;"-"&amp;F452&amp;"-"&amp;G452&amp;"-"&amp;H452</f>
        <v>B-2-f-0-6.5</v>
      </c>
      <c r="P452" t="str">
        <f>I452&amp;"-"&amp;J452&amp;"-"&amp;K452&amp;"-"&amp;L452&amp;"-"&amp;M452</f>
        <v>X-2-f-0-5.5</v>
      </c>
      <c r="Q452">
        <f>A452+R452</f>
        <v>14581.593564999999</v>
      </c>
      <c r="R452">
        <f>_xlfn.IFNA(VLOOKUP(P452,PGOPHER!A$2:G$181,7,FALSE),_xlfn.IFNA(VLOOKUP(P452,en!A$2:I$768,7,FALSE),-10000))</f>
        <v>151.93356499999999</v>
      </c>
      <c r="S452">
        <f>IF(O452=O451,Q451+S451,Q452)</f>
        <v>29158.704261999999</v>
      </c>
      <c r="T452">
        <f>IF(O452=O451,T451+1,1)</f>
        <v>2</v>
      </c>
      <c r="U452">
        <f>IF(O452=O453,"",S452/T452)</f>
        <v>14579.352131</v>
      </c>
      <c r="V452" t="str">
        <f>IF(U452="","",IF(ABS(Q452-U452)&gt;V$1,"error",""))</f>
        <v>error</v>
      </c>
    </row>
    <row r="453" spans="1:22" x14ac:dyDescent="0.55000000000000004">
      <c r="A453">
        <v>14343</v>
      </c>
      <c r="B453" s="1">
        <v>9.0749999999999997E-2</v>
      </c>
      <c r="C453" s="1">
        <v>9.0749999999999997E-2</v>
      </c>
      <c r="D453" s="2" t="s">
        <v>1515</v>
      </c>
      <c r="E453">
        <v>2</v>
      </c>
      <c r="F453" s="2" t="s">
        <v>1</v>
      </c>
      <c r="G453">
        <v>1</v>
      </c>
      <c r="H453">
        <v>6.5</v>
      </c>
      <c r="I453" s="2" t="s">
        <v>0</v>
      </c>
      <c r="J453">
        <v>2</v>
      </c>
      <c r="K453" s="2" t="s">
        <v>1</v>
      </c>
      <c r="L453">
        <v>1</v>
      </c>
      <c r="M453">
        <v>7.5</v>
      </c>
      <c r="N453" s="2" t="s">
        <v>1601</v>
      </c>
      <c r="O453" t="str">
        <f>D453&amp;"-"&amp;E453&amp;"-"&amp;F453&amp;"-"&amp;G453&amp;"-"&amp;H453</f>
        <v>B-2-f-1-6.5</v>
      </c>
      <c r="P453" t="str">
        <f>I453&amp;"-"&amp;J453&amp;"-"&amp;K453&amp;"-"&amp;L453&amp;"-"&amp;M453</f>
        <v>X-2-f-1-7.5</v>
      </c>
      <c r="Q453">
        <f>A453+R453</f>
        <v>15770.396508</v>
      </c>
      <c r="R453">
        <f>_xlfn.IFNA(VLOOKUP(P453,PGOPHER!A$2:G$181,7,FALSE),_xlfn.IFNA(VLOOKUP(P453,en!A$2:I$768,7,FALSE),-10000))</f>
        <v>1427.396508</v>
      </c>
      <c r="S453">
        <f>IF(O453=O452,Q452+S452,Q453)</f>
        <v>15770.396508</v>
      </c>
      <c r="T453">
        <f>IF(O453=O452,T452+1,1)</f>
        <v>1</v>
      </c>
      <c r="U453" t="str">
        <f>IF(O453=O454,"",S453/T453)</f>
        <v/>
      </c>
      <c r="V453" t="str">
        <f>IF(U453="","",IF(ABS(Q453-U453)&gt;V$1,"error",""))</f>
        <v/>
      </c>
    </row>
    <row r="454" spans="1:22" x14ac:dyDescent="0.55000000000000004">
      <c r="A454">
        <v>14448.85</v>
      </c>
      <c r="B454" s="1">
        <v>9.0749999999999997E-2</v>
      </c>
      <c r="C454" s="1">
        <v>9.0749999999999997E-2</v>
      </c>
      <c r="D454" s="2" t="s">
        <v>1515</v>
      </c>
      <c r="E454">
        <v>2</v>
      </c>
      <c r="F454" s="2" t="s">
        <v>1</v>
      </c>
      <c r="G454">
        <v>1</v>
      </c>
      <c r="H454">
        <v>6.5</v>
      </c>
      <c r="I454" s="2" t="s">
        <v>0</v>
      </c>
      <c r="J454">
        <v>2</v>
      </c>
      <c r="K454" s="2" t="s">
        <v>1</v>
      </c>
      <c r="L454">
        <v>1</v>
      </c>
      <c r="M454">
        <v>5.5</v>
      </c>
      <c r="N454" s="2" t="s">
        <v>1585</v>
      </c>
      <c r="O454" t="str">
        <f>D454&amp;"-"&amp;E454&amp;"-"&amp;F454&amp;"-"&amp;G454&amp;"-"&amp;H454</f>
        <v>B-2-f-1-6.5</v>
      </c>
      <c r="P454" t="str">
        <f>I454&amp;"-"&amp;J454&amp;"-"&amp;K454&amp;"-"&amp;L454&amp;"-"&amp;M454</f>
        <v>X-2-f-1-5.5</v>
      </c>
      <c r="Q454">
        <f>A454+R454</f>
        <v>15770.231119</v>
      </c>
      <c r="R454">
        <f>_xlfn.IFNA(VLOOKUP(P454,PGOPHER!A$2:G$181,7,FALSE),_xlfn.IFNA(VLOOKUP(P454,en!A$2:I$768,7,FALSE),-10000))</f>
        <v>1321.3811189999999</v>
      </c>
      <c r="S454">
        <f>IF(O454=O453,Q453+S453,Q454)</f>
        <v>31540.793016</v>
      </c>
      <c r="T454">
        <f>IF(O454=O453,T453+1,1)</f>
        <v>2</v>
      </c>
      <c r="U454">
        <f>IF(O454=O455,"",S454/T454)</f>
        <v>15770.396508</v>
      </c>
      <c r="V454" t="str">
        <f>IF(U454="","",IF(ABS(Q454-U454)&gt;V$1,"error",""))</f>
        <v/>
      </c>
    </row>
    <row r="455" spans="1:22" x14ac:dyDescent="0.55000000000000004">
      <c r="A455">
        <v>14290.92</v>
      </c>
      <c r="B455" s="1">
        <v>6.9989999999999997E-2</v>
      </c>
      <c r="C455" s="1">
        <v>6.9989999999999997E-2</v>
      </c>
      <c r="D455" s="2" t="s">
        <v>1515</v>
      </c>
      <c r="E455">
        <v>1</v>
      </c>
      <c r="F455" s="2" t="s">
        <v>2</v>
      </c>
      <c r="G455">
        <v>0</v>
      </c>
      <c r="H455">
        <v>7.5</v>
      </c>
      <c r="I455" s="2" t="s">
        <v>0</v>
      </c>
      <c r="J455">
        <v>1</v>
      </c>
      <c r="K455" s="2" t="s">
        <v>2</v>
      </c>
      <c r="L455">
        <v>0</v>
      </c>
      <c r="M455">
        <v>8.5</v>
      </c>
      <c r="N455" s="2" t="s">
        <v>1673</v>
      </c>
      <c r="O455" t="str">
        <f>D455&amp;"-"&amp;E455&amp;"-"&amp;F455&amp;"-"&amp;G455&amp;"-"&amp;H455</f>
        <v>B-1-e-0-7.5</v>
      </c>
      <c r="P455" t="str">
        <f>I455&amp;"-"&amp;J455&amp;"-"&amp;K455&amp;"-"&amp;L455&amp;"-"&amp;M455</f>
        <v>X-1-e-0-8.5</v>
      </c>
      <c r="Q455">
        <f>A455+R455</f>
        <v>14552.318057</v>
      </c>
      <c r="R455">
        <f>_xlfn.IFNA(VLOOKUP(P455,PGOPHER!A$2:G$181,7,FALSE),_xlfn.IFNA(VLOOKUP(P455,en!A$2:I$768,7,FALSE),-10000))</f>
        <v>261.39805699999999</v>
      </c>
      <c r="S455">
        <f>IF(O455=O454,Q454+S454,Q455)</f>
        <v>14552.318057</v>
      </c>
      <c r="T455">
        <f>IF(O455=O454,T454+1,1)</f>
        <v>1</v>
      </c>
      <c r="U455" t="str">
        <f>IF(O455=O456,"",S455/T455)</f>
        <v/>
      </c>
      <c r="V455" t="str">
        <f>IF(U455="","",IF(ABS(Q455-U455)&gt;V$1,"error",""))</f>
        <v/>
      </c>
    </row>
    <row r="456" spans="1:22" x14ac:dyDescent="0.55000000000000004">
      <c r="A456">
        <v>14399.71</v>
      </c>
      <c r="B456" s="1">
        <v>6.9989999999999997E-2</v>
      </c>
      <c r="C456" s="1">
        <v>6.9989999999999997E-2</v>
      </c>
      <c r="D456" s="2" t="s">
        <v>1515</v>
      </c>
      <c r="E456">
        <v>1</v>
      </c>
      <c r="F456" s="2" t="s">
        <v>2</v>
      </c>
      <c r="G456">
        <v>0</v>
      </c>
      <c r="H456">
        <v>7.5</v>
      </c>
      <c r="I456" s="2" t="s">
        <v>0</v>
      </c>
      <c r="J456">
        <v>1</v>
      </c>
      <c r="K456" s="2" t="s">
        <v>2</v>
      </c>
      <c r="L456">
        <v>0</v>
      </c>
      <c r="M456">
        <v>6.5</v>
      </c>
      <c r="N456" s="2" t="s">
        <v>1715</v>
      </c>
      <c r="O456" t="str">
        <f>D456&amp;"-"&amp;E456&amp;"-"&amp;F456&amp;"-"&amp;G456&amp;"-"&amp;H456</f>
        <v>B-1-e-0-7.5</v>
      </c>
      <c r="P456" t="str">
        <f>I456&amp;"-"&amp;J456&amp;"-"&amp;K456&amp;"-"&amp;L456&amp;"-"&amp;M456</f>
        <v>X-1-e-0-6.5</v>
      </c>
      <c r="Q456">
        <f>A456+R456</f>
        <v>14552.445626999999</v>
      </c>
      <c r="R456">
        <f>_xlfn.IFNA(VLOOKUP(P456,PGOPHER!A$2:G$181,7,FALSE),_xlfn.IFNA(VLOOKUP(P456,en!A$2:I$768,7,FALSE),-10000))</f>
        <v>152.73562699999999</v>
      </c>
      <c r="S456">
        <f>IF(O456=O455,Q455+S455,Q456)</f>
        <v>29104.636114000001</v>
      </c>
      <c r="T456">
        <f>IF(O456=O455,T455+1,1)</f>
        <v>2</v>
      </c>
      <c r="U456">
        <f>IF(O456=O457,"",S456/T456)</f>
        <v>14552.318057</v>
      </c>
      <c r="V456" t="str">
        <f>IF(U456="","",IF(ABS(Q456-U456)&gt;V$1,"error",""))</f>
        <v/>
      </c>
    </row>
    <row r="457" spans="1:22" x14ac:dyDescent="0.55000000000000004">
      <c r="A457">
        <v>14312.34</v>
      </c>
      <c r="B457" s="1">
        <v>7.5620000000000007E-2</v>
      </c>
      <c r="C457" s="1">
        <v>7.5620000000000007E-2</v>
      </c>
      <c r="D457" s="2" t="s">
        <v>1515</v>
      </c>
      <c r="E457">
        <v>1</v>
      </c>
      <c r="F457" s="2" t="s">
        <v>2</v>
      </c>
      <c r="G457">
        <v>1</v>
      </c>
      <c r="H457">
        <v>7.5</v>
      </c>
      <c r="I457" s="2" t="s">
        <v>0</v>
      </c>
      <c r="J457">
        <v>1</v>
      </c>
      <c r="K457" s="2" t="s">
        <v>2</v>
      </c>
      <c r="L457">
        <v>1</v>
      </c>
      <c r="M457">
        <v>8.5</v>
      </c>
      <c r="N457" s="2" t="s">
        <v>1554</v>
      </c>
      <c r="O457" t="str">
        <f>D457&amp;"-"&amp;E457&amp;"-"&amp;F457&amp;"-"&amp;G457&amp;"-"&amp;H457</f>
        <v>B-1-e-1-7.5</v>
      </c>
      <c r="P457" t="str">
        <f>I457&amp;"-"&amp;J457&amp;"-"&amp;K457&amp;"-"&amp;L457&amp;"-"&amp;M457</f>
        <v>X-1-e-1-8.5</v>
      </c>
      <c r="Q457">
        <f>A457+R457</f>
        <v>15740.747656</v>
      </c>
      <c r="R457">
        <f>_xlfn.IFNA(VLOOKUP(P457,PGOPHER!A$2:G$181,7,FALSE),_xlfn.IFNA(VLOOKUP(P457,en!A$2:I$768,7,FALSE),-10000))</f>
        <v>1428.4076560000001</v>
      </c>
      <c r="S457">
        <f>IF(O457=O456,Q456+S456,Q457)</f>
        <v>15740.747656</v>
      </c>
      <c r="T457">
        <f>IF(O457=O456,T456+1,1)</f>
        <v>1</v>
      </c>
      <c r="U457" t="str">
        <f>IF(O457=O458,"",S457/T457)</f>
        <v/>
      </c>
      <c r="V457" t="str">
        <f>IF(U457="","",IF(ABS(Q457-U457)&gt;V$1,"error",""))</f>
        <v/>
      </c>
    </row>
    <row r="458" spans="1:22" x14ac:dyDescent="0.55000000000000004">
      <c r="A458">
        <v>14418.73</v>
      </c>
      <c r="B458" s="1">
        <v>7.5620000000000007E-2</v>
      </c>
      <c r="C458" s="1">
        <v>7.5620000000000007E-2</v>
      </c>
      <c r="D458" s="2" t="s">
        <v>1515</v>
      </c>
      <c r="E458">
        <v>1</v>
      </c>
      <c r="F458" s="2" t="s">
        <v>2</v>
      </c>
      <c r="G458">
        <v>1</v>
      </c>
      <c r="H458">
        <v>7.5</v>
      </c>
      <c r="I458" s="2" t="s">
        <v>0</v>
      </c>
      <c r="J458">
        <v>1</v>
      </c>
      <c r="K458" s="2" t="s">
        <v>2</v>
      </c>
      <c r="L458">
        <v>1</v>
      </c>
      <c r="M458">
        <v>6.5</v>
      </c>
      <c r="N458" s="2" t="s">
        <v>1522</v>
      </c>
      <c r="O458" t="str">
        <f>D458&amp;"-"&amp;E458&amp;"-"&amp;F458&amp;"-"&amp;G458&amp;"-"&amp;H458</f>
        <v>B-1-e-1-7.5</v>
      </c>
      <c r="P458" t="str">
        <f>I458&amp;"-"&amp;J458&amp;"-"&amp;K458&amp;"-"&amp;L458&amp;"-"&amp;M458</f>
        <v>X-1-e-1-6.5</v>
      </c>
      <c r="Q458">
        <f>A458+R458</f>
        <v>15740.885817</v>
      </c>
      <c r="R458">
        <f>_xlfn.IFNA(VLOOKUP(P458,PGOPHER!A$2:G$181,7,FALSE),_xlfn.IFNA(VLOOKUP(P458,en!A$2:I$768,7,FALSE),-10000))</f>
        <v>1322.1558170000001</v>
      </c>
      <c r="S458">
        <f>IF(O458=O457,Q457+S457,Q458)</f>
        <v>31481.495311999999</v>
      </c>
      <c r="T458">
        <f>IF(O458=O457,T457+1,1)</f>
        <v>2</v>
      </c>
      <c r="U458">
        <f>IF(O458=O459,"",S458/T458)</f>
        <v>15740.747656</v>
      </c>
      <c r="V458" t="str">
        <f>IF(U458="","",IF(ABS(Q458-U458)&gt;V$1,"error",""))</f>
        <v/>
      </c>
    </row>
    <row r="459" spans="1:22" x14ac:dyDescent="0.55000000000000004">
      <c r="A459">
        <v>14317.28</v>
      </c>
      <c r="B459" s="1">
        <v>1.006</v>
      </c>
      <c r="C459" s="1">
        <v>1.006</v>
      </c>
      <c r="D459" s="2" t="s">
        <v>1515</v>
      </c>
      <c r="E459">
        <v>2</v>
      </c>
      <c r="F459" s="2" t="s">
        <v>1</v>
      </c>
      <c r="G459">
        <v>0</v>
      </c>
      <c r="H459">
        <v>7.5</v>
      </c>
      <c r="I459" s="2" t="s">
        <v>0</v>
      </c>
      <c r="J459">
        <v>2</v>
      </c>
      <c r="K459" s="2" t="s">
        <v>1</v>
      </c>
      <c r="L459">
        <v>0</v>
      </c>
      <c r="M459">
        <v>8.5</v>
      </c>
      <c r="N459" s="2" t="s">
        <v>1744</v>
      </c>
      <c r="O459" t="str">
        <f>D459&amp;"-"&amp;E459&amp;"-"&amp;F459&amp;"-"&amp;G459&amp;"-"&amp;H459</f>
        <v>B-2-f-0-7.5</v>
      </c>
      <c r="P459" t="str">
        <f>I459&amp;"-"&amp;J459&amp;"-"&amp;K459&amp;"-"&amp;L459&amp;"-"&amp;M459</f>
        <v>X-2-f-0-8.5</v>
      </c>
      <c r="Q459">
        <f>A459+R459</f>
        <v>14642.580726</v>
      </c>
      <c r="R459">
        <f>_xlfn.IFNA(VLOOKUP(P459,PGOPHER!A$2:G$181,7,FALSE),_xlfn.IFNA(VLOOKUP(P459,en!A$2:I$768,7,FALSE),-10000))</f>
        <v>325.300726</v>
      </c>
      <c r="S459">
        <f>IF(O459=O458,Q458+S458,Q459)</f>
        <v>14642.580726</v>
      </c>
      <c r="T459">
        <f>IF(O459=O458,T458+1,1)</f>
        <v>1</v>
      </c>
      <c r="U459" t="str">
        <f>IF(O459=O460,"",S459/T459)</f>
        <v/>
      </c>
      <c r="V459" t="str">
        <f>IF(U459="","",IF(ABS(Q459-U459)&gt;V$1,"error",""))</f>
        <v/>
      </c>
    </row>
    <row r="460" spans="1:22" x14ac:dyDescent="0.55000000000000004">
      <c r="A460">
        <v>14441.86</v>
      </c>
      <c r="B460" s="1">
        <v>1.006</v>
      </c>
      <c r="C460" s="1">
        <v>1.006</v>
      </c>
      <c r="D460" s="2" t="s">
        <v>1515</v>
      </c>
      <c r="E460">
        <v>2</v>
      </c>
      <c r="F460" s="2" t="s">
        <v>1</v>
      </c>
      <c r="G460">
        <v>0</v>
      </c>
      <c r="H460">
        <v>7.5</v>
      </c>
      <c r="I460" s="2" t="s">
        <v>0</v>
      </c>
      <c r="J460">
        <v>2</v>
      </c>
      <c r="K460" s="2" t="s">
        <v>1</v>
      </c>
      <c r="L460">
        <v>0</v>
      </c>
      <c r="M460">
        <v>6.5</v>
      </c>
      <c r="N460" s="2" t="s">
        <v>1783</v>
      </c>
      <c r="O460" t="str">
        <f>D460&amp;"-"&amp;E460&amp;"-"&amp;F460&amp;"-"&amp;G460&amp;"-"&amp;H460</f>
        <v>B-2-f-0-7.5</v>
      </c>
      <c r="P460" t="str">
        <f>I460&amp;"-"&amp;J460&amp;"-"&amp;K460&amp;"-"&amp;L460&amp;"-"&amp;M460</f>
        <v>X-2-f-0-6.5</v>
      </c>
      <c r="Q460">
        <f>A460+R460</f>
        <v>14644.415611</v>
      </c>
      <c r="R460">
        <f>_xlfn.IFNA(VLOOKUP(P460,PGOPHER!A$2:G$181,7,FALSE),_xlfn.IFNA(VLOOKUP(P460,en!A$2:I$768,7,FALSE),-10000))</f>
        <v>202.555611</v>
      </c>
      <c r="S460">
        <f>IF(O460=O459,Q459+S459,Q460)</f>
        <v>29285.161452</v>
      </c>
      <c r="T460">
        <f>IF(O460=O459,T459+1,1)</f>
        <v>2</v>
      </c>
      <c r="U460">
        <f>IF(O460=O461,"",S460/T460)</f>
        <v>14642.580726</v>
      </c>
      <c r="V460" t="str">
        <f>IF(U460="","",IF(ABS(Q460-U460)&gt;V$1,"error",""))</f>
        <v>error</v>
      </c>
    </row>
    <row r="461" spans="1:22" x14ac:dyDescent="0.55000000000000004">
      <c r="A461">
        <v>14340.6</v>
      </c>
      <c r="B461" s="1">
        <v>0.01</v>
      </c>
      <c r="C461" s="1">
        <v>0.01</v>
      </c>
      <c r="D461" s="2" t="s">
        <v>1515</v>
      </c>
      <c r="E461">
        <v>2</v>
      </c>
      <c r="F461" s="2" t="s">
        <v>1</v>
      </c>
      <c r="G461">
        <v>1</v>
      </c>
      <c r="H461">
        <v>7.5</v>
      </c>
      <c r="I461" s="2" t="s">
        <v>0</v>
      </c>
      <c r="J461">
        <v>2</v>
      </c>
      <c r="K461" s="2" t="s">
        <v>1</v>
      </c>
      <c r="L461">
        <v>1</v>
      </c>
      <c r="M461">
        <v>8.5</v>
      </c>
      <c r="N461" s="2" t="s">
        <v>1602</v>
      </c>
      <c r="O461" t="str">
        <f>D461&amp;"-"&amp;E461&amp;"-"&amp;F461&amp;"-"&amp;G461&amp;"-"&amp;H461</f>
        <v>B-2-f-1-7.5</v>
      </c>
      <c r="P461" t="str">
        <f>I461&amp;"-"&amp;J461&amp;"-"&amp;K461&amp;"-"&amp;L461&amp;"-"&amp;M461</f>
        <v>X-2-f-1-8.5</v>
      </c>
      <c r="Q461">
        <f>A461+R461</f>
        <v>15831.501885</v>
      </c>
      <c r="R461">
        <f>_xlfn.IFNA(VLOOKUP(P461,PGOPHER!A$2:G$181,7,FALSE),_xlfn.IFNA(VLOOKUP(P461,en!A$2:I$768,7,FALSE),-10000))</f>
        <v>1490.901885</v>
      </c>
      <c r="S461">
        <f>IF(O461=O460,Q460+S460,Q461)</f>
        <v>15831.501885</v>
      </c>
      <c r="T461">
        <f>IF(O461=O460,T460+1,1)</f>
        <v>1</v>
      </c>
      <c r="U461" t="str">
        <f>IF(O461=O462,"",S461/T461)</f>
        <v/>
      </c>
      <c r="V461" t="str">
        <f>IF(U461="","",IF(ABS(Q461-U461)&gt;V$1,"error",""))</f>
        <v/>
      </c>
    </row>
    <row r="462" spans="1:22" x14ac:dyDescent="0.55000000000000004">
      <c r="A462">
        <v>14460.63</v>
      </c>
      <c r="B462" s="1">
        <v>0.01</v>
      </c>
      <c r="C462" s="1">
        <v>0.01</v>
      </c>
      <c r="D462" s="2" t="s">
        <v>1515</v>
      </c>
      <c r="E462">
        <v>2</v>
      </c>
      <c r="F462" s="2" t="s">
        <v>1</v>
      </c>
      <c r="G462">
        <v>1</v>
      </c>
      <c r="H462">
        <v>7.5</v>
      </c>
      <c r="I462" s="2" t="s">
        <v>0</v>
      </c>
      <c r="J462">
        <v>2</v>
      </c>
      <c r="K462" s="2" t="s">
        <v>1</v>
      </c>
      <c r="L462">
        <v>1</v>
      </c>
      <c r="M462">
        <v>6.5</v>
      </c>
      <c r="N462" s="2" t="s">
        <v>1586</v>
      </c>
      <c r="O462" t="str">
        <f>D462&amp;"-"&amp;E462&amp;"-"&amp;F462&amp;"-"&amp;G462&amp;"-"&amp;H462</f>
        <v>B-2-f-1-7.5</v>
      </c>
      <c r="P462" t="str">
        <f>I462&amp;"-"&amp;J462&amp;"-"&amp;K462&amp;"-"&amp;L462&amp;"-"&amp;M462</f>
        <v>X-2-f-1-6.5</v>
      </c>
      <c r="Q462">
        <f>A462+R462</f>
        <v>15831.510521</v>
      </c>
      <c r="R462">
        <f>_xlfn.IFNA(VLOOKUP(P462,PGOPHER!A$2:G$181,7,FALSE),_xlfn.IFNA(VLOOKUP(P462,en!A$2:I$768,7,FALSE),-10000))</f>
        <v>1370.880521</v>
      </c>
      <c r="S462">
        <f>IF(O462=O461,Q461+S461,Q462)</f>
        <v>31663.003769999999</v>
      </c>
      <c r="T462">
        <f>IF(O462=O461,T461+1,1)</f>
        <v>2</v>
      </c>
      <c r="U462">
        <f>IF(O462=O463,"",S462/T462)</f>
        <v>15831.501885</v>
      </c>
      <c r="V462" t="str">
        <f>IF(U462="","",IF(ABS(Q462-U462)&gt;V$1,"error",""))</f>
        <v/>
      </c>
    </row>
    <row r="463" spans="1:22" x14ac:dyDescent="0.55000000000000004">
      <c r="A463">
        <v>14285.01</v>
      </c>
      <c r="B463" s="1">
        <v>1.7500000000000002E-2</v>
      </c>
      <c r="C463" s="1">
        <v>1.7500000000000002E-2</v>
      </c>
      <c r="D463" s="2" t="s">
        <v>1515</v>
      </c>
      <c r="E463">
        <v>1</v>
      </c>
      <c r="F463" s="2" t="s">
        <v>2</v>
      </c>
      <c r="G463">
        <v>0</v>
      </c>
      <c r="H463">
        <v>8.5</v>
      </c>
      <c r="I463" s="2" t="s">
        <v>0</v>
      </c>
      <c r="J463">
        <v>1</v>
      </c>
      <c r="K463" s="2" t="s">
        <v>2</v>
      </c>
      <c r="L463">
        <v>0</v>
      </c>
      <c r="M463">
        <v>9.5</v>
      </c>
      <c r="N463" s="2" t="s">
        <v>1674</v>
      </c>
      <c r="O463" t="str">
        <f>D463&amp;"-"&amp;E463&amp;"-"&amp;F463&amp;"-"&amp;G463&amp;"-"&amp;H463</f>
        <v>B-1-e-0-8.5</v>
      </c>
      <c r="P463" t="str">
        <f>I463&amp;"-"&amp;J463&amp;"-"&amp;K463&amp;"-"&amp;L463&amp;"-"&amp;M463</f>
        <v>X-1-e-0-9.5</v>
      </c>
      <c r="Q463">
        <f>A463+R463</f>
        <v>14611.477618000001</v>
      </c>
      <c r="R463">
        <f>_xlfn.IFNA(VLOOKUP(P463,PGOPHER!A$2:G$181,7,FALSE),_xlfn.IFNA(VLOOKUP(P463,en!A$2:I$768,7,FALSE),-10000))</f>
        <v>326.46761800000002</v>
      </c>
      <c r="S463">
        <f>IF(O463=O462,Q462+S462,Q463)</f>
        <v>14611.477618000001</v>
      </c>
      <c r="T463">
        <f>IF(O463=O462,T462+1,1)</f>
        <v>1</v>
      </c>
      <c r="U463" t="str">
        <f>IF(O463=O464,"",S463/T463)</f>
        <v/>
      </c>
      <c r="V463" t="str">
        <f>IF(U463="","",IF(ABS(Q463-U463)&gt;V$1,"error",""))</f>
        <v/>
      </c>
    </row>
    <row r="464" spans="1:22" x14ac:dyDescent="0.55000000000000004">
      <c r="A464">
        <v>14408.03</v>
      </c>
      <c r="B464" s="1">
        <v>1.7500000000000002E-2</v>
      </c>
      <c r="C464" s="1">
        <v>1.7500000000000002E-2</v>
      </c>
      <c r="D464" s="2" t="s">
        <v>1515</v>
      </c>
      <c r="E464">
        <v>1</v>
      </c>
      <c r="F464" s="2" t="s">
        <v>2</v>
      </c>
      <c r="G464">
        <v>0</v>
      </c>
      <c r="H464">
        <v>8.5</v>
      </c>
      <c r="I464" s="2" t="s">
        <v>0</v>
      </c>
      <c r="J464">
        <v>1</v>
      </c>
      <c r="K464" s="2" t="s">
        <v>2</v>
      </c>
      <c r="L464">
        <v>0</v>
      </c>
      <c r="M464">
        <v>7.5</v>
      </c>
      <c r="N464" s="2" t="s">
        <v>1716</v>
      </c>
      <c r="O464" t="str">
        <f>D464&amp;"-"&amp;E464&amp;"-"&amp;F464&amp;"-"&amp;G464&amp;"-"&amp;H464</f>
        <v>B-1-e-0-8.5</v>
      </c>
      <c r="P464" t="str">
        <f>I464&amp;"-"&amp;J464&amp;"-"&amp;K464&amp;"-"&amp;L464&amp;"-"&amp;M464</f>
        <v>X-1-e-0-7.5</v>
      </c>
      <c r="Q464">
        <f>A464+R464</f>
        <v>14611.509523000001</v>
      </c>
      <c r="R464">
        <f>_xlfn.IFNA(VLOOKUP(P464,PGOPHER!A$2:G$181,7,FALSE),_xlfn.IFNA(VLOOKUP(P464,en!A$2:I$768,7,FALSE),-10000))</f>
        <v>203.479523</v>
      </c>
      <c r="S464">
        <f>IF(O464=O463,Q463+S463,Q464)</f>
        <v>29222.955236000002</v>
      </c>
      <c r="T464">
        <f>IF(O464=O463,T463+1,1)</f>
        <v>2</v>
      </c>
      <c r="U464">
        <f>IF(O464=O465,"",S464/T464)</f>
        <v>14611.477618000001</v>
      </c>
      <c r="V464" t="str">
        <f>IF(U464="","",IF(ABS(Q464-U464)&gt;V$1,"error",""))</f>
        <v/>
      </c>
    </row>
    <row r="465" spans="1:22" x14ac:dyDescent="0.55000000000000004">
      <c r="A465">
        <v>14306.51</v>
      </c>
      <c r="B465" s="1">
        <v>1.9709999999999998E-2</v>
      </c>
      <c r="C465" s="1">
        <v>1.9709999999999998E-2</v>
      </c>
      <c r="D465" s="2" t="s">
        <v>1515</v>
      </c>
      <c r="E465">
        <v>1</v>
      </c>
      <c r="F465" s="2" t="s">
        <v>2</v>
      </c>
      <c r="G465">
        <v>1</v>
      </c>
      <c r="H465">
        <v>8.5</v>
      </c>
      <c r="I465" s="2" t="s">
        <v>0</v>
      </c>
      <c r="J465">
        <v>1</v>
      </c>
      <c r="K465" s="2" t="s">
        <v>2</v>
      </c>
      <c r="L465">
        <v>1</v>
      </c>
      <c r="M465">
        <v>9.5</v>
      </c>
      <c r="N465" s="2" t="s">
        <v>1555</v>
      </c>
      <c r="O465" t="str">
        <f>D465&amp;"-"&amp;E465&amp;"-"&amp;F465&amp;"-"&amp;G465&amp;"-"&amp;H465</f>
        <v>B-1-e-1-8.5</v>
      </c>
      <c r="P465" t="str">
        <f>I465&amp;"-"&amp;J465&amp;"-"&amp;K465&amp;"-"&amp;L465&amp;"-"&amp;M465</f>
        <v>X-1-e-1-9.5</v>
      </c>
      <c r="Q465">
        <f>A465+R465</f>
        <v>15798.539757</v>
      </c>
      <c r="R465">
        <f>_xlfn.IFNA(VLOOKUP(P465,PGOPHER!A$2:G$181,7,FALSE),_xlfn.IFNA(VLOOKUP(P465,en!A$2:I$768,7,FALSE),-10000))</f>
        <v>1492.029757</v>
      </c>
      <c r="S465">
        <f>IF(O465=O464,Q464+S464,Q465)</f>
        <v>15798.539757</v>
      </c>
      <c r="T465">
        <f>IF(O465=O464,T464+1,1)</f>
        <v>1</v>
      </c>
      <c r="U465" t="str">
        <f>IF(O465=O466,"",S465/T465)</f>
        <v/>
      </c>
      <c r="V465" t="str">
        <f>IF(U465="","",IF(ABS(Q465-U465)&gt;V$1,"error",""))</f>
        <v/>
      </c>
    </row>
    <row r="466" spans="1:22" x14ac:dyDescent="0.55000000000000004">
      <c r="A466">
        <v>14426.73</v>
      </c>
      <c r="B466" s="1">
        <v>1.9709999999999998E-2</v>
      </c>
      <c r="C466" s="1">
        <v>1.9709999999999998E-2</v>
      </c>
      <c r="D466" s="2" t="s">
        <v>1515</v>
      </c>
      <c r="E466">
        <v>1</v>
      </c>
      <c r="F466" s="2" t="s">
        <v>2</v>
      </c>
      <c r="G466">
        <v>1</v>
      </c>
      <c r="H466">
        <v>8.5</v>
      </c>
      <c r="I466" s="2" t="s">
        <v>0</v>
      </c>
      <c r="J466">
        <v>1</v>
      </c>
      <c r="K466" s="2" t="s">
        <v>2</v>
      </c>
      <c r="L466">
        <v>1</v>
      </c>
      <c r="M466">
        <v>7.5</v>
      </c>
      <c r="N466" s="2" t="s">
        <v>1523</v>
      </c>
      <c r="O466" t="str">
        <f>D466&amp;"-"&amp;E466&amp;"-"&amp;F466&amp;"-"&amp;G466&amp;"-"&amp;H466</f>
        <v>B-1-e-1-8.5</v>
      </c>
      <c r="P466" t="str">
        <f>I466&amp;"-"&amp;J466&amp;"-"&amp;K466&amp;"-"&amp;L466&amp;"-"&amp;M466</f>
        <v>X-1-e-1-7.5</v>
      </c>
      <c r="Q466">
        <f>A466+R466</f>
        <v>15798.504096000001</v>
      </c>
      <c r="R466">
        <f>_xlfn.IFNA(VLOOKUP(P466,PGOPHER!A$2:G$181,7,FALSE),_xlfn.IFNA(VLOOKUP(P466,en!A$2:I$768,7,FALSE),-10000))</f>
        <v>1371.7740960000001</v>
      </c>
      <c r="S466">
        <f>IF(O466=O465,Q465+S465,Q466)</f>
        <v>31597.079514000001</v>
      </c>
      <c r="T466">
        <f>IF(O466=O465,T465+1,1)</f>
        <v>2</v>
      </c>
      <c r="U466">
        <f>IF(O466=O467,"",S466/T466)</f>
        <v>15798.539757</v>
      </c>
      <c r="V466" t="str">
        <f>IF(U466="","",IF(ABS(Q466-U466)&gt;V$1,"error",""))</f>
        <v/>
      </c>
    </row>
    <row r="467" spans="1:22" x14ac:dyDescent="0.55000000000000004">
      <c r="A467">
        <v>14315.85</v>
      </c>
      <c r="B467" s="1">
        <v>0.82420000000000004</v>
      </c>
      <c r="C467" s="1">
        <v>0.82420000000000004</v>
      </c>
      <c r="D467" s="2" t="s">
        <v>1515</v>
      </c>
      <c r="E467">
        <v>2</v>
      </c>
      <c r="F467" s="2" t="s">
        <v>1</v>
      </c>
      <c r="G467">
        <v>0</v>
      </c>
      <c r="H467">
        <v>8.5</v>
      </c>
      <c r="I467" s="2" t="s">
        <v>0</v>
      </c>
      <c r="J467">
        <v>2</v>
      </c>
      <c r="K467" s="2" t="s">
        <v>1</v>
      </c>
      <c r="L467">
        <v>0</v>
      </c>
      <c r="M467">
        <v>9.5</v>
      </c>
      <c r="N467" s="2" t="s">
        <v>1745</v>
      </c>
      <c r="O467" t="str">
        <f>D467&amp;"-"&amp;E467&amp;"-"&amp;F467&amp;"-"&amp;G467&amp;"-"&amp;H467</f>
        <v>B-2-f-0-8.5</v>
      </c>
      <c r="P467" t="str">
        <f>I467&amp;"-"&amp;J467&amp;"-"&amp;K467&amp;"-"&amp;L467&amp;"-"&amp;M467</f>
        <v>X-2-f-0-9.5</v>
      </c>
      <c r="Q467">
        <f>A467+R467</f>
        <v>14713.218604</v>
      </c>
      <c r="R467">
        <f>_xlfn.IFNA(VLOOKUP(P467,PGOPHER!A$2:G$181,7,FALSE),_xlfn.IFNA(VLOOKUP(P467,en!A$2:I$768,7,FALSE),-10000))</f>
        <v>397.368604</v>
      </c>
      <c r="S467">
        <f>IF(O467=O466,Q466+S466,Q467)</f>
        <v>14713.218604</v>
      </c>
      <c r="T467">
        <f>IF(O467=O466,T466+1,1)</f>
        <v>1</v>
      </c>
      <c r="U467" t="str">
        <f>IF(O467=O468,"",S467/T467)</f>
        <v/>
      </c>
      <c r="V467" t="str">
        <f>IF(U467="","",IF(ABS(Q467-U467)&gt;V$1,"error",""))</f>
        <v/>
      </c>
    </row>
    <row r="468" spans="1:22" x14ac:dyDescent="0.55000000000000004">
      <c r="A468">
        <v>14454.37</v>
      </c>
      <c r="B468" s="1">
        <v>0.82420000000000004</v>
      </c>
      <c r="C468" s="1">
        <v>0.82420000000000004</v>
      </c>
      <c r="D468" s="2" t="s">
        <v>1515</v>
      </c>
      <c r="E468">
        <v>2</v>
      </c>
      <c r="F468" s="2" t="s">
        <v>1</v>
      </c>
      <c r="G468">
        <v>0</v>
      </c>
      <c r="H468">
        <v>8.5</v>
      </c>
      <c r="I468" s="2" t="s">
        <v>0</v>
      </c>
      <c r="J468">
        <v>2</v>
      </c>
      <c r="K468" s="2" t="s">
        <v>1</v>
      </c>
      <c r="L468">
        <v>0</v>
      </c>
      <c r="M468">
        <v>7.5</v>
      </c>
      <c r="N468" s="2" t="s">
        <v>1784</v>
      </c>
      <c r="O468" t="str">
        <f>D468&amp;"-"&amp;E468&amp;"-"&amp;F468&amp;"-"&amp;G468&amp;"-"&amp;H468</f>
        <v>B-2-f-0-8.5</v>
      </c>
      <c r="P468" t="str">
        <f>I468&amp;"-"&amp;J468&amp;"-"&amp;K468&amp;"-"&amp;L468&amp;"-"&amp;M468</f>
        <v>X-2-f-0-7.5</v>
      </c>
      <c r="Q468">
        <f>A468+R468</f>
        <v>14714.722131</v>
      </c>
      <c r="R468">
        <f>_xlfn.IFNA(VLOOKUP(P468,PGOPHER!A$2:G$181,7,FALSE),_xlfn.IFNA(VLOOKUP(P468,en!A$2:I$768,7,FALSE),-10000))</f>
        <v>260.35213099999999</v>
      </c>
      <c r="S468">
        <f>IF(O468=O467,Q467+S467,Q468)</f>
        <v>29426.437207999999</v>
      </c>
      <c r="T468">
        <f>IF(O468=O467,T467+1,1)</f>
        <v>2</v>
      </c>
      <c r="U468">
        <f>IF(O468=O469,"",S468/T468)</f>
        <v>14713.218604</v>
      </c>
      <c r="V468" t="str">
        <f>IF(U468="","",IF(ABS(Q468-U468)&gt;V$1,"error",""))</f>
        <v>error</v>
      </c>
    </row>
    <row r="469" spans="1:22" x14ac:dyDescent="0.55000000000000004">
      <c r="A469">
        <v>14338.6</v>
      </c>
      <c r="B469" s="1">
        <v>8.5580000000000003E-2</v>
      </c>
      <c r="C469" s="1">
        <v>8.5580000000000003E-2</v>
      </c>
      <c r="D469" s="2" t="s">
        <v>1515</v>
      </c>
      <c r="E469">
        <v>2</v>
      </c>
      <c r="F469" s="2" t="s">
        <v>1</v>
      </c>
      <c r="G469">
        <v>1</v>
      </c>
      <c r="H469">
        <v>8.5</v>
      </c>
      <c r="I469" s="2" t="s">
        <v>0</v>
      </c>
      <c r="J469">
        <v>2</v>
      </c>
      <c r="K469" s="2" t="s">
        <v>1</v>
      </c>
      <c r="L469">
        <v>1</v>
      </c>
      <c r="M469">
        <v>9.5</v>
      </c>
      <c r="N469" s="2" t="s">
        <v>1603</v>
      </c>
      <c r="O469" t="str">
        <f>D469&amp;"-"&amp;E469&amp;"-"&amp;F469&amp;"-"&amp;G469&amp;"-"&amp;H469</f>
        <v>B-2-f-1-8.5</v>
      </c>
      <c r="P469" t="str">
        <f>I469&amp;"-"&amp;J469&amp;"-"&amp;K469&amp;"-"&amp;L469&amp;"-"&amp;M469</f>
        <v>X-2-f-1-9.5</v>
      </c>
      <c r="Q469">
        <f>A469+R469</f>
        <v>15899.970214000001</v>
      </c>
      <c r="R469">
        <f>_xlfn.IFNA(VLOOKUP(P469,PGOPHER!A$2:G$181,7,FALSE),_xlfn.IFNA(VLOOKUP(P469,en!A$2:I$768,7,FALSE),-10000))</f>
        <v>1561.370214</v>
      </c>
      <c r="S469">
        <f>IF(O469=O468,Q468+S468,Q469)</f>
        <v>15899.970214000001</v>
      </c>
      <c r="T469">
        <f>IF(O469=O468,T468+1,1)</f>
        <v>1</v>
      </c>
      <c r="U469" t="str">
        <f>IF(O469=O470,"",S469/T469)</f>
        <v/>
      </c>
      <c r="V469" t="str">
        <f>IF(U469="","",IF(ABS(Q469-U469)&gt;V$1,"error",""))</f>
        <v/>
      </c>
    </row>
    <row r="470" spans="1:22" x14ac:dyDescent="0.55000000000000004">
      <c r="A470">
        <v>14472.73</v>
      </c>
      <c r="B470" s="1">
        <v>8.5580000000000003E-2</v>
      </c>
      <c r="C470" s="1">
        <v>8.5580000000000003E-2</v>
      </c>
      <c r="D470" s="2" t="s">
        <v>1515</v>
      </c>
      <c r="E470">
        <v>2</v>
      </c>
      <c r="F470" s="2" t="s">
        <v>1</v>
      </c>
      <c r="G470">
        <v>1</v>
      </c>
      <c r="H470">
        <v>8.5</v>
      </c>
      <c r="I470" s="2" t="s">
        <v>0</v>
      </c>
      <c r="J470">
        <v>2</v>
      </c>
      <c r="K470" s="2" t="s">
        <v>1</v>
      </c>
      <c r="L470">
        <v>1</v>
      </c>
      <c r="M470">
        <v>7.5</v>
      </c>
      <c r="N470" s="2" t="s">
        <v>1587</v>
      </c>
      <c r="O470" t="str">
        <f>D470&amp;"-"&amp;E470&amp;"-"&amp;F470&amp;"-"&amp;G470&amp;"-"&amp;H470</f>
        <v>B-2-f-1-8.5</v>
      </c>
      <c r="P470" t="str">
        <f>I470&amp;"-"&amp;J470&amp;"-"&amp;K470&amp;"-"&amp;L470&amp;"-"&amp;M470</f>
        <v>X-2-f-1-7.5</v>
      </c>
      <c r="Q470">
        <f>A470+R470</f>
        <v>15900.126507999999</v>
      </c>
      <c r="R470">
        <f>_xlfn.IFNA(VLOOKUP(P470,PGOPHER!A$2:G$181,7,FALSE),_xlfn.IFNA(VLOOKUP(P470,en!A$2:I$768,7,FALSE),-10000))</f>
        <v>1427.396508</v>
      </c>
      <c r="S470">
        <f>IF(O470=O469,Q469+S469,Q470)</f>
        <v>31799.940428000002</v>
      </c>
      <c r="T470">
        <f>IF(O470=O469,T469+1,1)</f>
        <v>2</v>
      </c>
      <c r="U470">
        <f>IF(O470=O471,"",S470/T470)</f>
        <v>15899.970214000001</v>
      </c>
      <c r="V470" t="str">
        <f>IF(U470="","",IF(ABS(Q470-U470)&gt;V$1,"error",""))</f>
        <v/>
      </c>
    </row>
    <row r="471" spans="1:22" x14ac:dyDescent="0.55000000000000004">
      <c r="A471">
        <v>14279.45</v>
      </c>
      <c r="B471" s="1">
        <v>1.6890000000000001</v>
      </c>
      <c r="C471" s="1">
        <v>1.6890000000000001</v>
      </c>
      <c r="D471" s="2" t="s">
        <v>1515</v>
      </c>
      <c r="E471">
        <v>1</v>
      </c>
      <c r="F471" s="2" t="s">
        <v>2</v>
      </c>
      <c r="G471">
        <v>0</v>
      </c>
      <c r="H471">
        <v>9.5</v>
      </c>
      <c r="I471" s="2" t="s">
        <v>0</v>
      </c>
      <c r="J471">
        <v>1</v>
      </c>
      <c r="K471" s="2" t="s">
        <v>2</v>
      </c>
      <c r="L471">
        <v>0</v>
      </c>
      <c r="M471">
        <v>10.5</v>
      </c>
      <c r="N471" s="2" t="s">
        <v>1675</v>
      </c>
      <c r="O471" t="str">
        <f>D471&amp;"-"&amp;E471&amp;"-"&amp;F471&amp;"-"&amp;G471&amp;"-"&amp;H471</f>
        <v>B-1-e-0-9.5</v>
      </c>
      <c r="P471" t="str">
        <f>I471&amp;"-"&amp;J471&amp;"-"&amp;K471&amp;"-"&amp;L471&amp;"-"&amp;M471</f>
        <v>X-1-e-0-10.5</v>
      </c>
      <c r="Q471">
        <f>A471+R471</f>
        <v>14678.10626</v>
      </c>
      <c r="R471">
        <f>_xlfn.IFNA(VLOOKUP(P471,PGOPHER!A$2:G$181,7,FALSE),_xlfn.IFNA(VLOOKUP(P471,en!A$2:I$768,7,FALSE),-10000))</f>
        <v>398.65625999999997</v>
      </c>
      <c r="S471">
        <f>IF(O471=O470,Q470+S470,Q471)</f>
        <v>14678.10626</v>
      </c>
      <c r="T471">
        <f>IF(O471=O470,T470+1,1)</f>
        <v>1</v>
      </c>
      <c r="U471" t="str">
        <f>IF(O471=O472,"",S471/T471)</f>
        <v/>
      </c>
      <c r="V471" t="str">
        <f>IF(U471="","",IF(ABS(Q471-U471)&gt;V$1,"error",""))</f>
        <v/>
      </c>
    </row>
    <row r="472" spans="1:22" x14ac:dyDescent="0.55000000000000004">
      <c r="A472">
        <v>14419.79</v>
      </c>
      <c r="B472" s="1">
        <v>1.6890000000000001</v>
      </c>
      <c r="C472" s="1">
        <v>1.6890000000000001</v>
      </c>
      <c r="D472" s="2" t="s">
        <v>1515</v>
      </c>
      <c r="E472">
        <v>1</v>
      </c>
      <c r="F472" s="2" t="s">
        <v>2</v>
      </c>
      <c r="G472">
        <v>0</v>
      </c>
      <c r="H472">
        <v>9.5</v>
      </c>
      <c r="I472" s="2" t="s">
        <v>0</v>
      </c>
      <c r="J472">
        <v>1</v>
      </c>
      <c r="K472" s="2" t="s">
        <v>2</v>
      </c>
      <c r="L472">
        <v>0</v>
      </c>
      <c r="M472">
        <v>8.5</v>
      </c>
      <c r="N472" s="2" t="s">
        <v>1717</v>
      </c>
      <c r="O472" t="str">
        <f>D472&amp;"-"&amp;E472&amp;"-"&amp;F472&amp;"-"&amp;G472&amp;"-"&amp;H472</f>
        <v>B-1-e-0-9.5</v>
      </c>
      <c r="P472" t="str">
        <f>I472&amp;"-"&amp;J472&amp;"-"&amp;K472&amp;"-"&amp;L472&amp;"-"&amp;M472</f>
        <v>X-1-e-0-8.5</v>
      </c>
      <c r="Q472">
        <f>A472+R472</f>
        <v>14681.188057000001</v>
      </c>
      <c r="R472">
        <f>_xlfn.IFNA(VLOOKUP(P472,PGOPHER!A$2:G$181,7,FALSE),_xlfn.IFNA(VLOOKUP(P472,en!A$2:I$768,7,FALSE),-10000))</f>
        <v>261.39805699999999</v>
      </c>
      <c r="S472">
        <f>IF(O472=O471,Q471+S471,Q472)</f>
        <v>29356.212520000001</v>
      </c>
      <c r="T472">
        <f>IF(O472=O471,T471+1,1)</f>
        <v>2</v>
      </c>
      <c r="U472">
        <f>IF(O472=O473,"",S472/T472)</f>
        <v>14678.10626</v>
      </c>
      <c r="V472" t="str">
        <f>IF(U472="","",IF(ABS(Q472-U472)&gt;V$1,"error",""))</f>
        <v>error</v>
      </c>
    </row>
    <row r="473" spans="1:22" x14ac:dyDescent="0.55000000000000004">
      <c r="A473">
        <v>14300.85</v>
      </c>
      <c r="B473" s="1">
        <v>0.1055</v>
      </c>
      <c r="C473" s="1">
        <v>0.1055</v>
      </c>
      <c r="D473" s="2" t="s">
        <v>1515</v>
      </c>
      <c r="E473">
        <v>1</v>
      </c>
      <c r="F473" s="2" t="s">
        <v>2</v>
      </c>
      <c r="G473">
        <v>1</v>
      </c>
      <c r="H473">
        <v>9.5</v>
      </c>
      <c r="I473" s="2" t="s">
        <v>0</v>
      </c>
      <c r="J473">
        <v>1</v>
      </c>
      <c r="K473" s="2" t="s">
        <v>2</v>
      </c>
      <c r="L473">
        <v>1</v>
      </c>
      <c r="M473">
        <v>10.5</v>
      </c>
      <c r="N473" s="2" t="s">
        <v>1556</v>
      </c>
      <c r="O473" t="str">
        <f>D473&amp;"-"&amp;E473&amp;"-"&amp;F473&amp;"-"&amp;G473&amp;"-"&amp;H473</f>
        <v>B-1-e-1-9.5</v>
      </c>
      <c r="P473" t="str">
        <f>I473&amp;"-"&amp;J473&amp;"-"&amp;K473&amp;"-"&amp;L473&amp;"-"&amp;M473</f>
        <v>X-1-e-1-10.5</v>
      </c>
      <c r="Q473">
        <f>A473+R473</f>
        <v>15863.463186000001</v>
      </c>
      <c r="R473">
        <f>_xlfn.IFNA(VLOOKUP(P473,PGOPHER!A$2:G$181,7,FALSE),_xlfn.IFNA(VLOOKUP(P473,en!A$2:I$768,7,FALSE),-10000))</f>
        <v>1562.613186</v>
      </c>
      <c r="S473">
        <f>IF(O473=O472,Q472+S472,Q473)</f>
        <v>15863.463186000001</v>
      </c>
      <c r="T473">
        <f>IF(O473=O472,T472+1,1)</f>
        <v>1</v>
      </c>
      <c r="U473" t="str">
        <f>IF(O473=O474,"",S473/T473)</f>
        <v/>
      </c>
      <c r="V473" t="str">
        <f>IF(U473="","",IF(ABS(Q473-U473)&gt;V$1,"error",""))</f>
        <v/>
      </c>
    </row>
    <row r="474" spans="1:22" x14ac:dyDescent="0.55000000000000004">
      <c r="A474">
        <v>14435.25</v>
      </c>
      <c r="B474" s="1">
        <v>0.1055</v>
      </c>
      <c r="C474" s="1">
        <v>0.1055</v>
      </c>
      <c r="D474" s="2" t="s">
        <v>1515</v>
      </c>
      <c r="E474">
        <v>1</v>
      </c>
      <c r="F474" s="2" t="s">
        <v>2</v>
      </c>
      <c r="G474">
        <v>1</v>
      </c>
      <c r="H474">
        <v>9.5</v>
      </c>
      <c r="I474" s="2" t="s">
        <v>0</v>
      </c>
      <c r="J474">
        <v>1</v>
      </c>
      <c r="K474" s="2" t="s">
        <v>2</v>
      </c>
      <c r="L474">
        <v>1</v>
      </c>
      <c r="M474">
        <v>8.5</v>
      </c>
      <c r="N474" s="2" t="s">
        <v>1524</v>
      </c>
      <c r="O474" t="str">
        <f>D474&amp;"-"&amp;E474&amp;"-"&amp;F474&amp;"-"&amp;G474&amp;"-"&amp;H474</f>
        <v>B-1-e-1-9.5</v>
      </c>
      <c r="P474" t="str">
        <f>I474&amp;"-"&amp;J474&amp;"-"&amp;K474&amp;"-"&amp;L474&amp;"-"&amp;M474</f>
        <v>X-1-e-1-8.5</v>
      </c>
      <c r="Q474">
        <f>A474+R474</f>
        <v>15863.657655999999</v>
      </c>
      <c r="R474">
        <f>_xlfn.IFNA(VLOOKUP(P474,PGOPHER!A$2:G$181,7,FALSE),_xlfn.IFNA(VLOOKUP(P474,en!A$2:I$768,7,FALSE),-10000))</f>
        <v>1428.4076560000001</v>
      </c>
      <c r="S474">
        <f>IF(O474=O473,Q473+S473,Q474)</f>
        <v>31726.926372000002</v>
      </c>
      <c r="T474">
        <f>IF(O474=O473,T473+1,1)</f>
        <v>2</v>
      </c>
      <c r="U474">
        <f>IF(O474=O475,"",S474/T474)</f>
        <v>15863.463186000001</v>
      </c>
      <c r="V474" t="str">
        <f>IF(U474="","",IF(ABS(Q474-U474)&gt;V$1,"error",""))</f>
        <v/>
      </c>
    </row>
    <row r="475" spans="1:22" x14ac:dyDescent="0.55000000000000004">
      <c r="A475">
        <v>14314.8</v>
      </c>
      <c r="B475" s="1">
        <v>0.59840000000000004</v>
      </c>
      <c r="C475" s="1">
        <v>0.59840000000000004</v>
      </c>
      <c r="D475" s="2" t="s">
        <v>1515</v>
      </c>
      <c r="E475">
        <v>2</v>
      </c>
      <c r="F475" s="2" t="s">
        <v>1</v>
      </c>
      <c r="G475">
        <v>0</v>
      </c>
      <c r="H475">
        <v>9.5</v>
      </c>
      <c r="I475" s="2" t="s">
        <v>0</v>
      </c>
      <c r="J475">
        <v>2</v>
      </c>
      <c r="K475" s="2" t="s">
        <v>1</v>
      </c>
      <c r="L475">
        <v>0</v>
      </c>
      <c r="M475">
        <v>10.5</v>
      </c>
      <c r="N475" s="2" t="s">
        <v>1746</v>
      </c>
      <c r="O475" t="str">
        <f>D475&amp;"-"&amp;E475&amp;"-"&amp;F475&amp;"-"&amp;G475&amp;"-"&amp;H475</f>
        <v>B-2-f-0-9.5</v>
      </c>
      <c r="P475" t="str">
        <f>I475&amp;"-"&amp;J475&amp;"-"&amp;K475&amp;"-"&amp;L475&amp;"-"&amp;M475</f>
        <v>X-2-f-0-10.5</v>
      </c>
      <c r="Q475">
        <f>A475+R475</f>
        <v>14791.328314999999</v>
      </c>
      <c r="R475">
        <f>_xlfn.IFNA(VLOOKUP(P475,PGOPHER!A$2:G$181,7,FALSE),_xlfn.IFNA(VLOOKUP(P475,en!A$2:I$768,7,FALSE),-10000))</f>
        <v>476.52831500000002</v>
      </c>
      <c r="S475">
        <f>IF(O475=O474,Q474+S474,Q475)</f>
        <v>14791.328314999999</v>
      </c>
      <c r="T475">
        <f>IF(O475=O474,T474+1,1)</f>
        <v>1</v>
      </c>
      <c r="U475" t="str">
        <f>IF(O475=O476,"",S475/T475)</f>
        <v/>
      </c>
      <c r="V475" t="str">
        <f>IF(U475="","",IF(ABS(Q475-U475)&gt;V$1,"error",""))</f>
        <v/>
      </c>
    </row>
    <row r="476" spans="1:22" x14ac:dyDescent="0.55000000000000004">
      <c r="A476">
        <v>14467.12</v>
      </c>
      <c r="B476" s="1">
        <v>0.59840000000000004</v>
      </c>
      <c r="C476" s="1">
        <v>0.59840000000000004</v>
      </c>
      <c r="D476" s="2" t="s">
        <v>1515</v>
      </c>
      <c r="E476">
        <v>2</v>
      </c>
      <c r="F476" s="2" t="s">
        <v>1</v>
      </c>
      <c r="G476">
        <v>0</v>
      </c>
      <c r="H476">
        <v>9.5</v>
      </c>
      <c r="I476" s="2" t="s">
        <v>0</v>
      </c>
      <c r="J476">
        <v>2</v>
      </c>
      <c r="K476" s="2" t="s">
        <v>1</v>
      </c>
      <c r="L476">
        <v>0</v>
      </c>
      <c r="M476">
        <v>8.5</v>
      </c>
      <c r="N476" s="2" t="s">
        <v>1785</v>
      </c>
      <c r="O476" t="str">
        <f>D476&amp;"-"&amp;E476&amp;"-"&amp;F476&amp;"-"&amp;G476&amp;"-"&amp;H476</f>
        <v>B-2-f-0-9.5</v>
      </c>
      <c r="P476" t="str">
        <f>I476&amp;"-"&amp;J476&amp;"-"&amp;K476&amp;"-"&amp;L476&amp;"-"&amp;M476</f>
        <v>X-2-f-0-8.5</v>
      </c>
      <c r="Q476">
        <f>A476+R476</f>
        <v>14792.420726</v>
      </c>
      <c r="R476">
        <f>_xlfn.IFNA(VLOOKUP(P476,PGOPHER!A$2:G$181,7,FALSE),_xlfn.IFNA(VLOOKUP(P476,en!A$2:I$768,7,FALSE),-10000))</f>
        <v>325.300726</v>
      </c>
      <c r="S476">
        <f>IF(O476=O475,Q475+S475,Q476)</f>
        <v>29582.656629999998</v>
      </c>
      <c r="T476">
        <f>IF(O476=O475,T475+1,1)</f>
        <v>2</v>
      </c>
      <c r="U476">
        <f>IF(O476=O477,"",S476/T476)</f>
        <v>14791.328314999999</v>
      </c>
      <c r="V476" t="str">
        <f>IF(U476="","",IF(ABS(Q476-U476)&gt;V$1,"error",""))</f>
        <v>error</v>
      </c>
    </row>
    <row r="477" spans="1:22" x14ac:dyDescent="0.55000000000000004">
      <c r="A477">
        <v>14337.21</v>
      </c>
      <c r="B477" s="1">
        <v>0.01</v>
      </c>
      <c r="C477" s="1">
        <v>0.01</v>
      </c>
      <c r="D477" s="2" t="s">
        <v>1515</v>
      </c>
      <c r="E477">
        <v>2</v>
      </c>
      <c r="F477" s="2" t="s">
        <v>1</v>
      </c>
      <c r="G477">
        <v>1</v>
      </c>
      <c r="H477">
        <v>9.5</v>
      </c>
      <c r="I477" s="2" t="s">
        <v>0</v>
      </c>
      <c r="J477">
        <v>2</v>
      </c>
      <c r="K477" s="2" t="s">
        <v>1</v>
      </c>
      <c r="L477">
        <v>1</v>
      </c>
      <c r="M477">
        <v>10.5</v>
      </c>
      <c r="N477" s="2" t="s">
        <v>1604</v>
      </c>
      <c r="O477" t="str">
        <f>D477&amp;"-"&amp;E477&amp;"-"&amp;F477&amp;"-"&amp;G477&amp;"-"&amp;H477</f>
        <v>B-2-f-1-9.5</v>
      </c>
      <c r="P477" t="str">
        <f>I477&amp;"-"&amp;J477&amp;"-"&amp;K477&amp;"-"&amp;L477&amp;"-"&amp;M477</f>
        <v>X-2-f-1-10.5</v>
      </c>
      <c r="Q477">
        <f>A477+R477</f>
        <v>15975.973536</v>
      </c>
      <c r="R477">
        <f>_xlfn.IFNA(VLOOKUP(P477,PGOPHER!A$2:G$181,7,FALSE),_xlfn.IFNA(VLOOKUP(P477,en!A$2:I$768,7,FALSE),-10000))</f>
        <v>1638.7635359999999</v>
      </c>
      <c r="S477">
        <f>IF(O477=O476,Q476+S476,Q477)</f>
        <v>15975.973536</v>
      </c>
      <c r="T477">
        <f>IF(O477=O476,T476+1,1)</f>
        <v>1</v>
      </c>
      <c r="U477" t="str">
        <f>IF(O477=O478,"",S477/T477)</f>
        <v/>
      </c>
      <c r="V477" t="str">
        <f>IF(U477="","",IF(ABS(Q477-U477)&gt;V$1,"error",""))</f>
        <v/>
      </c>
    </row>
    <row r="478" spans="1:22" x14ac:dyDescent="0.55000000000000004">
      <c r="A478">
        <v>14485.07</v>
      </c>
      <c r="B478" s="1">
        <v>0.01</v>
      </c>
      <c r="C478" s="1">
        <v>0.01</v>
      </c>
      <c r="D478" s="2" t="s">
        <v>1515</v>
      </c>
      <c r="E478">
        <v>2</v>
      </c>
      <c r="F478" s="2" t="s">
        <v>1</v>
      </c>
      <c r="G478">
        <v>1</v>
      </c>
      <c r="H478">
        <v>9.5</v>
      </c>
      <c r="I478" s="2" t="s">
        <v>0</v>
      </c>
      <c r="J478">
        <v>2</v>
      </c>
      <c r="K478" s="2" t="s">
        <v>1</v>
      </c>
      <c r="L478">
        <v>1</v>
      </c>
      <c r="M478">
        <v>8.5</v>
      </c>
      <c r="N478" s="2" t="s">
        <v>1588</v>
      </c>
      <c r="O478" t="str">
        <f>D478&amp;"-"&amp;E478&amp;"-"&amp;F478&amp;"-"&amp;G478&amp;"-"&amp;H478</f>
        <v>B-2-f-1-9.5</v>
      </c>
      <c r="P478" t="str">
        <f>I478&amp;"-"&amp;J478&amp;"-"&amp;K478&amp;"-"&amp;L478&amp;"-"&amp;M478</f>
        <v>X-2-f-1-8.5</v>
      </c>
      <c r="Q478">
        <f>A478+R478</f>
        <v>15975.971884999999</v>
      </c>
      <c r="R478">
        <f>_xlfn.IFNA(VLOOKUP(P478,PGOPHER!A$2:G$181,7,FALSE),_xlfn.IFNA(VLOOKUP(P478,en!A$2:I$768,7,FALSE),-10000))</f>
        <v>1490.901885</v>
      </c>
      <c r="S478">
        <f>IF(O478=O477,Q477+S477,Q478)</f>
        <v>31951.947071999999</v>
      </c>
      <c r="T478">
        <f>IF(O478=O477,T477+1,1)</f>
        <v>2</v>
      </c>
      <c r="U478">
        <f>IF(O478=O479,"",S478/T478)</f>
        <v>15975.973536</v>
      </c>
      <c r="V478" t="str">
        <f>IF(U478="","",IF(ABS(Q478-U478)&gt;V$1,"error",""))</f>
        <v/>
      </c>
    </row>
    <row r="479" spans="1:22" x14ac:dyDescent="0.55000000000000004">
      <c r="A479">
        <v>14274.35</v>
      </c>
      <c r="B479" s="1">
        <v>4.6129999999999997E-2</v>
      </c>
      <c r="C479" s="1">
        <v>4.6129999999999997E-2</v>
      </c>
      <c r="D479" s="2" t="s">
        <v>1515</v>
      </c>
      <c r="E479">
        <v>1</v>
      </c>
      <c r="F479" s="2" t="s">
        <v>2</v>
      </c>
      <c r="G479">
        <v>0</v>
      </c>
      <c r="H479">
        <v>10.5</v>
      </c>
      <c r="I479" s="2" t="s">
        <v>0</v>
      </c>
      <c r="J479">
        <v>1</v>
      </c>
      <c r="K479" s="2" t="s">
        <v>2</v>
      </c>
      <c r="L479">
        <v>0</v>
      </c>
      <c r="M479">
        <v>11.5</v>
      </c>
      <c r="N479" s="2" t="s">
        <v>1676</v>
      </c>
      <c r="O479" t="str">
        <f>D479&amp;"-"&amp;E479&amp;"-"&amp;F479&amp;"-"&amp;G479&amp;"-"&amp;H479</f>
        <v>B-1-e-0-10.5</v>
      </c>
      <c r="P479" t="str">
        <f>I479&amp;"-"&amp;J479&amp;"-"&amp;K479&amp;"-"&amp;L479&amp;"-"&amp;M479</f>
        <v>X-1-e-0-11.5</v>
      </c>
      <c r="Q479">
        <f>A479+R479</f>
        <v>14752.283424000001</v>
      </c>
      <c r="R479">
        <f>_xlfn.IFNA(VLOOKUP(P479,PGOPHER!A$2:G$181,7,FALSE),_xlfn.IFNA(VLOOKUP(P479,en!A$2:I$768,7,FALSE),-10000))</f>
        <v>477.933424</v>
      </c>
      <c r="S479">
        <f>IF(O479=O478,Q478+S478,Q479)</f>
        <v>14752.283424000001</v>
      </c>
      <c r="T479">
        <f>IF(O479=O478,T478+1,1)</f>
        <v>1</v>
      </c>
      <c r="U479" t="str">
        <f>IF(O479=O480,"",S479/T479)</f>
        <v/>
      </c>
      <c r="V479" t="str">
        <f>IF(U479="","",IF(ABS(Q479-U479)&gt;V$1,"error",""))</f>
        <v/>
      </c>
    </row>
    <row r="480" spans="1:22" x14ac:dyDescent="0.55000000000000004">
      <c r="A480">
        <v>14425.9</v>
      </c>
      <c r="B480" s="1">
        <v>4.6129999999999997E-2</v>
      </c>
      <c r="C480" s="1">
        <v>4.6129999999999997E-2</v>
      </c>
      <c r="D480" s="2" t="s">
        <v>1515</v>
      </c>
      <c r="E480">
        <v>1</v>
      </c>
      <c r="F480" s="2" t="s">
        <v>2</v>
      </c>
      <c r="G480">
        <v>0</v>
      </c>
      <c r="H480">
        <v>10.5</v>
      </c>
      <c r="I480" s="2" t="s">
        <v>0</v>
      </c>
      <c r="J480">
        <v>1</v>
      </c>
      <c r="K480" s="2" t="s">
        <v>2</v>
      </c>
      <c r="L480">
        <v>0</v>
      </c>
      <c r="M480">
        <v>9.5</v>
      </c>
      <c r="N480" s="2" t="s">
        <v>1718</v>
      </c>
      <c r="O480" t="str">
        <f>D480&amp;"-"&amp;E480&amp;"-"&amp;F480&amp;"-"&amp;G480&amp;"-"&amp;H480</f>
        <v>B-1-e-0-10.5</v>
      </c>
      <c r="P480" t="str">
        <f>I480&amp;"-"&amp;J480&amp;"-"&amp;K480&amp;"-"&amp;L480&amp;"-"&amp;M480</f>
        <v>X-1-e-0-9.5</v>
      </c>
      <c r="Q480">
        <f>A480+R480</f>
        <v>14752.367618</v>
      </c>
      <c r="R480">
        <f>_xlfn.IFNA(VLOOKUP(P480,PGOPHER!A$2:G$181,7,FALSE),_xlfn.IFNA(VLOOKUP(P480,en!A$2:I$768,7,FALSE),-10000))</f>
        <v>326.46761800000002</v>
      </c>
      <c r="S480">
        <f>IF(O480=O479,Q479+S479,Q480)</f>
        <v>29504.566848000002</v>
      </c>
      <c r="T480">
        <f>IF(O480=O479,T479+1,1)</f>
        <v>2</v>
      </c>
      <c r="U480">
        <f>IF(O480=O481,"",S480/T480)</f>
        <v>14752.283424000001</v>
      </c>
      <c r="V480" t="str">
        <f>IF(U480="","",IF(ABS(Q480-U480)&gt;V$1,"error",""))</f>
        <v/>
      </c>
    </row>
    <row r="481" spans="1:22" x14ac:dyDescent="0.55000000000000004">
      <c r="A481">
        <v>14295.62</v>
      </c>
      <c r="B481" s="1">
        <v>0.01</v>
      </c>
      <c r="C481" s="1">
        <v>0.01</v>
      </c>
      <c r="D481" s="2" t="s">
        <v>1515</v>
      </c>
      <c r="E481">
        <v>1</v>
      </c>
      <c r="F481" s="2" t="s">
        <v>2</v>
      </c>
      <c r="G481">
        <v>1</v>
      </c>
      <c r="H481">
        <v>10.5</v>
      </c>
      <c r="I481" s="2" t="s">
        <v>0</v>
      </c>
      <c r="J481">
        <v>1</v>
      </c>
      <c r="K481" s="2" t="s">
        <v>2</v>
      </c>
      <c r="L481">
        <v>1</v>
      </c>
      <c r="M481">
        <v>11.5</v>
      </c>
      <c r="N481" s="2" t="s">
        <v>1557</v>
      </c>
      <c r="O481" t="str">
        <f>D481&amp;"-"&amp;E481&amp;"-"&amp;F481&amp;"-"&amp;G481&amp;"-"&amp;H481</f>
        <v>B-1-e-1-10.5</v>
      </c>
      <c r="P481" t="str">
        <f>I481&amp;"-"&amp;J481&amp;"-"&amp;K481&amp;"-"&amp;L481&amp;"-"&amp;M481</f>
        <v>X-1-e-1-11.5</v>
      </c>
      <c r="Q481">
        <f>A481+R481</f>
        <v>15935.743634</v>
      </c>
      <c r="R481">
        <f>_xlfn.IFNA(VLOOKUP(P481,PGOPHER!A$2:G$181,7,FALSE),_xlfn.IFNA(VLOOKUP(P481,en!A$2:I$768,7,FALSE),-10000))</f>
        <v>1640.123634</v>
      </c>
      <c r="S481">
        <f>IF(O481=O480,Q480+S480,Q481)</f>
        <v>15935.743634</v>
      </c>
      <c r="T481">
        <f>IF(O481=O480,T480+1,1)</f>
        <v>1</v>
      </c>
      <c r="U481" t="str">
        <f>IF(O481=O482,"",S481/T481)</f>
        <v/>
      </c>
      <c r="V481" t="str">
        <f>IF(U481="","",IF(ABS(Q481-U481)&gt;V$1,"error",""))</f>
        <v/>
      </c>
    </row>
    <row r="482" spans="1:22" x14ac:dyDescent="0.55000000000000004">
      <c r="A482">
        <v>14443.72</v>
      </c>
      <c r="B482" s="1">
        <v>0.01</v>
      </c>
      <c r="C482" s="1">
        <v>0.01</v>
      </c>
      <c r="D482" s="2" t="s">
        <v>1515</v>
      </c>
      <c r="E482">
        <v>1</v>
      </c>
      <c r="F482" s="2" t="s">
        <v>2</v>
      </c>
      <c r="G482">
        <v>1</v>
      </c>
      <c r="H482">
        <v>10.5</v>
      </c>
      <c r="I482" s="2" t="s">
        <v>0</v>
      </c>
      <c r="J482">
        <v>1</v>
      </c>
      <c r="K482" s="2" t="s">
        <v>2</v>
      </c>
      <c r="L482">
        <v>1</v>
      </c>
      <c r="M482">
        <v>9.5</v>
      </c>
      <c r="N482" s="2" t="s">
        <v>1525</v>
      </c>
      <c r="O482" t="str">
        <f>D482&amp;"-"&amp;E482&amp;"-"&amp;F482&amp;"-"&amp;G482&amp;"-"&amp;H482</f>
        <v>B-1-e-1-10.5</v>
      </c>
      <c r="P482" t="str">
        <f>I482&amp;"-"&amp;J482&amp;"-"&amp;K482&amp;"-"&amp;L482&amp;"-"&amp;M482</f>
        <v>X-1-e-1-9.5</v>
      </c>
      <c r="Q482">
        <f>A482+R482</f>
        <v>15935.749757</v>
      </c>
      <c r="R482">
        <f>_xlfn.IFNA(VLOOKUP(P482,PGOPHER!A$2:G$181,7,FALSE),_xlfn.IFNA(VLOOKUP(P482,en!A$2:I$768,7,FALSE),-10000))</f>
        <v>1492.029757</v>
      </c>
      <c r="S482">
        <f>IF(O482=O481,Q481+S481,Q482)</f>
        <v>31871.487268000001</v>
      </c>
      <c r="T482">
        <f>IF(O482=O481,T481+1,1)</f>
        <v>2</v>
      </c>
      <c r="U482">
        <f>IF(O482=O483,"",S482/T482)</f>
        <v>15935.743634</v>
      </c>
      <c r="V482" t="str">
        <f>IF(U482="","",IF(ABS(Q482-U482)&gt;V$1,"error",""))</f>
        <v/>
      </c>
    </row>
    <row r="483" spans="1:22" x14ac:dyDescent="0.55000000000000004">
      <c r="A483">
        <v>14314.25</v>
      </c>
      <c r="B483" s="1">
        <v>0.3014</v>
      </c>
      <c r="C483" s="1">
        <v>0.3014</v>
      </c>
      <c r="D483" s="2" t="s">
        <v>1515</v>
      </c>
      <c r="E483">
        <v>2</v>
      </c>
      <c r="F483" s="2" t="s">
        <v>1</v>
      </c>
      <c r="G483">
        <v>0</v>
      </c>
      <c r="H483">
        <v>10.5</v>
      </c>
      <c r="I483" s="2" t="s">
        <v>0</v>
      </c>
      <c r="J483">
        <v>2</v>
      </c>
      <c r="K483" s="2" t="s">
        <v>1</v>
      </c>
      <c r="L483">
        <v>0</v>
      </c>
      <c r="M483">
        <v>11.5</v>
      </c>
      <c r="N483" s="2" t="s">
        <v>1747</v>
      </c>
      <c r="O483" t="str">
        <f>D483&amp;"-"&amp;E483&amp;"-"&amp;F483&amp;"-"&amp;G483&amp;"-"&amp;H483</f>
        <v>B-2-f-0-10.5</v>
      </c>
      <c r="P483" t="str">
        <f>I483&amp;"-"&amp;J483&amp;"-"&amp;K483&amp;"-"&amp;L483&amp;"-"&amp;M483</f>
        <v>X-2-f-0-11.5</v>
      </c>
      <c r="Q483">
        <f>A483+R483</f>
        <v>14876.987865999999</v>
      </c>
      <c r="R483">
        <f>_xlfn.IFNA(VLOOKUP(P483,PGOPHER!A$2:G$181,7,FALSE),_xlfn.IFNA(VLOOKUP(P483,en!A$2:I$768,7,FALSE),-10000))</f>
        <v>562.73786600000005</v>
      </c>
      <c r="S483">
        <f>IF(O483=O482,Q482+S482,Q483)</f>
        <v>14876.987865999999</v>
      </c>
      <c r="T483">
        <f>IF(O483=O482,T482+1,1)</f>
        <v>1</v>
      </c>
      <c r="U483" t="str">
        <f>IF(O483=O484,"",S483/T483)</f>
        <v/>
      </c>
      <c r="V483" t="str">
        <f>IF(U483="","",IF(ABS(Q483-U483)&gt;V$1,"error",""))</f>
        <v/>
      </c>
    </row>
    <row r="484" spans="1:22" x14ac:dyDescent="0.55000000000000004">
      <c r="A484">
        <v>14480.17</v>
      </c>
      <c r="B484" s="1">
        <v>0.3014</v>
      </c>
      <c r="C484" s="1">
        <v>0.3014</v>
      </c>
      <c r="D484" s="2" t="s">
        <v>1515</v>
      </c>
      <c r="E484">
        <v>2</v>
      </c>
      <c r="F484" s="2" t="s">
        <v>1</v>
      </c>
      <c r="G484">
        <v>0</v>
      </c>
      <c r="H484">
        <v>10.5</v>
      </c>
      <c r="I484" s="2" t="s">
        <v>0</v>
      </c>
      <c r="J484">
        <v>2</v>
      </c>
      <c r="K484" s="2" t="s">
        <v>1</v>
      </c>
      <c r="L484">
        <v>0</v>
      </c>
      <c r="M484">
        <v>9.5</v>
      </c>
      <c r="N484" s="2" t="s">
        <v>1786</v>
      </c>
      <c r="O484" t="str">
        <f>D484&amp;"-"&amp;E484&amp;"-"&amp;F484&amp;"-"&amp;G484&amp;"-"&amp;H484</f>
        <v>B-2-f-0-10.5</v>
      </c>
      <c r="P484" t="str">
        <f>I484&amp;"-"&amp;J484&amp;"-"&amp;K484&amp;"-"&amp;L484&amp;"-"&amp;M484</f>
        <v>X-2-f-0-9.5</v>
      </c>
      <c r="Q484">
        <f>A484+R484</f>
        <v>14877.538603999999</v>
      </c>
      <c r="R484">
        <f>_xlfn.IFNA(VLOOKUP(P484,PGOPHER!A$2:G$181,7,FALSE),_xlfn.IFNA(VLOOKUP(P484,en!A$2:I$768,7,FALSE),-10000))</f>
        <v>397.368604</v>
      </c>
      <c r="S484">
        <f>IF(O484=O483,Q483+S483,Q484)</f>
        <v>29753.975731999999</v>
      </c>
      <c r="T484">
        <f>IF(O484=O483,T483+1,1)</f>
        <v>2</v>
      </c>
      <c r="U484">
        <f>IF(O484=O485,"",S484/T484)</f>
        <v>14876.987865999999</v>
      </c>
      <c r="V484" t="str">
        <f>IF(U484="","",IF(ABS(Q484-U484)&gt;V$1,"error",""))</f>
        <v>error</v>
      </c>
    </row>
    <row r="485" spans="1:22" x14ac:dyDescent="0.55000000000000004">
      <c r="A485">
        <v>14335.99</v>
      </c>
      <c r="B485" s="1">
        <v>7.9750000000000001E-2</v>
      </c>
      <c r="C485" s="1">
        <v>7.9750000000000001E-2</v>
      </c>
      <c r="D485" s="2" t="s">
        <v>1515</v>
      </c>
      <c r="E485">
        <v>2</v>
      </c>
      <c r="F485" s="2" t="s">
        <v>1</v>
      </c>
      <c r="G485">
        <v>1</v>
      </c>
      <c r="H485">
        <v>10.5</v>
      </c>
      <c r="I485" s="2" t="s">
        <v>0</v>
      </c>
      <c r="J485">
        <v>2</v>
      </c>
      <c r="K485" s="2" t="s">
        <v>1</v>
      </c>
      <c r="L485">
        <v>1</v>
      </c>
      <c r="M485">
        <v>11.5</v>
      </c>
      <c r="N485" s="2" t="s">
        <v>1605</v>
      </c>
      <c r="O485" t="str">
        <f>D485&amp;"-"&amp;E485&amp;"-"&amp;F485&amp;"-"&amp;G485&amp;"-"&amp;H485</f>
        <v>B-2-f-1-10.5</v>
      </c>
      <c r="P485" t="str">
        <f>I485&amp;"-"&amp;J485&amp;"-"&amp;K485&amp;"-"&amp;L485&amp;"-"&amp;M485</f>
        <v>X-2-f-1-11.5</v>
      </c>
      <c r="Q485">
        <f>A485+R485</f>
        <v>16059.044291</v>
      </c>
      <c r="R485">
        <f>_xlfn.IFNA(VLOOKUP(P485,PGOPHER!A$2:G$181,7,FALSE),_xlfn.IFNA(VLOOKUP(P485,en!A$2:I$768,7,FALSE),-10000))</f>
        <v>1723.0542909999999</v>
      </c>
      <c r="S485">
        <f>IF(O485=O484,Q484+S484,Q485)</f>
        <v>16059.044291</v>
      </c>
      <c r="T485">
        <f>IF(O485=O484,T484+1,1)</f>
        <v>1</v>
      </c>
      <c r="U485" t="str">
        <f>IF(O485=O486,"",S485/T485)</f>
        <v/>
      </c>
      <c r="V485" t="str">
        <f>IF(U485="","",IF(ABS(Q485-U485)&gt;V$1,"error",""))</f>
        <v/>
      </c>
    </row>
    <row r="486" spans="1:22" x14ac:dyDescent="0.55000000000000004">
      <c r="A486">
        <v>14497.82</v>
      </c>
      <c r="B486" s="1">
        <v>7.9750000000000001E-2</v>
      </c>
      <c r="C486" s="1">
        <v>7.9750000000000001E-2</v>
      </c>
      <c r="D486" s="2" t="s">
        <v>1515</v>
      </c>
      <c r="E486">
        <v>2</v>
      </c>
      <c r="F486" s="2" t="s">
        <v>1</v>
      </c>
      <c r="G486">
        <v>1</v>
      </c>
      <c r="H486">
        <v>10.5</v>
      </c>
      <c r="I486" s="2" t="s">
        <v>0</v>
      </c>
      <c r="J486">
        <v>2</v>
      </c>
      <c r="K486" s="2" t="s">
        <v>1</v>
      </c>
      <c r="L486">
        <v>1</v>
      </c>
      <c r="M486">
        <v>9.5</v>
      </c>
      <c r="N486" s="2" t="s">
        <v>1589</v>
      </c>
      <c r="O486" t="str">
        <f>D486&amp;"-"&amp;E486&amp;"-"&amp;F486&amp;"-"&amp;G486&amp;"-"&amp;H486</f>
        <v>B-2-f-1-10.5</v>
      </c>
      <c r="P486" t="str">
        <f>I486&amp;"-"&amp;J486&amp;"-"&amp;K486&amp;"-"&amp;L486&amp;"-"&amp;M486</f>
        <v>X-2-f-1-9.5</v>
      </c>
      <c r="Q486">
        <f>A486+R486</f>
        <v>16059.190214</v>
      </c>
      <c r="R486">
        <f>_xlfn.IFNA(VLOOKUP(P486,PGOPHER!A$2:G$181,7,FALSE),_xlfn.IFNA(VLOOKUP(P486,en!A$2:I$768,7,FALSE),-10000))</f>
        <v>1561.370214</v>
      </c>
      <c r="S486">
        <f>IF(O486=O485,Q485+S485,Q486)</f>
        <v>32118.088582</v>
      </c>
      <c r="T486">
        <f>IF(O486=O485,T485+1,1)</f>
        <v>2</v>
      </c>
      <c r="U486">
        <f>IF(O486=O487,"",S486/T486)</f>
        <v>16059.044291</v>
      </c>
      <c r="V486" t="str">
        <f>IF(U486="","",IF(ABS(Q486-U486)&gt;V$1,"error",""))</f>
        <v/>
      </c>
    </row>
    <row r="487" spans="1:22" x14ac:dyDescent="0.55000000000000004">
      <c r="A487">
        <v>14269.63</v>
      </c>
      <c r="B487" s="1">
        <v>1.176E-2</v>
      </c>
      <c r="C487" s="1">
        <v>1.176E-2</v>
      </c>
      <c r="D487" s="2" t="s">
        <v>1515</v>
      </c>
      <c r="E487">
        <v>1</v>
      </c>
      <c r="F487" s="2" t="s">
        <v>2</v>
      </c>
      <c r="G487">
        <v>0</v>
      </c>
      <c r="H487">
        <v>11.5</v>
      </c>
      <c r="I487" s="2" t="s">
        <v>0</v>
      </c>
      <c r="J487">
        <v>1</v>
      </c>
      <c r="K487" s="2" t="s">
        <v>2</v>
      </c>
      <c r="L487">
        <v>0</v>
      </c>
      <c r="M487">
        <v>12.5</v>
      </c>
      <c r="N487" s="2" t="s">
        <v>1677</v>
      </c>
      <c r="O487" t="str">
        <f>D487&amp;"-"&amp;E487&amp;"-"&amp;F487&amp;"-"&amp;G487&amp;"-"&amp;H487</f>
        <v>B-1-e-0-11.5</v>
      </c>
      <c r="P487" t="str">
        <f>I487&amp;"-"&amp;J487&amp;"-"&amp;K487&amp;"-"&amp;L487&amp;"-"&amp;M487</f>
        <v>X-1-e-0-12.5</v>
      </c>
      <c r="Q487">
        <f>A487+R487</f>
        <v>14833.894408</v>
      </c>
      <c r="R487">
        <f>_xlfn.IFNA(VLOOKUP(P487,PGOPHER!A$2:G$181,7,FALSE),_xlfn.IFNA(VLOOKUP(P487,en!A$2:I$768,7,FALSE),-10000))</f>
        <v>564.264408</v>
      </c>
      <c r="S487">
        <f>IF(O487=O486,Q486+S486,Q487)</f>
        <v>14833.894408</v>
      </c>
      <c r="T487">
        <f>IF(O487=O486,T486+1,1)</f>
        <v>1</v>
      </c>
      <c r="U487" t="str">
        <f>IF(O487=O488,"",S487/T487)</f>
        <v/>
      </c>
      <c r="V487" t="str">
        <f>IF(U487="","",IF(ABS(Q487-U487)&gt;V$1,"error",""))</f>
        <v/>
      </c>
    </row>
    <row r="488" spans="1:22" x14ac:dyDescent="0.55000000000000004">
      <c r="A488">
        <v>14435.26</v>
      </c>
      <c r="B488" s="1">
        <v>1.176E-2</v>
      </c>
      <c r="C488" s="1">
        <v>1.176E-2</v>
      </c>
      <c r="D488" s="2" t="s">
        <v>1515</v>
      </c>
      <c r="E488">
        <v>1</v>
      </c>
      <c r="F488" s="2" t="s">
        <v>2</v>
      </c>
      <c r="G488">
        <v>0</v>
      </c>
      <c r="H488">
        <v>11.5</v>
      </c>
      <c r="I488" s="2" t="s">
        <v>0</v>
      </c>
      <c r="J488">
        <v>1</v>
      </c>
      <c r="K488" s="2" t="s">
        <v>2</v>
      </c>
      <c r="L488">
        <v>0</v>
      </c>
      <c r="M488">
        <v>10.5</v>
      </c>
      <c r="N488" s="2" t="s">
        <v>1719</v>
      </c>
      <c r="O488" t="str">
        <f>D488&amp;"-"&amp;E488&amp;"-"&amp;F488&amp;"-"&amp;G488&amp;"-"&amp;H488</f>
        <v>B-1-e-0-11.5</v>
      </c>
      <c r="P488" t="str">
        <f>I488&amp;"-"&amp;J488&amp;"-"&amp;K488&amp;"-"&amp;L488&amp;"-"&amp;M488</f>
        <v>X-1-e-0-10.5</v>
      </c>
      <c r="Q488">
        <f>A488+R488</f>
        <v>14833.91626</v>
      </c>
      <c r="R488">
        <f>_xlfn.IFNA(VLOOKUP(P488,PGOPHER!A$2:G$181,7,FALSE),_xlfn.IFNA(VLOOKUP(P488,en!A$2:I$768,7,FALSE),-10000))</f>
        <v>398.65625999999997</v>
      </c>
      <c r="S488">
        <f>IF(O488=O487,Q487+S487,Q488)</f>
        <v>29667.788816</v>
      </c>
      <c r="T488">
        <f>IF(O488=O487,T487+1,1)</f>
        <v>2</v>
      </c>
      <c r="U488">
        <f>IF(O488=O489,"",S488/T488)</f>
        <v>14833.894408</v>
      </c>
      <c r="V488" t="str">
        <f>IF(U488="","",IF(ABS(Q488-U488)&gt;V$1,"error",""))</f>
        <v/>
      </c>
    </row>
    <row r="489" spans="1:22" x14ac:dyDescent="0.55000000000000004">
      <c r="A489">
        <v>14290.9</v>
      </c>
      <c r="B489" s="1">
        <v>5.7450000000000001E-2</v>
      </c>
      <c r="C489" s="1">
        <v>5.7450000000000001E-2</v>
      </c>
      <c r="D489" s="2" t="s">
        <v>1515</v>
      </c>
      <c r="E489">
        <v>1</v>
      </c>
      <c r="F489" s="2" t="s">
        <v>2</v>
      </c>
      <c r="G489">
        <v>1</v>
      </c>
      <c r="H489">
        <v>11.5</v>
      </c>
      <c r="I489" s="2" t="s">
        <v>0</v>
      </c>
      <c r="J489">
        <v>1</v>
      </c>
      <c r="K489" s="2" t="s">
        <v>2</v>
      </c>
      <c r="L489">
        <v>1</v>
      </c>
      <c r="M489">
        <v>12.5</v>
      </c>
      <c r="N489" s="2" t="s">
        <v>1558</v>
      </c>
      <c r="O489" t="str">
        <f>D489&amp;"-"&amp;E489&amp;"-"&amp;F489&amp;"-"&amp;G489&amp;"-"&amp;H489</f>
        <v>B-1-e-1-11.5</v>
      </c>
      <c r="P489" t="str">
        <f>I489&amp;"-"&amp;J489&amp;"-"&amp;K489&amp;"-"&amp;L489&amp;"-"&amp;M489</f>
        <v>X-1-e-1-12.5</v>
      </c>
      <c r="Q489">
        <f>A489+R489</f>
        <v>16015.427830999999</v>
      </c>
      <c r="R489">
        <f>_xlfn.IFNA(VLOOKUP(P489,PGOPHER!A$2:G$181,7,FALSE),_xlfn.IFNA(VLOOKUP(P489,en!A$2:I$768,7,FALSE),-10000))</f>
        <v>1724.5278310000001</v>
      </c>
      <c r="S489">
        <f>IF(O489=O488,Q488+S488,Q489)</f>
        <v>16015.427830999999</v>
      </c>
      <c r="T489">
        <f>IF(O489=O488,T488+1,1)</f>
        <v>1</v>
      </c>
      <c r="U489" t="str">
        <f>IF(O489=O490,"",S489/T489)</f>
        <v/>
      </c>
      <c r="V489" t="str">
        <f>IF(U489="","",IF(ABS(Q489-U489)&gt;V$1,"error",""))</f>
        <v/>
      </c>
    </row>
    <row r="490" spans="1:22" x14ac:dyDescent="0.55000000000000004">
      <c r="A490">
        <v>14452.71</v>
      </c>
      <c r="B490" s="1">
        <v>5.7450000000000001E-2</v>
      </c>
      <c r="C490" s="1">
        <v>5.7450000000000001E-2</v>
      </c>
      <c r="D490" s="2" t="s">
        <v>1515</v>
      </c>
      <c r="E490">
        <v>1</v>
      </c>
      <c r="F490" s="2" t="s">
        <v>2</v>
      </c>
      <c r="G490">
        <v>1</v>
      </c>
      <c r="H490">
        <v>11.5</v>
      </c>
      <c r="I490" s="2" t="s">
        <v>0</v>
      </c>
      <c r="J490">
        <v>1</v>
      </c>
      <c r="K490" s="2" t="s">
        <v>2</v>
      </c>
      <c r="L490">
        <v>1</v>
      </c>
      <c r="M490">
        <v>10.5</v>
      </c>
      <c r="N490" s="2" t="s">
        <v>1526</v>
      </c>
      <c r="O490" t="str">
        <f>D490&amp;"-"&amp;E490&amp;"-"&amp;F490&amp;"-"&amp;G490&amp;"-"&amp;H490</f>
        <v>B-1-e-1-11.5</v>
      </c>
      <c r="P490" t="str">
        <f>I490&amp;"-"&amp;J490&amp;"-"&amp;K490&amp;"-"&amp;L490&amp;"-"&amp;M490</f>
        <v>X-1-e-1-10.5</v>
      </c>
      <c r="Q490">
        <f>A490+R490</f>
        <v>16015.323186</v>
      </c>
      <c r="R490">
        <f>_xlfn.IFNA(VLOOKUP(P490,PGOPHER!A$2:G$181,7,FALSE),_xlfn.IFNA(VLOOKUP(P490,en!A$2:I$768,7,FALSE),-10000))</f>
        <v>1562.613186</v>
      </c>
      <c r="S490">
        <f>IF(O490=O489,Q489+S489,Q490)</f>
        <v>32030.855661999998</v>
      </c>
      <c r="T490">
        <f>IF(O490=O489,T489+1,1)</f>
        <v>2</v>
      </c>
      <c r="U490">
        <f>IF(O490=O491,"",S490/T490)</f>
        <v>16015.427830999999</v>
      </c>
      <c r="V490" t="str">
        <f>IF(U490="","",IF(ABS(Q490-U490)&gt;V$1,"error",""))</f>
        <v/>
      </c>
    </row>
    <row r="491" spans="1:22" x14ac:dyDescent="0.55000000000000004">
      <c r="A491">
        <v>14313.82</v>
      </c>
      <c r="B491" s="1">
        <v>0.1198</v>
      </c>
      <c r="C491" s="1">
        <v>0.1198</v>
      </c>
      <c r="D491" s="2" t="s">
        <v>1515</v>
      </c>
      <c r="E491">
        <v>2</v>
      </c>
      <c r="F491" s="2" t="s">
        <v>1</v>
      </c>
      <c r="G491">
        <v>0</v>
      </c>
      <c r="H491">
        <v>11.5</v>
      </c>
      <c r="I491" s="2" t="s">
        <v>0</v>
      </c>
      <c r="J491">
        <v>2</v>
      </c>
      <c r="K491" s="2" t="s">
        <v>1</v>
      </c>
      <c r="L491">
        <v>0</v>
      </c>
      <c r="M491">
        <v>12.5</v>
      </c>
      <c r="N491" s="2" t="s">
        <v>1748</v>
      </c>
      <c r="O491" t="str">
        <f>D491&amp;"-"&amp;E491&amp;"-"&amp;F491&amp;"-"&amp;G491&amp;"-"&amp;H491</f>
        <v>B-2-f-0-11.5</v>
      </c>
      <c r="P491" t="str">
        <f>I491&amp;"-"&amp;J491&amp;"-"&amp;K491&amp;"-"&amp;L491&amp;"-"&amp;M491</f>
        <v>X-2-f-0-12.5</v>
      </c>
      <c r="Q491">
        <f>A491+R491</f>
        <v>14969.788097999999</v>
      </c>
      <c r="R491">
        <f>_xlfn.IFNA(VLOOKUP(P491,PGOPHER!A$2:G$181,7,FALSE),_xlfn.IFNA(VLOOKUP(P491,en!A$2:I$768,7,FALSE),-10000))</f>
        <v>655.96809800000005</v>
      </c>
      <c r="S491">
        <f>IF(O491=O490,Q490+S490,Q491)</f>
        <v>14969.788097999999</v>
      </c>
      <c r="T491">
        <f>IF(O491=O490,T490+1,1)</f>
        <v>1</v>
      </c>
      <c r="U491" t="str">
        <f>IF(O491=O492,"",S491/T491)</f>
        <v/>
      </c>
      <c r="V491" t="str">
        <f>IF(U491="","",IF(ABS(Q491-U491)&gt;V$1,"error",""))</f>
        <v/>
      </c>
    </row>
    <row r="492" spans="1:22" x14ac:dyDescent="0.55000000000000004">
      <c r="A492">
        <v>14493.48</v>
      </c>
      <c r="B492" s="1">
        <v>0.1198</v>
      </c>
      <c r="C492" s="1">
        <v>0.1198</v>
      </c>
      <c r="D492" s="2" t="s">
        <v>1515</v>
      </c>
      <c r="E492">
        <v>2</v>
      </c>
      <c r="F492" s="2" t="s">
        <v>1</v>
      </c>
      <c r="G492">
        <v>0</v>
      </c>
      <c r="H492">
        <v>11.5</v>
      </c>
      <c r="I492" s="2" t="s">
        <v>0</v>
      </c>
      <c r="J492">
        <v>2</v>
      </c>
      <c r="K492" s="2" t="s">
        <v>1</v>
      </c>
      <c r="L492">
        <v>0</v>
      </c>
      <c r="M492">
        <v>10.5</v>
      </c>
      <c r="N492" s="2" t="s">
        <v>1787</v>
      </c>
      <c r="O492" t="str">
        <f>D492&amp;"-"&amp;E492&amp;"-"&amp;F492&amp;"-"&amp;G492&amp;"-"&amp;H492</f>
        <v>B-2-f-0-11.5</v>
      </c>
      <c r="P492" t="str">
        <f>I492&amp;"-"&amp;J492&amp;"-"&amp;K492&amp;"-"&amp;L492&amp;"-"&amp;M492</f>
        <v>X-2-f-0-10.5</v>
      </c>
      <c r="Q492">
        <f>A492+R492</f>
        <v>14970.008314999999</v>
      </c>
      <c r="R492">
        <f>_xlfn.IFNA(VLOOKUP(P492,PGOPHER!A$2:G$181,7,FALSE),_xlfn.IFNA(VLOOKUP(P492,en!A$2:I$768,7,FALSE),-10000))</f>
        <v>476.52831500000002</v>
      </c>
      <c r="S492">
        <f>IF(O492=O491,Q491+S491,Q492)</f>
        <v>29939.576195999998</v>
      </c>
      <c r="T492">
        <f>IF(O492=O491,T491+1,1)</f>
        <v>2</v>
      </c>
      <c r="U492">
        <f>IF(O492=O493,"",S492/T492)</f>
        <v>14969.788097999999</v>
      </c>
      <c r="V492" t="str">
        <f>IF(U492="","",IF(ABS(Q492-U492)&gt;V$1,"error",""))</f>
        <v/>
      </c>
    </row>
    <row r="493" spans="1:22" x14ac:dyDescent="0.55000000000000004">
      <c r="A493">
        <v>14335.13</v>
      </c>
      <c r="B493" s="1">
        <v>4.6710000000000002E-2</v>
      </c>
      <c r="C493" s="1">
        <v>4.6710000000000002E-2</v>
      </c>
      <c r="D493" s="2" t="s">
        <v>1515</v>
      </c>
      <c r="E493">
        <v>2</v>
      </c>
      <c r="F493" s="2" t="s">
        <v>1</v>
      </c>
      <c r="G493">
        <v>1</v>
      </c>
      <c r="H493">
        <v>11.5</v>
      </c>
      <c r="I493" s="2" t="s">
        <v>0</v>
      </c>
      <c r="J493">
        <v>2</v>
      </c>
      <c r="K493" s="2" t="s">
        <v>1</v>
      </c>
      <c r="L493">
        <v>1</v>
      </c>
      <c r="M493">
        <v>12.5</v>
      </c>
      <c r="N493" s="2" t="s">
        <v>1606</v>
      </c>
      <c r="O493" t="str">
        <f>D493&amp;"-"&amp;E493&amp;"-"&amp;F493&amp;"-"&amp;G493&amp;"-"&amp;H493</f>
        <v>B-2-f-1-11.5</v>
      </c>
      <c r="P493" t="str">
        <f>I493&amp;"-"&amp;J493&amp;"-"&amp;K493&amp;"-"&amp;L493&amp;"-"&amp;M493</f>
        <v>X-2-f-1-12.5</v>
      </c>
      <c r="Q493">
        <f>A493+R493</f>
        <v>16149.327354999999</v>
      </c>
      <c r="R493">
        <f>_xlfn.IFNA(VLOOKUP(P493,PGOPHER!A$2:G$181,7,FALSE),_xlfn.IFNA(VLOOKUP(P493,en!A$2:I$768,7,FALSE),-10000))</f>
        <v>1814.197355</v>
      </c>
      <c r="S493">
        <f>IF(O493=O492,Q492+S492,Q493)</f>
        <v>16149.327354999999</v>
      </c>
      <c r="T493">
        <f>IF(O493=O492,T492+1,1)</f>
        <v>1</v>
      </c>
      <c r="U493" t="str">
        <f>IF(O493=O494,"",S493/T493)</f>
        <v/>
      </c>
      <c r="V493" t="str">
        <f>IF(U493="","",IF(ABS(Q493-U493)&gt;V$1,"error",""))</f>
        <v/>
      </c>
    </row>
    <row r="494" spans="1:22" x14ac:dyDescent="0.55000000000000004">
      <c r="A494">
        <v>14510.65</v>
      </c>
      <c r="B494" s="1">
        <v>4.6710000000000002E-2</v>
      </c>
      <c r="C494" s="1">
        <v>4.6710000000000002E-2</v>
      </c>
      <c r="D494" s="2" t="s">
        <v>1515</v>
      </c>
      <c r="E494">
        <v>2</v>
      </c>
      <c r="F494" s="2" t="s">
        <v>1</v>
      </c>
      <c r="G494">
        <v>1</v>
      </c>
      <c r="H494">
        <v>11.5</v>
      </c>
      <c r="I494" s="2" t="s">
        <v>0</v>
      </c>
      <c r="J494">
        <v>2</v>
      </c>
      <c r="K494" s="2" t="s">
        <v>1</v>
      </c>
      <c r="L494">
        <v>1</v>
      </c>
      <c r="M494">
        <v>10.5</v>
      </c>
      <c r="N494" s="2" t="s">
        <v>1590</v>
      </c>
      <c r="O494" t="str">
        <f>D494&amp;"-"&amp;E494&amp;"-"&amp;F494&amp;"-"&amp;G494&amp;"-"&amp;H494</f>
        <v>B-2-f-1-11.5</v>
      </c>
      <c r="P494" t="str">
        <f>I494&amp;"-"&amp;J494&amp;"-"&amp;K494&amp;"-"&amp;L494&amp;"-"&amp;M494</f>
        <v>X-2-f-1-10.5</v>
      </c>
      <c r="Q494">
        <f>A494+R494</f>
        <v>16149.413536</v>
      </c>
      <c r="R494">
        <f>_xlfn.IFNA(VLOOKUP(P494,PGOPHER!A$2:G$181,7,FALSE),_xlfn.IFNA(VLOOKUP(P494,en!A$2:I$768,7,FALSE),-10000))</f>
        <v>1638.7635359999999</v>
      </c>
      <c r="S494">
        <f>IF(O494=O493,Q493+S493,Q494)</f>
        <v>32298.654709999999</v>
      </c>
      <c r="T494">
        <f>IF(O494=O493,T493+1,1)</f>
        <v>2</v>
      </c>
      <c r="U494">
        <f>IF(O494=O495,"",S494/T494)</f>
        <v>16149.327354999999</v>
      </c>
      <c r="V494" t="str">
        <f>IF(U494="","",IF(ABS(Q494-U494)&gt;V$1,"error",""))</f>
        <v/>
      </c>
    </row>
    <row r="495" spans="1:22" x14ac:dyDescent="0.55000000000000004">
      <c r="A495">
        <v>14265.32</v>
      </c>
      <c r="B495" s="1">
        <v>4.5589999999999999E-2</v>
      </c>
      <c r="C495" s="1">
        <v>4.5589999999999999E-2</v>
      </c>
      <c r="D495" s="2" t="s">
        <v>1515</v>
      </c>
      <c r="E495">
        <v>1</v>
      </c>
      <c r="F495" s="2" t="s">
        <v>2</v>
      </c>
      <c r="G495">
        <v>0</v>
      </c>
      <c r="H495">
        <v>12.5</v>
      </c>
      <c r="I495" s="2" t="s">
        <v>0</v>
      </c>
      <c r="J495">
        <v>1</v>
      </c>
      <c r="K495" s="2" t="s">
        <v>2</v>
      </c>
      <c r="L495">
        <v>0</v>
      </c>
      <c r="M495">
        <v>13.5</v>
      </c>
      <c r="N495" s="2" t="s">
        <v>1678</v>
      </c>
      <c r="O495" t="str">
        <f>D495&amp;"-"&amp;E495&amp;"-"&amp;F495&amp;"-"&amp;G495&amp;"-"&amp;H495</f>
        <v>B-1-e-0-12.5</v>
      </c>
      <c r="P495" t="str">
        <f>I495&amp;"-"&amp;J495&amp;"-"&amp;K495&amp;"-"&amp;L495&amp;"-"&amp;M495</f>
        <v>X-1-e-0-13.5</v>
      </c>
      <c r="Q495">
        <f>A495+R495</f>
        <v>14922.930721999999</v>
      </c>
      <c r="R495">
        <f>_xlfn.IFNA(VLOOKUP(P495,PGOPHER!A$2:G$181,7,FALSE),_xlfn.IFNA(VLOOKUP(P495,en!A$2:I$768,7,FALSE),-10000))</f>
        <v>657.61072200000001</v>
      </c>
      <c r="S495">
        <f>IF(O495=O494,Q494+S494,Q495)</f>
        <v>14922.930721999999</v>
      </c>
      <c r="T495">
        <f>IF(O495=O494,T494+1,1)</f>
        <v>1</v>
      </c>
      <c r="U495" t="str">
        <f>IF(O495=O496,"",S495/T495)</f>
        <v/>
      </c>
      <c r="V495" t="str">
        <f>IF(U495="","",IF(ABS(Q495-U495)&gt;V$1,"error",""))</f>
        <v/>
      </c>
    </row>
    <row r="496" spans="1:22" x14ac:dyDescent="0.55000000000000004">
      <c r="A496">
        <v>14445.08</v>
      </c>
      <c r="B496" s="1">
        <v>4.5589999999999999E-2</v>
      </c>
      <c r="C496" s="1">
        <v>4.5589999999999999E-2</v>
      </c>
      <c r="D496" s="2" t="s">
        <v>1515</v>
      </c>
      <c r="E496">
        <v>1</v>
      </c>
      <c r="F496" s="2" t="s">
        <v>2</v>
      </c>
      <c r="G496">
        <v>0</v>
      </c>
      <c r="H496">
        <v>12.5</v>
      </c>
      <c r="I496" s="2" t="s">
        <v>0</v>
      </c>
      <c r="J496">
        <v>1</v>
      </c>
      <c r="K496" s="2" t="s">
        <v>2</v>
      </c>
      <c r="L496">
        <v>0</v>
      </c>
      <c r="M496">
        <v>11.5</v>
      </c>
      <c r="N496" s="2" t="s">
        <v>1720</v>
      </c>
      <c r="O496" t="str">
        <f>D496&amp;"-"&amp;E496&amp;"-"&amp;F496&amp;"-"&amp;G496&amp;"-"&amp;H496</f>
        <v>B-1-e-0-12.5</v>
      </c>
      <c r="P496" t="str">
        <f>I496&amp;"-"&amp;J496&amp;"-"&amp;K496&amp;"-"&amp;L496&amp;"-"&amp;M496</f>
        <v>X-1-e-0-11.5</v>
      </c>
      <c r="Q496">
        <f>A496+R496</f>
        <v>14923.013424000001</v>
      </c>
      <c r="R496">
        <f>_xlfn.IFNA(VLOOKUP(P496,PGOPHER!A$2:G$181,7,FALSE),_xlfn.IFNA(VLOOKUP(P496,en!A$2:I$768,7,FALSE),-10000))</f>
        <v>477.933424</v>
      </c>
      <c r="S496">
        <f>IF(O496=O495,Q495+S495,Q496)</f>
        <v>29845.861443999998</v>
      </c>
      <c r="T496">
        <f>IF(O496=O495,T495+1,1)</f>
        <v>2</v>
      </c>
      <c r="U496">
        <f>IF(O496=O497,"",S496/T496)</f>
        <v>14922.930721999999</v>
      </c>
      <c r="V496" t="str">
        <f>IF(U496="","",IF(ABS(Q496-U496)&gt;V$1,"error",""))</f>
        <v/>
      </c>
    </row>
    <row r="497" spans="1:22" x14ac:dyDescent="0.55000000000000004">
      <c r="A497">
        <v>14286.37</v>
      </c>
      <c r="B497" s="1">
        <v>1.485E-2</v>
      </c>
      <c r="C497" s="1">
        <v>1.485E-2</v>
      </c>
      <c r="D497" s="2" t="s">
        <v>1515</v>
      </c>
      <c r="E497">
        <v>1</v>
      </c>
      <c r="F497" s="2" t="s">
        <v>2</v>
      </c>
      <c r="G497">
        <v>1</v>
      </c>
      <c r="H497">
        <v>12.5</v>
      </c>
      <c r="I497" s="2" t="s">
        <v>0</v>
      </c>
      <c r="J497">
        <v>1</v>
      </c>
      <c r="K497" s="2" t="s">
        <v>2</v>
      </c>
      <c r="L497">
        <v>1</v>
      </c>
      <c r="M497">
        <v>13.5</v>
      </c>
      <c r="N497" s="2" t="s">
        <v>1559</v>
      </c>
      <c r="O497" t="str">
        <f>D497&amp;"-"&amp;E497&amp;"-"&amp;F497&amp;"-"&amp;G497&amp;"-"&amp;H497</f>
        <v>B-1-e-1-12.5</v>
      </c>
      <c r="P497" t="str">
        <f>I497&amp;"-"&amp;J497&amp;"-"&amp;K497&amp;"-"&amp;L497&amp;"-"&amp;M497</f>
        <v>X-1-e-1-13.5</v>
      </c>
      <c r="Q497">
        <f>A497+R497</f>
        <v>16102.156175</v>
      </c>
      <c r="R497">
        <f>_xlfn.IFNA(VLOOKUP(P497,PGOPHER!A$2:G$181,7,FALSE),_xlfn.IFNA(VLOOKUP(P497,en!A$2:I$768,7,FALSE),-10000))</f>
        <v>1815.786175</v>
      </c>
      <c r="S497">
        <f>IF(O497=O496,Q496+S496,Q497)</f>
        <v>16102.156175</v>
      </c>
      <c r="T497">
        <f>IF(O497=O496,T496+1,1)</f>
        <v>1</v>
      </c>
      <c r="U497" t="str">
        <f>IF(O497=O498,"",S497/T497)</f>
        <v/>
      </c>
      <c r="V497" t="str">
        <f>IF(U497="","",IF(ABS(Q497-U497)&gt;V$1,"error",""))</f>
        <v/>
      </c>
    </row>
    <row r="498" spans="1:22" x14ac:dyDescent="0.55000000000000004">
      <c r="A498">
        <v>14462.06</v>
      </c>
      <c r="B498" s="1">
        <v>1.485E-2</v>
      </c>
      <c r="C498" s="1">
        <v>1.485E-2</v>
      </c>
      <c r="D498" s="2" t="s">
        <v>1515</v>
      </c>
      <c r="E498">
        <v>1</v>
      </c>
      <c r="F498" s="2" t="s">
        <v>2</v>
      </c>
      <c r="G498">
        <v>1</v>
      </c>
      <c r="H498">
        <v>12.5</v>
      </c>
      <c r="I498" s="2" t="s">
        <v>0</v>
      </c>
      <c r="J498">
        <v>1</v>
      </c>
      <c r="K498" s="2" t="s">
        <v>2</v>
      </c>
      <c r="L498">
        <v>1</v>
      </c>
      <c r="M498">
        <v>11.5</v>
      </c>
      <c r="N498" s="2" t="s">
        <v>1527</v>
      </c>
      <c r="O498" t="str">
        <f>D498&amp;"-"&amp;E498&amp;"-"&amp;F498&amp;"-"&amp;G498&amp;"-"&amp;H498</f>
        <v>B-1-e-1-12.5</v>
      </c>
      <c r="P498" t="str">
        <f>I498&amp;"-"&amp;J498&amp;"-"&amp;K498&amp;"-"&amp;L498&amp;"-"&amp;M498</f>
        <v>X-1-e-1-11.5</v>
      </c>
      <c r="Q498">
        <f>A498+R498</f>
        <v>16102.183633999999</v>
      </c>
      <c r="R498">
        <f>_xlfn.IFNA(VLOOKUP(P498,PGOPHER!A$2:G$181,7,FALSE),_xlfn.IFNA(VLOOKUP(P498,en!A$2:I$768,7,FALSE),-10000))</f>
        <v>1640.123634</v>
      </c>
      <c r="S498">
        <f>IF(O498=O497,Q497+S497,Q498)</f>
        <v>32204.31235</v>
      </c>
      <c r="T498">
        <f>IF(O498=O497,T497+1,1)</f>
        <v>2</v>
      </c>
      <c r="U498">
        <f>IF(O498=O499,"",S498/T498)</f>
        <v>16102.156175</v>
      </c>
      <c r="V498" t="str">
        <f>IF(U498="","",IF(ABS(Q498-U498)&gt;V$1,"error",""))</f>
        <v/>
      </c>
    </row>
    <row r="499" spans="1:22" x14ac:dyDescent="0.55000000000000004">
      <c r="A499">
        <v>14313.47</v>
      </c>
      <c r="B499" s="1">
        <v>8.7400000000000005E-2</v>
      </c>
      <c r="C499" s="1">
        <v>8.7400000000000005E-2</v>
      </c>
      <c r="D499" s="2" t="s">
        <v>1515</v>
      </c>
      <c r="E499">
        <v>2</v>
      </c>
      <c r="F499" s="2" t="s">
        <v>1</v>
      </c>
      <c r="G499">
        <v>0</v>
      </c>
      <c r="H499">
        <v>12.5</v>
      </c>
      <c r="I499" s="2" t="s">
        <v>0</v>
      </c>
      <c r="J499">
        <v>2</v>
      </c>
      <c r="K499" s="2" t="s">
        <v>1</v>
      </c>
      <c r="L499">
        <v>0</v>
      </c>
      <c r="M499">
        <v>13.5</v>
      </c>
      <c r="N499" s="2" t="s">
        <v>1749</v>
      </c>
      <c r="O499" t="str">
        <f>D499&amp;"-"&amp;E499&amp;"-"&amp;F499&amp;"-"&amp;G499&amp;"-"&amp;H499</f>
        <v>B-2-f-0-12.5</v>
      </c>
      <c r="P499" t="str">
        <f>I499&amp;"-"&amp;J499&amp;"-"&amp;K499&amp;"-"&amp;L499&amp;"-"&amp;M499</f>
        <v>X-2-f-0-13.5</v>
      </c>
      <c r="Q499">
        <f>A499+R499</f>
        <v>15069.637869</v>
      </c>
      <c r="R499">
        <f>_xlfn.IFNA(VLOOKUP(P499,PGOPHER!A$2:G$181,7,FALSE),_xlfn.IFNA(VLOOKUP(P499,en!A$2:I$768,7,FALSE),-10000))</f>
        <v>756.167869</v>
      </c>
      <c r="S499">
        <f>IF(O499=O498,Q498+S498,Q499)</f>
        <v>15069.637869</v>
      </c>
      <c r="T499">
        <f>IF(O499=O498,T498+1,1)</f>
        <v>1</v>
      </c>
      <c r="U499" t="str">
        <f>IF(O499=O500,"",S499/T499)</f>
        <v/>
      </c>
      <c r="V499" t="str">
        <f>IF(U499="","",IF(ABS(Q499-U499)&gt;V$1,"error",""))</f>
        <v/>
      </c>
    </row>
    <row r="500" spans="1:22" x14ac:dyDescent="0.55000000000000004">
      <c r="A500">
        <v>14507.06</v>
      </c>
      <c r="B500" s="1">
        <v>8.7400000000000005E-2</v>
      </c>
      <c r="C500" s="1">
        <v>8.7400000000000005E-2</v>
      </c>
      <c r="D500" s="2" t="s">
        <v>1515</v>
      </c>
      <c r="E500">
        <v>2</v>
      </c>
      <c r="F500" s="2" t="s">
        <v>1</v>
      </c>
      <c r="G500">
        <v>0</v>
      </c>
      <c r="H500">
        <v>12.5</v>
      </c>
      <c r="I500" s="2" t="s">
        <v>0</v>
      </c>
      <c r="J500">
        <v>2</v>
      </c>
      <c r="K500" s="2" t="s">
        <v>1</v>
      </c>
      <c r="L500">
        <v>0</v>
      </c>
      <c r="M500">
        <v>11.5</v>
      </c>
      <c r="N500" s="2" t="s">
        <v>1788</v>
      </c>
      <c r="O500" t="str">
        <f>D500&amp;"-"&amp;E500&amp;"-"&amp;F500&amp;"-"&amp;G500&amp;"-"&amp;H500</f>
        <v>B-2-f-0-12.5</v>
      </c>
      <c r="P500" t="str">
        <f>I500&amp;"-"&amp;J500&amp;"-"&amp;K500&amp;"-"&amp;L500&amp;"-"&amp;M500</f>
        <v>X-2-f-0-11.5</v>
      </c>
      <c r="Q500">
        <f>A500+R500</f>
        <v>15069.797865999999</v>
      </c>
      <c r="R500">
        <f>_xlfn.IFNA(VLOOKUP(P500,PGOPHER!A$2:G$181,7,FALSE),_xlfn.IFNA(VLOOKUP(P500,en!A$2:I$768,7,FALSE),-10000))</f>
        <v>562.73786600000005</v>
      </c>
      <c r="S500">
        <f>IF(O500=O499,Q499+S499,Q500)</f>
        <v>30139.275738</v>
      </c>
      <c r="T500">
        <f>IF(O500=O499,T499+1,1)</f>
        <v>2</v>
      </c>
      <c r="U500">
        <f>IF(O500=O501,"",S500/T500)</f>
        <v>15069.637869</v>
      </c>
      <c r="V500" t="str">
        <f>IF(U500="","",IF(ABS(Q500-U500)&gt;V$1,"error",""))</f>
        <v/>
      </c>
    </row>
    <row r="501" spans="1:22" x14ac:dyDescent="0.55000000000000004">
      <c r="A501">
        <v>14334.2</v>
      </c>
      <c r="B501" s="1">
        <v>0.15609999999999999</v>
      </c>
      <c r="C501" s="1">
        <v>0.15609999999999999</v>
      </c>
      <c r="D501" s="2" t="s">
        <v>1515</v>
      </c>
      <c r="E501">
        <v>2</v>
      </c>
      <c r="F501" s="2" t="s">
        <v>1</v>
      </c>
      <c r="G501">
        <v>1</v>
      </c>
      <c r="H501">
        <v>12.5</v>
      </c>
      <c r="I501" s="2" t="s">
        <v>0</v>
      </c>
      <c r="J501">
        <v>2</v>
      </c>
      <c r="K501" s="2" t="s">
        <v>1</v>
      </c>
      <c r="L501">
        <v>1</v>
      </c>
      <c r="M501">
        <v>13.5</v>
      </c>
      <c r="N501" s="2" t="s">
        <v>1607</v>
      </c>
      <c r="O501" t="str">
        <f>D501&amp;"-"&amp;E501&amp;"-"&amp;F501&amp;"-"&amp;G501&amp;"-"&amp;H501</f>
        <v>B-2-f-1-12.5</v>
      </c>
      <c r="P501" t="str">
        <f>I501&amp;"-"&amp;J501&amp;"-"&amp;K501&amp;"-"&amp;L501&amp;"-"&amp;M501</f>
        <v>X-2-f-1-13.5</v>
      </c>
      <c r="Q501">
        <f>A501+R501</f>
        <v>16246.358688</v>
      </c>
      <c r="R501">
        <f>_xlfn.IFNA(VLOOKUP(P501,PGOPHER!A$2:G$181,7,FALSE),_xlfn.IFNA(VLOOKUP(P501,en!A$2:I$768,7,FALSE),-10000))</f>
        <v>1912.158688</v>
      </c>
      <c r="S501">
        <f>IF(O501=O500,Q500+S500,Q501)</f>
        <v>16246.358688</v>
      </c>
      <c r="T501">
        <f>IF(O501=O500,T500+1,1)</f>
        <v>1</v>
      </c>
      <c r="U501" t="str">
        <f>IF(O501=O502,"",S501/T501)</f>
        <v/>
      </c>
      <c r="V501" t="str">
        <f>IF(U501="","",IF(ABS(Q501-U501)&gt;V$1,"error",""))</f>
        <v/>
      </c>
    </row>
    <row r="502" spans="1:22" x14ac:dyDescent="0.55000000000000004">
      <c r="A502">
        <v>14523.59</v>
      </c>
      <c r="B502" s="1">
        <v>0.15609999999999999</v>
      </c>
      <c r="C502" s="1">
        <v>0.15609999999999999</v>
      </c>
      <c r="D502" s="2" t="s">
        <v>1515</v>
      </c>
      <c r="E502">
        <v>2</v>
      </c>
      <c r="F502" s="2" t="s">
        <v>1</v>
      </c>
      <c r="G502">
        <v>1</v>
      </c>
      <c r="H502">
        <v>12.5</v>
      </c>
      <c r="I502" s="2" t="s">
        <v>0</v>
      </c>
      <c r="J502">
        <v>2</v>
      </c>
      <c r="K502" s="2" t="s">
        <v>1</v>
      </c>
      <c r="L502">
        <v>1</v>
      </c>
      <c r="M502">
        <v>11.5</v>
      </c>
      <c r="N502" s="2" t="s">
        <v>1591</v>
      </c>
      <c r="O502" t="str">
        <f>D502&amp;"-"&amp;E502&amp;"-"&amp;F502&amp;"-"&amp;G502&amp;"-"&amp;H502</f>
        <v>B-2-f-1-12.5</v>
      </c>
      <c r="P502" t="str">
        <f>I502&amp;"-"&amp;J502&amp;"-"&amp;K502&amp;"-"&amp;L502&amp;"-"&amp;M502</f>
        <v>X-2-f-1-11.5</v>
      </c>
      <c r="Q502">
        <f>A502+R502</f>
        <v>16246.644291000001</v>
      </c>
      <c r="R502">
        <f>_xlfn.IFNA(VLOOKUP(P502,PGOPHER!A$2:G$181,7,FALSE),_xlfn.IFNA(VLOOKUP(P502,en!A$2:I$768,7,FALSE),-10000))</f>
        <v>1723.0542909999999</v>
      </c>
      <c r="S502">
        <f>IF(O502=O501,Q501+S501,Q502)</f>
        <v>32492.717376000001</v>
      </c>
      <c r="T502">
        <f>IF(O502=O501,T501+1,1)</f>
        <v>2</v>
      </c>
      <c r="U502">
        <f>IF(O502=O503,"",S502/T502)</f>
        <v>16246.358688</v>
      </c>
      <c r="V502" t="str">
        <f>IF(U502="","",IF(ABS(Q502-U502)&gt;V$1,"error",""))</f>
        <v/>
      </c>
    </row>
    <row r="503" spans="1:22" x14ac:dyDescent="0.55000000000000004">
      <c r="A503">
        <v>14261.52</v>
      </c>
      <c r="B503" s="1">
        <v>2.9989999999999999E-2</v>
      </c>
      <c r="C503" s="1">
        <v>2.9989999999999999E-2</v>
      </c>
      <c r="D503" s="2" t="s">
        <v>1515</v>
      </c>
      <c r="E503">
        <v>1</v>
      </c>
      <c r="F503" s="2" t="s">
        <v>2</v>
      </c>
      <c r="G503">
        <v>0</v>
      </c>
      <c r="H503">
        <v>13.5</v>
      </c>
      <c r="I503" s="2" t="s">
        <v>0</v>
      </c>
      <c r="J503">
        <v>1</v>
      </c>
      <c r="K503" s="2" t="s">
        <v>2</v>
      </c>
      <c r="L503">
        <v>0</v>
      </c>
      <c r="M503">
        <v>14.5</v>
      </c>
      <c r="N503" s="2" t="s">
        <v>1679</v>
      </c>
      <c r="O503" t="str">
        <f>D503&amp;"-"&amp;E503&amp;"-"&amp;F503&amp;"-"&amp;G503&amp;"-"&amp;H503</f>
        <v>B-1-e-0-13.5</v>
      </c>
      <c r="P503" t="str">
        <f>I503&amp;"-"&amp;J503&amp;"-"&amp;K503&amp;"-"&amp;L503&amp;"-"&amp;M503</f>
        <v>X-1-e-0-14.5</v>
      </c>
      <c r="Q503">
        <f>A503+R503</f>
        <v>15019.449206000001</v>
      </c>
      <c r="R503">
        <f>_xlfn.IFNA(VLOOKUP(P503,PGOPHER!A$2:G$181,7,FALSE),_xlfn.IFNA(VLOOKUP(P503,en!A$2:I$768,7,FALSE),-10000))</f>
        <v>757.92920600000002</v>
      </c>
      <c r="S503">
        <f>IF(O503=O502,Q502+S502,Q503)</f>
        <v>15019.449206000001</v>
      </c>
      <c r="T503">
        <f>IF(O503=O502,T502+1,1)</f>
        <v>1</v>
      </c>
      <c r="U503" t="str">
        <f>IF(O503=O504,"",S503/T503)</f>
        <v/>
      </c>
      <c r="V503" t="str">
        <f>IF(U503="","",IF(ABS(Q503-U503)&gt;V$1,"error",""))</f>
        <v/>
      </c>
    </row>
    <row r="504" spans="1:22" x14ac:dyDescent="0.55000000000000004">
      <c r="A504">
        <v>14455.24</v>
      </c>
      <c r="B504" s="1">
        <v>2.9989999999999999E-2</v>
      </c>
      <c r="C504" s="1">
        <v>2.9989999999999999E-2</v>
      </c>
      <c r="D504" s="2" t="s">
        <v>1515</v>
      </c>
      <c r="E504">
        <v>1</v>
      </c>
      <c r="F504" s="2" t="s">
        <v>2</v>
      </c>
      <c r="G504">
        <v>0</v>
      </c>
      <c r="H504">
        <v>13.5</v>
      </c>
      <c r="I504" s="2" t="s">
        <v>0</v>
      </c>
      <c r="J504">
        <v>1</v>
      </c>
      <c r="K504" s="2" t="s">
        <v>2</v>
      </c>
      <c r="L504">
        <v>0</v>
      </c>
      <c r="M504">
        <v>12.5</v>
      </c>
      <c r="N504" s="2" t="s">
        <v>1721</v>
      </c>
      <c r="O504" t="str">
        <f>D504&amp;"-"&amp;E504&amp;"-"&amp;F504&amp;"-"&amp;G504&amp;"-"&amp;H504</f>
        <v>B-1-e-0-13.5</v>
      </c>
      <c r="P504" t="str">
        <f>I504&amp;"-"&amp;J504&amp;"-"&amp;K504&amp;"-"&amp;L504&amp;"-"&amp;M504</f>
        <v>X-1-e-0-12.5</v>
      </c>
      <c r="Q504">
        <f>A504+R504</f>
        <v>15019.504408000001</v>
      </c>
      <c r="R504">
        <f>_xlfn.IFNA(VLOOKUP(P504,PGOPHER!A$2:G$181,7,FALSE),_xlfn.IFNA(VLOOKUP(P504,en!A$2:I$768,7,FALSE),-10000))</f>
        <v>564.264408</v>
      </c>
      <c r="S504">
        <f>IF(O504=O503,Q503+S503,Q504)</f>
        <v>30038.898412000002</v>
      </c>
      <c r="T504">
        <f>IF(O504=O503,T503+1,1)</f>
        <v>2</v>
      </c>
      <c r="U504">
        <f>IF(O504=O505,"",S504/T504)</f>
        <v>15019.449206000001</v>
      </c>
      <c r="V504" t="str">
        <f>IF(U504="","",IF(ABS(Q504-U504)&gt;V$1,"error",""))</f>
        <v/>
      </c>
    </row>
    <row r="505" spans="1:22" x14ac:dyDescent="0.55000000000000004">
      <c r="A505">
        <v>14282.28</v>
      </c>
      <c r="B505" s="1">
        <v>2.6509999999999999E-2</v>
      </c>
      <c r="C505" s="1">
        <v>2.6509999999999999E-2</v>
      </c>
      <c r="D505" s="2" t="s">
        <v>1515</v>
      </c>
      <c r="E505">
        <v>1</v>
      </c>
      <c r="F505" s="2" t="s">
        <v>2</v>
      </c>
      <c r="G505">
        <v>1</v>
      </c>
      <c r="H505">
        <v>13.5</v>
      </c>
      <c r="I505" s="2" t="s">
        <v>0</v>
      </c>
      <c r="J505">
        <v>1</v>
      </c>
      <c r="K505" s="2" t="s">
        <v>2</v>
      </c>
      <c r="L505">
        <v>1</v>
      </c>
      <c r="M505">
        <v>14.5</v>
      </c>
      <c r="N505" s="2" t="s">
        <v>1560</v>
      </c>
      <c r="O505" t="str">
        <f>D505&amp;"-"&amp;E505&amp;"-"&amp;F505&amp;"-"&amp;G505&amp;"-"&amp;H505</f>
        <v>B-1-e-1-13.5</v>
      </c>
      <c r="P505" t="str">
        <f>I505&amp;"-"&amp;J505&amp;"-"&amp;K505&amp;"-"&amp;L505&amp;"-"&amp;M505</f>
        <v>X-1-e-1-14.5</v>
      </c>
      <c r="Q505">
        <f>A505+R505</f>
        <v>16196.139444</v>
      </c>
      <c r="R505">
        <f>_xlfn.IFNA(VLOOKUP(P505,PGOPHER!A$2:G$181,7,FALSE),_xlfn.IFNA(VLOOKUP(P505,en!A$2:I$768,7,FALSE),-10000))</f>
        <v>1913.8594439999999</v>
      </c>
      <c r="S505">
        <f>IF(O505=O504,Q504+S504,Q505)</f>
        <v>16196.139444</v>
      </c>
      <c r="T505">
        <f>IF(O505=O504,T504+1,1)</f>
        <v>1</v>
      </c>
      <c r="U505" t="str">
        <f>IF(O505=O506,"",S505/T505)</f>
        <v/>
      </c>
      <c r="V505" t="str">
        <f>IF(U505="","",IF(ABS(Q505-U505)&gt;V$1,"error",""))</f>
        <v/>
      </c>
    </row>
    <row r="506" spans="1:22" x14ac:dyDescent="0.55000000000000004">
      <c r="A506">
        <v>14471.66</v>
      </c>
      <c r="B506" s="1">
        <v>2.6509999999999999E-2</v>
      </c>
      <c r="C506" s="1">
        <v>2.6509999999999999E-2</v>
      </c>
      <c r="D506" s="2" t="s">
        <v>1515</v>
      </c>
      <c r="E506">
        <v>1</v>
      </c>
      <c r="F506" s="2" t="s">
        <v>2</v>
      </c>
      <c r="G506">
        <v>1</v>
      </c>
      <c r="H506">
        <v>13.5</v>
      </c>
      <c r="I506" s="2" t="s">
        <v>0</v>
      </c>
      <c r="J506">
        <v>1</v>
      </c>
      <c r="K506" s="2" t="s">
        <v>2</v>
      </c>
      <c r="L506">
        <v>1</v>
      </c>
      <c r="M506">
        <v>12.5</v>
      </c>
      <c r="N506" s="2" t="s">
        <v>1528</v>
      </c>
      <c r="O506" t="str">
        <f>D506&amp;"-"&amp;E506&amp;"-"&amp;F506&amp;"-"&amp;G506&amp;"-"&amp;H506</f>
        <v>B-1-e-1-13.5</v>
      </c>
      <c r="P506" t="str">
        <f>I506&amp;"-"&amp;J506&amp;"-"&amp;K506&amp;"-"&amp;L506&amp;"-"&amp;M506</f>
        <v>X-1-e-1-12.5</v>
      </c>
      <c r="Q506">
        <f>A506+R506</f>
        <v>16196.187830999999</v>
      </c>
      <c r="R506">
        <f>_xlfn.IFNA(VLOOKUP(P506,PGOPHER!A$2:G$181,7,FALSE),_xlfn.IFNA(VLOOKUP(P506,en!A$2:I$768,7,FALSE),-10000))</f>
        <v>1724.5278310000001</v>
      </c>
      <c r="S506">
        <f>IF(O506=O505,Q505+S505,Q506)</f>
        <v>32392.278888000001</v>
      </c>
      <c r="T506">
        <f>IF(O506=O505,T505+1,1)</f>
        <v>2</v>
      </c>
      <c r="U506">
        <f>IF(O506=O507,"",S506/T506)</f>
        <v>16196.139444</v>
      </c>
      <c r="V506" t="str">
        <f>IF(U506="","",IF(ABS(Q506-U506)&gt;V$1,"error",""))</f>
        <v/>
      </c>
    </row>
    <row r="507" spans="1:22" x14ac:dyDescent="0.55000000000000004">
      <c r="A507">
        <v>14313.82</v>
      </c>
      <c r="B507" s="1">
        <v>0.17760000000000001</v>
      </c>
      <c r="C507" s="1">
        <v>0.17760000000000001</v>
      </c>
      <c r="D507" s="2" t="s">
        <v>1515</v>
      </c>
      <c r="E507">
        <v>2</v>
      </c>
      <c r="F507" s="2" t="s">
        <v>1</v>
      </c>
      <c r="G507">
        <v>0</v>
      </c>
      <c r="H507">
        <v>13.5</v>
      </c>
      <c r="I507" s="2" t="s">
        <v>0</v>
      </c>
      <c r="J507">
        <v>2</v>
      </c>
      <c r="K507" s="2" t="s">
        <v>1</v>
      </c>
      <c r="L507">
        <v>0</v>
      </c>
      <c r="M507">
        <v>14.5</v>
      </c>
      <c r="N507" s="2" t="s">
        <v>1750</v>
      </c>
      <c r="O507" t="str">
        <f>D507&amp;"-"&amp;E507&amp;"-"&amp;F507&amp;"-"&amp;G507&amp;"-"&amp;H507</f>
        <v>B-2-f-0-13.5</v>
      </c>
      <c r="P507" t="str">
        <f>I507&amp;"-"&amp;J507&amp;"-"&amp;K507&amp;"-"&amp;L507&amp;"-"&amp;M507</f>
        <v>X-2-f-0-14.5</v>
      </c>
      <c r="Q507">
        <f>A507+R507</f>
        <v>15177.123004999999</v>
      </c>
      <c r="R507">
        <f>_xlfn.IFNA(VLOOKUP(P507,PGOPHER!A$2:G$181,7,FALSE),_xlfn.IFNA(VLOOKUP(P507,en!A$2:I$768,7,FALSE),-10000))</f>
        <v>863.30300499999998</v>
      </c>
      <c r="S507">
        <f>IF(O507=O506,Q506+S506,Q507)</f>
        <v>15177.123004999999</v>
      </c>
      <c r="T507">
        <f>IF(O507=O506,T506+1,1)</f>
        <v>1</v>
      </c>
      <c r="U507" t="str">
        <f>IF(O507=O508,"",S507/T507)</f>
        <v/>
      </c>
      <c r="V507" t="str">
        <f>IF(U507="","",IF(ABS(Q507-U507)&gt;V$1,"error",""))</f>
        <v/>
      </c>
    </row>
    <row r="508" spans="1:22" x14ac:dyDescent="0.55000000000000004">
      <c r="A508">
        <v>14520.83</v>
      </c>
      <c r="B508" s="1">
        <v>0.17760000000000001</v>
      </c>
      <c r="C508" s="1">
        <v>0.17760000000000001</v>
      </c>
      <c r="D508" s="2" t="s">
        <v>1515</v>
      </c>
      <c r="E508">
        <v>2</v>
      </c>
      <c r="F508" s="2" t="s">
        <v>1</v>
      </c>
      <c r="G508">
        <v>0</v>
      </c>
      <c r="H508">
        <v>13.5</v>
      </c>
      <c r="I508" s="2" t="s">
        <v>0</v>
      </c>
      <c r="J508">
        <v>2</v>
      </c>
      <c r="K508" s="2" t="s">
        <v>1</v>
      </c>
      <c r="L508">
        <v>0</v>
      </c>
      <c r="M508">
        <v>12.5</v>
      </c>
      <c r="N508" s="2" t="s">
        <v>1789</v>
      </c>
      <c r="O508" t="str">
        <f>D508&amp;"-"&amp;E508&amp;"-"&amp;F508&amp;"-"&amp;G508&amp;"-"&amp;H508</f>
        <v>B-2-f-0-13.5</v>
      </c>
      <c r="P508" t="str">
        <f>I508&amp;"-"&amp;J508&amp;"-"&amp;K508&amp;"-"&amp;L508&amp;"-"&amp;M508</f>
        <v>X-2-f-0-12.5</v>
      </c>
      <c r="Q508">
        <f>A508+R508</f>
        <v>15176.798097999999</v>
      </c>
      <c r="R508">
        <f>_xlfn.IFNA(VLOOKUP(P508,PGOPHER!A$2:G$181,7,FALSE),_xlfn.IFNA(VLOOKUP(P508,en!A$2:I$768,7,FALSE),-10000))</f>
        <v>655.96809800000005</v>
      </c>
      <c r="S508">
        <f>IF(O508=O507,Q507+S507,Q508)</f>
        <v>30354.246009999999</v>
      </c>
      <c r="T508">
        <f>IF(O508=O507,T507+1,1)</f>
        <v>2</v>
      </c>
      <c r="U508">
        <f>IF(O508=O509,"",S508/T508)</f>
        <v>15177.123004999999</v>
      </c>
      <c r="V508" t="str">
        <f>IF(U508="","",IF(ABS(Q508-U508)&gt;V$1,"error",""))</f>
        <v/>
      </c>
    </row>
    <row r="509" spans="1:22" x14ac:dyDescent="0.55000000000000004">
      <c r="A509">
        <v>14333.8</v>
      </c>
      <c r="B509" s="1">
        <v>0.28560000000000002</v>
      </c>
      <c r="C509" s="1">
        <v>0.28560000000000002</v>
      </c>
      <c r="D509" s="2" t="s">
        <v>1515</v>
      </c>
      <c r="E509">
        <v>2</v>
      </c>
      <c r="F509" s="2" t="s">
        <v>1</v>
      </c>
      <c r="G509">
        <v>1</v>
      </c>
      <c r="H509">
        <v>13.5</v>
      </c>
      <c r="I509" s="2" t="s">
        <v>0</v>
      </c>
      <c r="J509">
        <v>2</v>
      </c>
      <c r="K509" s="2" t="s">
        <v>1</v>
      </c>
      <c r="L509">
        <v>1</v>
      </c>
      <c r="M509">
        <v>14.5</v>
      </c>
      <c r="N509" s="2" t="s">
        <v>1608</v>
      </c>
      <c r="O509" t="str">
        <f>D509&amp;"-"&amp;E509&amp;"-"&amp;F509&amp;"-"&amp;G509&amp;"-"&amp;H509</f>
        <v>B-2-f-1-13.5</v>
      </c>
      <c r="P509" t="str">
        <f>I509&amp;"-"&amp;J509&amp;"-"&amp;K509&amp;"-"&amp;L509&amp;"-"&amp;M509</f>
        <v>X-2-f-1-14.5</v>
      </c>
      <c r="Q509">
        <f>A509+R509</f>
        <v>16350.685837999999</v>
      </c>
      <c r="R509">
        <f>_xlfn.IFNA(VLOOKUP(P509,PGOPHER!A$2:G$181,7,FALSE),_xlfn.IFNA(VLOOKUP(P509,en!A$2:I$768,7,FALSE),-10000))</f>
        <v>2016.8858379999999</v>
      </c>
      <c r="S509">
        <f>IF(O509=O508,Q508+S508,Q509)</f>
        <v>16350.685837999999</v>
      </c>
      <c r="T509">
        <f>IF(O509=O508,T508+1,1)</f>
        <v>1</v>
      </c>
      <c r="U509" t="str">
        <f>IF(O509=O510,"",S509/T509)</f>
        <v/>
      </c>
      <c r="V509" t="str">
        <f>IF(U509="","",IF(ABS(Q509-U509)&gt;V$1,"error",""))</f>
        <v/>
      </c>
    </row>
    <row r="510" spans="1:22" x14ac:dyDescent="0.55000000000000004">
      <c r="A510">
        <v>14537.01</v>
      </c>
      <c r="B510" s="1">
        <v>0.28560000000000002</v>
      </c>
      <c r="C510" s="1">
        <v>0.28560000000000002</v>
      </c>
      <c r="D510" s="2" t="s">
        <v>1515</v>
      </c>
      <c r="E510">
        <v>2</v>
      </c>
      <c r="F510" s="2" t="s">
        <v>1</v>
      </c>
      <c r="G510">
        <v>1</v>
      </c>
      <c r="H510">
        <v>13.5</v>
      </c>
      <c r="I510" s="2" t="s">
        <v>0</v>
      </c>
      <c r="J510">
        <v>2</v>
      </c>
      <c r="K510" s="2" t="s">
        <v>1</v>
      </c>
      <c r="L510">
        <v>1</v>
      </c>
      <c r="M510">
        <v>12.5</v>
      </c>
      <c r="N510" s="2" t="s">
        <v>1592</v>
      </c>
      <c r="O510" t="str">
        <f>D510&amp;"-"&amp;E510&amp;"-"&amp;F510&amp;"-"&amp;G510&amp;"-"&amp;H510</f>
        <v>B-2-f-1-13.5</v>
      </c>
      <c r="P510" t="str">
        <f>I510&amp;"-"&amp;J510&amp;"-"&amp;K510&amp;"-"&amp;L510&amp;"-"&amp;M510</f>
        <v>X-2-f-1-12.5</v>
      </c>
      <c r="Q510">
        <f>A510+R510</f>
        <v>16351.207355</v>
      </c>
      <c r="R510">
        <f>_xlfn.IFNA(VLOOKUP(P510,PGOPHER!A$2:G$181,7,FALSE),_xlfn.IFNA(VLOOKUP(P510,en!A$2:I$768,7,FALSE),-10000))</f>
        <v>1814.197355</v>
      </c>
      <c r="S510">
        <f>IF(O510=O509,Q509+S509,Q510)</f>
        <v>32701.371675999999</v>
      </c>
      <c r="T510">
        <f>IF(O510=O509,T509+1,1)</f>
        <v>2</v>
      </c>
      <c r="U510">
        <f>IF(O510=O511,"",S510/T510)</f>
        <v>16350.685837999999</v>
      </c>
      <c r="V510" t="str">
        <f>IF(U510="","",IF(ABS(Q510-U510)&gt;V$1,"error",""))</f>
        <v>error</v>
      </c>
    </row>
    <row r="511" spans="1:22" x14ac:dyDescent="0.55000000000000004">
      <c r="A511">
        <v>14258.06</v>
      </c>
      <c r="B511" s="1">
        <v>5.1240000000000001E-2</v>
      </c>
      <c r="C511" s="1">
        <v>5.1240000000000001E-2</v>
      </c>
      <c r="D511" s="2" t="s">
        <v>1515</v>
      </c>
      <c r="E511">
        <v>1</v>
      </c>
      <c r="F511" s="2" t="s">
        <v>2</v>
      </c>
      <c r="G511">
        <v>0</v>
      </c>
      <c r="H511">
        <v>14.5</v>
      </c>
      <c r="I511" s="2" t="s">
        <v>0</v>
      </c>
      <c r="J511">
        <v>1</v>
      </c>
      <c r="K511" s="2" t="s">
        <v>2</v>
      </c>
      <c r="L511">
        <v>0</v>
      </c>
      <c r="M511">
        <v>15.5</v>
      </c>
      <c r="N511" s="2" t="s">
        <v>1680</v>
      </c>
      <c r="O511" t="str">
        <f>D511&amp;"-"&amp;E511&amp;"-"&amp;F511&amp;"-"&amp;G511&amp;"-"&amp;H511</f>
        <v>B-1-e-0-14.5</v>
      </c>
      <c r="P511" t="str">
        <f>I511&amp;"-"&amp;J511&amp;"-"&amp;K511&amp;"-"&amp;L511&amp;"-"&amp;M511</f>
        <v>X-1-e-0-15.5</v>
      </c>
      <c r="Q511">
        <f>A511+R511</f>
        <v>15123.237658999999</v>
      </c>
      <c r="R511">
        <f>_xlfn.IFNA(VLOOKUP(P511,PGOPHER!A$2:G$181,7,FALSE),_xlfn.IFNA(VLOOKUP(P511,en!A$2:I$768,7,FALSE),-10000))</f>
        <v>865.17765899999995</v>
      </c>
      <c r="S511">
        <f>IF(O511=O510,Q510+S510,Q511)</f>
        <v>15123.237658999999</v>
      </c>
      <c r="T511">
        <f>IF(O511=O510,T510+1,1)</f>
        <v>1</v>
      </c>
      <c r="U511" t="str">
        <f>IF(O511=O512,"",S511/T511)</f>
        <v/>
      </c>
      <c r="V511" t="str">
        <f>IF(U511="","",IF(ABS(Q511-U511)&gt;V$1,"error",""))</f>
        <v/>
      </c>
    </row>
    <row r="512" spans="1:22" x14ac:dyDescent="0.55000000000000004">
      <c r="A512">
        <v>14465.72</v>
      </c>
      <c r="B512" s="1">
        <v>5.1240000000000001E-2</v>
      </c>
      <c r="C512" s="1">
        <v>5.1240000000000001E-2</v>
      </c>
      <c r="D512" s="2" t="s">
        <v>1515</v>
      </c>
      <c r="E512">
        <v>1</v>
      </c>
      <c r="F512" s="2" t="s">
        <v>2</v>
      </c>
      <c r="G512">
        <v>0</v>
      </c>
      <c r="H512">
        <v>14.5</v>
      </c>
      <c r="I512" s="2" t="s">
        <v>0</v>
      </c>
      <c r="J512">
        <v>1</v>
      </c>
      <c r="K512" s="2" t="s">
        <v>2</v>
      </c>
      <c r="L512">
        <v>0</v>
      </c>
      <c r="M512">
        <v>13.5</v>
      </c>
      <c r="N512" s="2" t="s">
        <v>1722</v>
      </c>
      <c r="O512" t="str">
        <f>D512&amp;"-"&amp;E512&amp;"-"&amp;F512&amp;"-"&amp;G512&amp;"-"&amp;H512</f>
        <v>B-1-e-0-14.5</v>
      </c>
      <c r="P512" t="str">
        <f>I512&amp;"-"&amp;J512&amp;"-"&amp;K512&amp;"-"&amp;L512&amp;"-"&amp;M512</f>
        <v>X-1-e-0-13.5</v>
      </c>
      <c r="Q512">
        <f>A512+R512</f>
        <v>15123.330721999999</v>
      </c>
      <c r="R512">
        <f>_xlfn.IFNA(VLOOKUP(P512,PGOPHER!A$2:G$181,7,FALSE),_xlfn.IFNA(VLOOKUP(P512,en!A$2:I$768,7,FALSE),-10000))</f>
        <v>657.61072200000001</v>
      </c>
      <c r="S512">
        <f>IF(O512=O511,Q511+S511,Q512)</f>
        <v>30246.475317999997</v>
      </c>
      <c r="T512">
        <f>IF(O512=O511,T511+1,1)</f>
        <v>2</v>
      </c>
      <c r="U512">
        <f>IF(O512=O513,"",S512/T512)</f>
        <v>15123.237658999999</v>
      </c>
      <c r="V512" t="str">
        <f>IF(U512="","",IF(ABS(Q512-U512)&gt;V$1,"error",""))</f>
        <v/>
      </c>
    </row>
    <row r="513" spans="1:22" x14ac:dyDescent="0.55000000000000004">
      <c r="A513">
        <v>14276.68</v>
      </c>
      <c r="B513" s="1">
        <v>1.095</v>
      </c>
      <c r="C513" s="1">
        <v>1.095</v>
      </c>
      <c r="D513" s="2" t="s">
        <v>1515</v>
      </c>
      <c r="E513">
        <v>1</v>
      </c>
      <c r="F513" s="2" t="s">
        <v>2</v>
      </c>
      <c r="G513">
        <v>1</v>
      </c>
      <c r="H513">
        <v>14.5</v>
      </c>
      <c r="I513" s="2" t="s">
        <v>0</v>
      </c>
      <c r="J513">
        <v>1</v>
      </c>
      <c r="K513" s="2" t="s">
        <v>2</v>
      </c>
      <c r="L513">
        <v>1</v>
      </c>
      <c r="M513">
        <v>15.5</v>
      </c>
      <c r="N513" s="2" t="s">
        <v>1561</v>
      </c>
      <c r="O513" t="str">
        <f>D513&amp;"-"&amp;E513&amp;"-"&amp;F513&amp;"-"&amp;G513&amp;"-"&amp;H513</f>
        <v>B-1-e-1-14.5</v>
      </c>
      <c r="P513" t="str">
        <f>I513&amp;"-"&amp;J513&amp;"-"&amp;K513&amp;"-"&amp;L513&amp;"-"&amp;M513</f>
        <v>X-1-e-1-15.5</v>
      </c>
      <c r="Q513">
        <f>A513+R513</f>
        <v>16295.380932</v>
      </c>
      <c r="R513">
        <f>_xlfn.IFNA(VLOOKUP(P513,PGOPHER!A$2:G$181,7,FALSE),_xlfn.IFNA(VLOOKUP(P513,en!A$2:I$768,7,FALSE),-10000))</f>
        <v>2018.700932</v>
      </c>
      <c r="S513">
        <f>IF(O513=O512,Q512+S512,Q513)</f>
        <v>16295.380932</v>
      </c>
      <c r="T513">
        <f>IF(O513=O512,T512+1,1)</f>
        <v>1</v>
      </c>
      <c r="U513" t="str">
        <f>IF(O513=O514,"",S513/T513)</f>
        <v/>
      </c>
      <c r="V513" t="str">
        <f>IF(U513="","",IF(ABS(Q513-U513)&gt;V$1,"error",""))</f>
        <v/>
      </c>
    </row>
    <row r="514" spans="1:22" x14ac:dyDescent="0.55000000000000004">
      <c r="A514">
        <v>14481.6</v>
      </c>
      <c r="B514" s="1">
        <v>1.095</v>
      </c>
      <c r="C514" s="1">
        <v>1.095</v>
      </c>
      <c r="D514" s="2" t="s">
        <v>1515</v>
      </c>
      <c r="E514">
        <v>1</v>
      </c>
      <c r="F514" s="2" t="s">
        <v>2</v>
      </c>
      <c r="G514">
        <v>1</v>
      </c>
      <c r="H514">
        <v>14.5</v>
      </c>
      <c r="I514" s="2" t="s">
        <v>0</v>
      </c>
      <c r="J514">
        <v>1</v>
      </c>
      <c r="K514" s="2" t="s">
        <v>2</v>
      </c>
      <c r="L514">
        <v>1</v>
      </c>
      <c r="M514">
        <v>13.5</v>
      </c>
      <c r="N514" s="2" t="s">
        <v>1529</v>
      </c>
      <c r="O514" t="str">
        <f>D514&amp;"-"&amp;E514&amp;"-"&amp;F514&amp;"-"&amp;G514&amp;"-"&amp;H514</f>
        <v>B-1-e-1-14.5</v>
      </c>
      <c r="P514" t="str">
        <f>I514&amp;"-"&amp;J514&amp;"-"&amp;K514&amp;"-"&amp;L514&amp;"-"&amp;M514</f>
        <v>X-1-e-1-13.5</v>
      </c>
      <c r="Q514">
        <f>A514+R514</f>
        <v>16297.386175</v>
      </c>
      <c r="R514">
        <f>_xlfn.IFNA(VLOOKUP(P514,PGOPHER!A$2:G$181,7,FALSE),_xlfn.IFNA(VLOOKUP(P514,en!A$2:I$768,7,FALSE),-10000))</f>
        <v>1815.786175</v>
      </c>
      <c r="S514">
        <f>IF(O514=O513,Q513+S513,Q514)</f>
        <v>32590.761864</v>
      </c>
      <c r="T514">
        <f>IF(O514=O513,T513+1,1)</f>
        <v>2</v>
      </c>
      <c r="U514">
        <f>IF(O514=O515,"",S514/T514)</f>
        <v>16295.380932</v>
      </c>
      <c r="V514" t="str">
        <f>IF(U514="","",IF(ABS(Q514-U514)&gt;V$1,"error",""))</f>
        <v>error</v>
      </c>
    </row>
    <row r="515" spans="1:22" x14ac:dyDescent="0.55000000000000004">
      <c r="A515">
        <v>14314.28</v>
      </c>
      <c r="B515" s="1">
        <v>0.28820000000000001</v>
      </c>
      <c r="C515" s="1">
        <v>0.28820000000000001</v>
      </c>
      <c r="D515" s="2" t="s">
        <v>1515</v>
      </c>
      <c r="E515">
        <v>2</v>
      </c>
      <c r="F515" s="2" t="s">
        <v>1</v>
      </c>
      <c r="G515">
        <v>0</v>
      </c>
      <c r="H515">
        <v>14.5</v>
      </c>
      <c r="I515" s="2" t="s">
        <v>0</v>
      </c>
      <c r="J515">
        <v>2</v>
      </c>
      <c r="K515" s="2" t="s">
        <v>1</v>
      </c>
      <c r="L515">
        <v>0</v>
      </c>
      <c r="M515">
        <v>15.5</v>
      </c>
      <c r="N515" s="2" t="s">
        <v>1751</v>
      </c>
      <c r="O515" t="str">
        <f>D515&amp;"-"&amp;E515&amp;"-"&amp;F515&amp;"-"&amp;G515&amp;"-"&amp;H515</f>
        <v>B-2-f-0-14.5</v>
      </c>
      <c r="P515" t="str">
        <f>I515&amp;"-"&amp;J515&amp;"-"&amp;K515&amp;"-"&amp;L515&amp;"-"&amp;M515</f>
        <v>X-2-f-0-15.5</v>
      </c>
      <c r="Q515">
        <f>A515+R515</f>
        <v>15291.594107000001</v>
      </c>
      <c r="R515">
        <f>_xlfn.IFNA(VLOOKUP(P515,PGOPHER!A$2:G$181,7,FALSE),_xlfn.IFNA(VLOOKUP(P515,en!A$2:I$768,7,FALSE),-10000))</f>
        <v>977.31410700000004</v>
      </c>
      <c r="S515">
        <f>IF(O515=O514,Q514+S514,Q515)</f>
        <v>15291.594107000001</v>
      </c>
      <c r="T515">
        <f>IF(O515=O514,T514+1,1)</f>
        <v>1</v>
      </c>
      <c r="U515" t="str">
        <f>IF(O515=O516,"",S515/T515)</f>
        <v/>
      </c>
      <c r="V515" t="str">
        <f>IF(U515="","",IF(ABS(Q515-U515)&gt;V$1,"error",""))</f>
        <v/>
      </c>
    </row>
    <row r="516" spans="1:22" x14ac:dyDescent="0.55000000000000004">
      <c r="A516">
        <v>14534.9</v>
      </c>
      <c r="B516" s="1">
        <v>0.28820000000000001</v>
      </c>
      <c r="C516" s="1">
        <v>0.28820000000000001</v>
      </c>
      <c r="D516" s="2" t="s">
        <v>1515</v>
      </c>
      <c r="E516">
        <v>2</v>
      </c>
      <c r="F516" s="2" t="s">
        <v>1</v>
      </c>
      <c r="G516">
        <v>0</v>
      </c>
      <c r="H516">
        <v>14.5</v>
      </c>
      <c r="I516" s="2" t="s">
        <v>0</v>
      </c>
      <c r="J516">
        <v>2</v>
      </c>
      <c r="K516" s="2" t="s">
        <v>1</v>
      </c>
      <c r="L516">
        <v>0</v>
      </c>
      <c r="M516">
        <v>13.5</v>
      </c>
      <c r="N516" s="2" t="s">
        <v>1790</v>
      </c>
      <c r="O516" t="str">
        <f>D516&amp;"-"&amp;E516&amp;"-"&amp;F516&amp;"-"&amp;G516&amp;"-"&amp;H516</f>
        <v>B-2-f-0-14.5</v>
      </c>
      <c r="P516" t="str">
        <f>I516&amp;"-"&amp;J516&amp;"-"&amp;K516&amp;"-"&amp;L516&amp;"-"&amp;M516</f>
        <v>X-2-f-0-13.5</v>
      </c>
      <c r="Q516">
        <f>A516+R516</f>
        <v>15291.067869</v>
      </c>
      <c r="R516">
        <f>_xlfn.IFNA(VLOOKUP(P516,PGOPHER!A$2:G$181,7,FALSE),_xlfn.IFNA(VLOOKUP(P516,en!A$2:I$768,7,FALSE),-10000))</f>
        <v>756.167869</v>
      </c>
      <c r="S516">
        <f>IF(O516=O515,Q515+S515,Q516)</f>
        <v>30583.188214000002</v>
      </c>
      <c r="T516">
        <f>IF(O516=O515,T515+1,1)</f>
        <v>2</v>
      </c>
      <c r="U516">
        <f>IF(O516=O517,"",S516/T516)</f>
        <v>15291.594107000001</v>
      </c>
      <c r="V516" t="str">
        <f>IF(U516="","",IF(ABS(Q516-U516)&gt;V$1,"error",""))</f>
        <v>error</v>
      </c>
    </row>
    <row r="517" spans="1:22" x14ac:dyDescent="0.55000000000000004">
      <c r="A517">
        <v>14334.2</v>
      </c>
      <c r="B517" s="1">
        <v>0.1144</v>
      </c>
      <c r="C517" s="1">
        <v>0.1144</v>
      </c>
      <c r="D517" s="2" t="s">
        <v>1515</v>
      </c>
      <c r="E517">
        <v>2</v>
      </c>
      <c r="F517" s="2" t="s">
        <v>1</v>
      </c>
      <c r="G517">
        <v>1</v>
      </c>
      <c r="H517">
        <v>14.5</v>
      </c>
      <c r="I517" s="2" t="s">
        <v>0</v>
      </c>
      <c r="J517">
        <v>2</v>
      </c>
      <c r="K517" s="2" t="s">
        <v>1</v>
      </c>
      <c r="L517">
        <v>1</v>
      </c>
      <c r="M517">
        <v>15.5</v>
      </c>
      <c r="N517" s="2" t="s">
        <v>1609</v>
      </c>
      <c r="O517" t="str">
        <f>D517&amp;"-"&amp;E517&amp;"-"&amp;F517&amp;"-"&amp;G517&amp;"-"&amp;H517</f>
        <v>B-2-f-1-14.5</v>
      </c>
      <c r="P517" t="str">
        <f>I517&amp;"-"&amp;J517&amp;"-"&amp;K517&amp;"-"&amp;L517&amp;"-"&amp;M517</f>
        <v>X-2-f-1-15.5</v>
      </c>
      <c r="Q517">
        <f>A517+R517</f>
        <v>16462.540768999999</v>
      </c>
      <c r="R517">
        <f>_xlfn.IFNA(VLOOKUP(P517,PGOPHER!A$2:G$181,7,FALSE),_xlfn.IFNA(VLOOKUP(P517,en!A$2:I$768,7,FALSE),-10000))</f>
        <v>2128.3407689999999</v>
      </c>
      <c r="S517">
        <f>IF(O517=O516,Q516+S516,Q517)</f>
        <v>16462.540768999999</v>
      </c>
      <c r="T517">
        <f>IF(O517=O516,T516+1,1)</f>
        <v>1</v>
      </c>
      <c r="U517" t="str">
        <f>IF(O517=O518,"",S517/T517)</f>
        <v/>
      </c>
      <c r="V517" t="str">
        <f>IF(U517="","",IF(ABS(Q517-U517)&gt;V$1,"error",""))</f>
        <v/>
      </c>
    </row>
    <row r="518" spans="1:22" x14ac:dyDescent="0.55000000000000004">
      <c r="A518">
        <v>14550.17</v>
      </c>
      <c r="B518" s="1">
        <v>0.1144</v>
      </c>
      <c r="C518" s="1">
        <v>0.1144</v>
      </c>
      <c r="D518" s="2" t="s">
        <v>1515</v>
      </c>
      <c r="E518">
        <v>2</v>
      </c>
      <c r="F518" s="2" t="s">
        <v>1</v>
      </c>
      <c r="G518">
        <v>1</v>
      </c>
      <c r="H518">
        <v>14.5</v>
      </c>
      <c r="I518" s="2" t="s">
        <v>0</v>
      </c>
      <c r="J518">
        <v>2</v>
      </c>
      <c r="K518" s="2" t="s">
        <v>1</v>
      </c>
      <c r="L518">
        <v>1</v>
      </c>
      <c r="M518">
        <v>13.5</v>
      </c>
      <c r="N518" s="2" t="s">
        <v>1593</v>
      </c>
      <c r="O518" t="str">
        <f>D518&amp;"-"&amp;E518&amp;"-"&amp;F518&amp;"-"&amp;G518&amp;"-"&amp;H518</f>
        <v>B-2-f-1-14.5</v>
      </c>
      <c r="P518" t="str">
        <f>I518&amp;"-"&amp;J518&amp;"-"&amp;K518&amp;"-"&amp;L518&amp;"-"&amp;M518</f>
        <v>X-2-f-1-13.5</v>
      </c>
      <c r="Q518">
        <f>A518+R518</f>
        <v>16462.328688000001</v>
      </c>
      <c r="R518">
        <f>_xlfn.IFNA(VLOOKUP(P518,PGOPHER!A$2:G$181,7,FALSE),_xlfn.IFNA(VLOOKUP(P518,en!A$2:I$768,7,FALSE),-10000))</f>
        <v>1912.158688</v>
      </c>
      <c r="S518">
        <f>IF(O518=O517,Q517+S517,Q518)</f>
        <v>32925.081537999999</v>
      </c>
      <c r="T518">
        <f>IF(O518=O517,T517+1,1)</f>
        <v>2</v>
      </c>
      <c r="U518">
        <f>IF(O518=O519,"",S518/T518)</f>
        <v>16462.540768999999</v>
      </c>
      <c r="V518" t="str">
        <f>IF(U518="","",IF(ABS(Q518-U518)&gt;V$1,"error",""))</f>
        <v/>
      </c>
    </row>
    <row r="519" spans="1:22" x14ac:dyDescent="0.55000000000000004">
      <c r="A519">
        <v>14255.04</v>
      </c>
      <c r="B519" s="1">
        <v>4.4420000000000001E-2</v>
      </c>
      <c r="C519" s="1">
        <v>4.4420000000000001E-2</v>
      </c>
      <c r="D519" s="2" t="s">
        <v>1515</v>
      </c>
      <c r="E519">
        <v>1</v>
      </c>
      <c r="F519" s="2" t="s">
        <v>2</v>
      </c>
      <c r="G519">
        <v>0</v>
      </c>
      <c r="H519">
        <v>15.5</v>
      </c>
      <c r="I519" s="2" t="s">
        <v>0</v>
      </c>
      <c r="J519">
        <v>1</v>
      </c>
      <c r="K519" s="2" t="s">
        <v>2</v>
      </c>
      <c r="L519">
        <v>0</v>
      </c>
      <c r="M519">
        <v>16.5</v>
      </c>
      <c r="N519" s="2" t="s">
        <v>1681</v>
      </c>
      <c r="O519" t="str">
        <f>D519&amp;"-"&amp;E519&amp;"-"&amp;F519&amp;"-"&amp;G519&amp;"-"&amp;H519</f>
        <v>B-1-e-0-15.5</v>
      </c>
      <c r="P519" t="str">
        <f>I519&amp;"-"&amp;J519&amp;"-"&amp;K519&amp;"-"&amp;L519&amp;"-"&amp;M519</f>
        <v>X-1-e-0-16.5</v>
      </c>
      <c r="Q519">
        <f>A519+R519</f>
        <v>15234.347965000001</v>
      </c>
      <c r="R519">
        <f>_xlfn.IFNA(VLOOKUP(P519,PGOPHER!A$2:G$181,7,FALSE),_xlfn.IFNA(VLOOKUP(P519,en!A$2:I$768,7,FALSE),-10000))</f>
        <v>979.30796499999997</v>
      </c>
      <c r="S519">
        <f>IF(O519=O518,Q518+S518,Q519)</f>
        <v>15234.347965000001</v>
      </c>
      <c r="T519">
        <f>IF(O519=O518,T518+1,1)</f>
        <v>1</v>
      </c>
      <c r="U519" t="str">
        <f>IF(O519=O520,"",S519/T519)</f>
        <v/>
      </c>
      <c r="V519" t="str">
        <f>IF(U519="","",IF(ABS(Q519-U519)&gt;V$1,"error",""))</f>
        <v/>
      </c>
    </row>
    <row r="520" spans="1:22" x14ac:dyDescent="0.55000000000000004">
      <c r="A520">
        <v>14476.5</v>
      </c>
      <c r="B520" s="1">
        <v>4.4420000000000001E-2</v>
      </c>
      <c r="C520" s="1">
        <v>4.4420000000000001E-2</v>
      </c>
      <c r="D520" s="2" t="s">
        <v>1515</v>
      </c>
      <c r="E520">
        <v>1</v>
      </c>
      <c r="F520" s="2" t="s">
        <v>2</v>
      </c>
      <c r="G520">
        <v>0</v>
      </c>
      <c r="H520">
        <v>15.5</v>
      </c>
      <c r="I520" s="2" t="s">
        <v>0</v>
      </c>
      <c r="J520">
        <v>1</v>
      </c>
      <c r="K520" s="2" t="s">
        <v>2</v>
      </c>
      <c r="L520">
        <v>0</v>
      </c>
      <c r="M520">
        <v>14.5</v>
      </c>
      <c r="N520" s="2" t="s">
        <v>1723</v>
      </c>
      <c r="O520" t="str">
        <f>D520&amp;"-"&amp;E520&amp;"-"&amp;F520&amp;"-"&amp;G520&amp;"-"&amp;H520</f>
        <v>B-1-e-0-15.5</v>
      </c>
      <c r="P520" t="str">
        <f>I520&amp;"-"&amp;J520&amp;"-"&amp;K520&amp;"-"&amp;L520&amp;"-"&amp;M520</f>
        <v>X-1-e-0-14.5</v>
      </c>
      <c r="Q520">
        <f>A520+R520</f>
        <v>15234.429206000001</v>
      </c>
      <c r="R520">
        <f>_xlfn.IFNA(VLOOKUP(P520,PGOPHER!A$2:G$181,7,FALSE),_xlfn.IFNA(VLOOKUP(P520,en!A$2:I$768,7,FALSE),-10000))</f>
        <v>757.92920600000002</v>
      </c>
      <c r="S520">
        <f>IF(O520=O519,Q519+S519,Q520)</f>
        <v>30468.695930000002</v>
      </c>
      <c r="T520">
        <f>IF(O520=O519,T519+1,1)</f>
        <v>2</v>
      </c>
      <c r="U520">
        <f>IF(O520=O521,"",S520/T520)</f>
        <v>15234.347965000001</v>
      </c>
      <c r="V520" t="str">
        <f>IF(U520="","",IF(ABS(Q520-U520)&gt;V$1,"error",""))</f>
        <v/>
      </c>
    </row>
    <row r="521" spans="1:22" x14ac:dyDescent="0.55000000000000004">
      <c r="A521">
        <v>14275.49</v>
      </c>
      <c r="B521" s="1">
        <v>6.8930000000000005E-2</v>
      </c>
      <c r="C521" s="1">
        <v>6.8930000000000005E-2</v>
      </c>
      <c r="D521" s="2" t="s">
        <v>1515</v>
      </c>
      <c r="E521">
        <v>1</v>
      </c>
      <c r="F521" s="2" t="s">
        <v>2</v>
      </c>
      <c r="G521">
        <v>1</v>
      </c>
      <c r="H521">
        <v>15.5</v>
      </c>
      <c r="I521" s="2" t="s">
        <v>0</v>
      </c>
      <c r="J521">
        <v>1</v>
      </c>
      <c r="K521" s="2" t="s">
        <v>2</v>
      </c>
      <c r="L521">
        <v>1</v>
      </c>
      <c r="M521">
        <v>16.5</v>
      </c>
      <c r="N521" s="2" t="s">
        <v>1562</v>
      </c>
      <c r="O521" t="str">
        <f>D521&amp;"-"&amp;E521&amp;"-"&amp;F521&amp;"-"&amp;G521&amp;"-"&amp;H521</f>
        <v>B-1-e-1-15.5</v>
      </c>
      <c r="P521" t="str">
        <f>I521&amp;"-"&amp;J521&amp;"-"&amp;K521&amp;"-"&amp;L521&amp;"-"&amp;M521</f>
        <v>X-1-e-1-16.5</v>
      </c>
      <c r="Q521">
        <f>A521+R521</f>
        <v>16405.754832999999</v>
      </c>
      <c r="R521">
        <f>_xlfn.IFNA(VLOOKUP(P521,PGOPHER!A$2:G$181,7,FALSE),_xlfn.IFNA(VLOOKUP(P521,en!A$2:I$768,7,FALSE),-10000))</f>
        <v>2130.2648330000002</v>
      </c>
      <c r="S521">
        <f>IF(O521=O520,Q520+S520,Q521)</f>
        <v>16405.754832999999</v>
      </c>
      <c r="T521">
        <f>IF(O521=O520,T520+1,1)</f>
        <v>1</v>
      </c>
      <c r="U521" t="str">
        <f>IF(O521=O522,"",S521/T521)</f>
        <v/>
      </c>
      <c r="V521" t="str">
        <f>IF(U521="","",IF(ABS(Q521-U521)&gt;V$1,"error",""))</f>
        <v/>
      </c>
    </row>
    <row r="522" spans="1:22" x14ac:dyDescent="0.55000000000000004">
      <c r="A522">
        <v>14491.77</v>
      </c>
      <c r="B522" s="1">
        <v>6.8930000000000005E-2</v>
      </c>
      <c r="C522" s="1">
        <v>6.8930000000000005E-2</v>
      </c>
      <c r="D522" s="2" t="s">
        <v>1515</v>
      </c>
      <c r="E522">
        <v>1</v>
      </c>
      <c r="F522" s="2" t="s">
        <v>2</v>
      </c>
      <c r="G522">
        <v>1</v>
      </c>
      <c r="H522">
        <v>15.5</v>
      </c>
      <c r="I522" s="2" t="s">
        <v>0</v>
      </c>
      <c r="J522">
        <v>1</v>
      </c>
      <c r="K522" s="2" t="s">
        <v>2</v>
      </c>
      <c r="L522">
        <v>1</v>
      </c>
      <c r="M522">
        <v>14.5</v>
      </c>
      <c r="N522" s="2" t="s">
        <v>1530</v>
      </c>
      <c r="O522" t="str">
        <f>D522&amp;"-"&amp;E522&amp;"-"&amp;F522&amp;"-"&amp;G522&amp;"-"&amp;H522</f>
        <v>B-1-e-1-15.5</v>
      </c>
      <c r="P522" t="str">
        <f>I522&amp;"-"&amp;J522&amp;"-"&amp;K522&amp;"-"&amp;L522&amp;"-"&amp;M522</f>
        <v>X-1-e-1-14.5</v>
      </c>
      <c r="Q522">
        <f>A522+R522</f>
        <v>16405.629444000002</v>
      </c>
      <c r="R522">
        <f>_xlfn.IFNA(VLOOKUP(P522,PGOPHER!A$2:G$181,7,FALSE),_xlfn.IFNA(VLOOKUP(P522,en!A$2:I$768,7,FALSE),-10000))</f>
        <v>1913.8594439999999</v>
      </c>
      <c r="S522">
        <f>IF(O522=O521,Q521+S521,Q522)</f>
        <v>32811.509665999998</v>
      </c>
      <c r="T522">
        <f>IF(O522=O521,T521+1,1)</f>
        <v>2</v>
      </c>
      <c r="U522">
        <f>IF(O522=O523,"",S522/T522)</f>
        <v>16405.754832999999</v>
      </c>
      <c r="V522" t="str">
        <f>IF(U522="","",IF(ABS(Q522-U522)&gt;V$1,"error",""))</f>
        <v/>
      </c>
    </row>
    <row r="523" spans="1:22" x14ac:dyDescent="0.55000000000000004">
      <c r="A523">
        <v>14314.8</v>
      </c>
      <c r="B523" s="1">
        <v>0.49399999999999999</v>
      </c>
      <c r="C523" s="1">
        <v>0.49399999999999999</v>
      </c>
      <c r="D523" s="2" t="s">
        <v>1515</v>
      </c>
      <c r="E523">
        <v>2</v>
      </c>
      <c r="F523" s="2" t="s">
        <v>1</v>
      </c>
      <c r="G523">
        <v>0</v>
      </c>
      <c r="H523">
        <v>15.5</v>
      </c>
      <c r="I523" s="2" t="s">
        <v>0</v>
      </c>
      <c r="J523">
        <v>2</v>
      </c>
      <c r="K523" s="2" t="s">
        <v>1</v>
      </c>
      <c r="L523">
        <v>0</v>
      </c>
      <c r="M523">
        <v>16.5</v>
      </c>
      <c r="N523" s="2" t="s">
        <v>1752</v>
      </c>
      <c r="O523" t="str">
        <f>D523&amp;"-"&amp;E523&amp;"-"&amp;F523&amp;"-"&amp;G523&amp;"-"&amp;H523</f>
        <v>B-2-f-0-15.5</v>
      </c>
      <c r="P523" t="str">
        <f>I523&amp;"-"&amp;J523&amp;"-"&amp;K523&amp;"-"&amp;L523&amp;"-"&amp;M523</f>
        <v>X-2-f-0-16.5</v>
      </c>
      <c r="Q523">
        <f>A523+R523</f>
        <v>15412.964983</v>
      </c>
      <c r="R523">
        <f>_xlfn.IFNA(VLOOKUP(P523,PGOPHER!A$2:G$181,7,FALSE),_xlfn.IFNA(VLOOKUP(P523,en!A$2:I$768,7,FALSE),-10000))</f>
        <v>1098.1649829999999</v>
      </c>
      <c r="S523">
        <f>IF(O523=O522,Q522+S522,Q523)</f>
        <v>15412.964983</v>
      </c>
      <c r="T523">
        <f>IF(O523=O522,T522+1,1)</f>
        <v>1</v>
      </c>
      <c r="U523" t="str">
        <f>IF(O523=O524,"",S523/T523)</f>
        <v/>
      </c>
      <c r="V523" t="str">
        <f>IF(U523="","",IF(ABS(Q523-U523)&gt;V$1,"error",""))</f>
        <v/>
      </c>
    </row>
    <row r="524" spans="1:22" x14ac:dyDescent="0.55000000000000004">
      <c r="A524">
        <v>14548.76</v>
      </c>
      <c r="B524" s="1">
        <v>0.49399999999999999</v>
      </c>
      <c r="C524" s="1">
        <v>0.49399999999999999</v>
      </c>
      <c r="D524" s="2" t="s">
        <v>1515</v>
      </c>
      <c r="E524">
        <v>2</v>
      </c>
      <c r="F524" s="2" t="s">
        <v>1</v>
      </c>
      <c r="G524">
        <v>0</v>
      </c>
      <c r="H524">
        <v>15.5</v>
      </c>
      <c r="I524" s="2" t="s">
        <v>0</v>
      </c>
      <c r="J524">
        <v>2</v>
      </c>
      <c r="K524" s="2" t="s">
        <v>1</v>
      </c>
      <c r="L524">
        <v>0</v>
      </c>
      <c r="M524">
        <v>14.5</v>
      </c>
      <c r="N524" s="2" t="s">
        <v>1791</v>
      </c>
      <c r="O524" t="str">
        <f>D524&amp;"-"&amp;E524&amp;"-"&amp;F524&amp;"-"&amp;G524&amp;"-"&amp;H524</f>
        <v>B-2-f-0-15.5</v>
      </c>
      <c r="P524" t="str">
        <f>I524&amp;"-"&amp;J524&amp;"-"&amp;K524&amp;"-"&amp;L524&amp;"-"&amp;M524</f>
        <v>X-2-f-0-14.5</v>
      </c>
      <c r="Q524">
        <f>A524+R524</f>
        <v>15412.063005</v>
      </c>
      <c r="R524">
        <f>_xlfn.IFNA(VLOOKUP(P524,PGOPHER!A$2:G$181,7,FALSE),_xlfn.IFNA(VLOOKUP(P524,en!A$2:I$768,7,FALSE),-10000))</f>
        <v>863.30300499999998</v>
      </c>
      <c r="S524">
        <f>IF(O524=O523,Q523+S523,Q524)</f>
        <v>30825.929966</v>
      </c>
      <c r="T524">
        <f>IF(O524=O523,T523+1,1)</f>
        <v>2</v>
      </c>
      <c r="U524">
        <f>IF(O524=O525,"",S524/T524)</f>
        <v>15412.964983</v>
      </c>
      <c r="V524" t="str">
        <f>IF(U524="","",IF(ABS(Q524-U524)&gt;V$1,"error",""))</f>
        <v>error</v>
      </c>
    </row>
    <row r="525" spans="1:22" x14ac:dyDescent="0.55000000000000004">
      <c r="A525">
        <v>14334.2</v>
      </c>
      <c r="B525" s="1">
        <v>0.16200000000000001</v>
      </c>
      <c r="C525" s="1">
        <v>0.16200000000000001</v>
      </c>
      <c r="D525" s="2" t="s">
        <v>1515</v>
      </c>
      <c r="E525">
        <v>2</v>
      </c>
      <c r="F525" s="2" t="s">
        <v>1</v>
      </c>
      <c r="G525">
        <v>1</v>
      </c>
      <c r="H525">
        <v>15.5</v>
      </c>
      <c r="I525" s="2" t="s">
        <v>0</v>
      </c>
      <c r="J525">
        <v>2</v>
      </c>
      <c r="K525" s="2" t="s">
        <v>1</v>
      </c>
      <c r="L525">
        <v>1</v>
      </c>
      <c r="M525">
        <v>16.5</v>
      </c>
      <c r="N525" s="2" t="s">
        <v>1610</v>
      </c>
      <c r="O525" t="str">
        <f>D525&amp;"-"&amp;E525&amp;"-"&amp;F525&amp;"-"&amp;G525&amp;"-"&amp;H525</f>
        <v>B-2-f-1-15.5</v>
      </c>
      <c r="P525" t="str">
        <f>I525&amp;"-"&amp;J525&amp;"-"&amp;K525&amp;"-"&amp;L525&amp;"-"&amp;M525</f>
        <v>X-2-f-1-16.5</v>
      </c>
      <c r="Q525">
        <f>A525+R525</f>
        <v>16580.662925000001</v>
      </c>
      <c r="R525">
        <f>_xlfn.IFNA(VLOOKUP(P525,PGOPHER!A$2:G$181,7,FALSE),_xlfn.IFNA(VLOOKUP(P525,en!A$2:I$768,7,FALSE),-10000))</f>
        <v>2246.4629249999998</v>
      </c>
      <c r="S525">
        <f>IF(O525=O524,Q524+S524,Q525)</f>
        <v>16580.662925000001</v>
      </c>
      <c r="T525">
        <f>IF(O525=O524,T524+1,1)</f>
        <v>1</v>
      </c>
      <c r="U525" t="str">
        <f>IF(O525=O526,"",S525/T525)</f>
        <v/>
      </c>
      <c r="V525" t="str">
        <f>IF(U525="","",IF(ABS(Q525-U525)&gt;V$1,"error",""))</f>
        <v/>
      </c>
    </row>
    <row r="526" spans="1:22" x14ac:dyDescent="0.55000000000000004">
      <c r="A526">
        <v>14563.48</v>
      </c>
      <c r="B526" s="1">
        <v>0.16200000000000001</v>
      </c>
      <c r="C526" s="1">
        <v>0.16200000000000001</v>
      </c>
      <c r="D526" s="2" t="s">
        <v>1515</v>
      </c>
      <c r="E526">
        <v>2</v>
      </c>
      <c r="F526" s="2" t="s">
        <v>1</v>
      </c>
      <c r="G526">
        <v>1</v>
      </c>
      <c r="H526">
        <v>15.5</v>
      </c>
      <c r="I526" s="2" t="s">
        <v>0</v>
      </c>
      <c r="J526">
        <v>2</v>
      </c>
      <c r="K526" s="2" t="s">
        <v>1</v>
      </c>
      <c r="L526">
        <v>1</v>
      </c>
      <c r="M526">
        <v>14.5</v>
      </c>
      <c r="N526" s="2" t="s">
        <v>1594</v>
      </c>
      <c r="O526" t="str">
        <f>D526&amp;"-"&amp;E526&amp;"-"&amp;F526&amp;"-"&amp;G526&amp;"-"&amp;H526</f>
        <v>B-2-f-1-15.5</v>
      </c>
      <c r="P526" t="str">
        <f>I526&amp;"-"&amp;J526&amp;"-"&amp;K526&amp;"-"&amp;L526&amp;"-"&amp;M526</f>
        <v>X-2-f-1-14.5</v>
      </c>
      <c r="Q526">
        <f>A526+R526</f>
        <v>16580.365837999998</v>
      </c>
      <c r="R526">
        <f>_xlfn.IFNA(VLOOKUP(P526,PGOPHER!A$2:G$181,7,FALSE),_xlfn.IFNA(VLOOKUP(P526,en!A$2:I$768,7,FALSE),-10000))</f>
        <v>2016.8858379999999</v>
      </c>
      <c r="S526">
        <f>IF(O526=O525,Q525+S525,Q526)</f>
        <v>33161.325850000001</v>
      </c>
      <c r="T526">
        <f>IF(O526=O525,T525+1,1)</f>
        <v>2</v>
      </c>
      <c r="U526">
        <f>IF(O526=O527,"",S526/T526)</f>
        <v>16580.662925000001</v>
      </c>
      <c r="V526" t="str">
        <f>IF(U526="","",IF(ABS(Q526-U526)&gt;V$1,"error",""))</f>
        <v/>
      </c>
    </row>
    <row r="527" spans="1:22" x14ac:dyDescent="0.55000000000000004">
      <c r="A527">
        <v>14252.35</v>
      </c>
      <c r="B527" s="1">
        <v>9.6030000000000004E-2</v>
      </c>
      <c r="C527" s="1">
        <v>9.6030000000000004E-2</v>
      </c>
      <c r="D527" s="2" t="s">
        <v>1515</v>
      </c>
      <c r="E527">
        <v>1</v>
      </c>
      <c r="F527" s="2" t="s">
        <v>2</v>
      </c>
      <c r="G527">
        <v>0</v>
      </c>
      <c r="H527">
        <v>16.5</v>
      </c>
      <c r="I527" s="2" t="s">
        <v>0</v>
      </c>
      <c r="J527">
        <v>1</v>
      </c>
      <c r="K527" s="2" t="s">
        <v>2</v>
      </c>
      <c r="L527">
        <v>0</v>
      </c>
      <c r="M527">
        <v>17.5</v>
      </c>
      <c r="N527" s="2" t="s">
        <v>1682</v>
      </c>
      <c r="O527" t="str">
        <f>D527&amp;"-"&amp;E527&amp;"-"&amp;F527&amp;"-"&amp;G527&amp;"-"&amp;H527</f>
        <v>B-1-e-0-16.5</v>
      </c>
      <c r="P527" t="str">
        <f>I527&amp;"-"&amp;J527&amp;"-"&amp;K527&amp;"-"&amp;L527&amp;"-"&amp;M527</f>
        <v>X-1-e-0-17.5</v>
      </c>
      <c r="Q527">
        <f>A527+R527</f>
        <v>15352.622044</v>
      </c>
      <c r="R527">
        <f>_xlfn.IFNA(VLOOKUP(P527,PGOPHER!A$2:G$181,7,FALSE),_xlfn.IFNA(VLOOKUP(P527,en!A$2:I$768,7,FALSE),-10000))</f>
        <v>1100.2720440000001</v>
      </c>
      <c r="S527">
        <f>IF(O527=O526,Q526+S526,Q527)</f>
        <v>15352.622044</v>
      </c>
      <c r="T527">
        <f>IF(O527=O526,T526+1,1)</f>
        <v>1</v>
      </c>
      <c r="U527" t="str">
        <f>IF(O527=O528,"",S527/T527)</f>
        <v/>
      </c>
      <c r="V527" t="str">
        <f>IF(U527="","",IF(ABS(Q527-U527)&gt;V$1,"error",""))</f>
        <v/>
      </c>
    </row>
    <row r="528" spans="1:22" x14ac:dyDescent="0.55000000000000004">
      <c r="A528">
        <v>14487.62</v>
      </c>
      <c r="B528" s="1">
        <v>9.6030000000000004E-2</v>
      </c>
      <c r="C528" s="1">
        <v>9.6030000000000004E-2</v>
      </c>
      <c r="D528" s="2" t="s">
        <v>1515</v>
      </c>
      <c r="E528">
        <v>1</v>
      </c>
      <c r="F528" s="2" t="s">
        <v>2</v>
      </c>
      <c r="G528">
        <v>0</v>
      </c>
      <c r="H528">
        <v>16.5</v>
      </c>
      <c r="I528" s="2" t="s">
        <v>0</v>
      </c>
      <c r="J528">
        <v>1</v>
      </c>
      <c r="K528" s="2" t="s">
        <v>2</v>
      </c>
      <c r="L528">
        <v>0</v>
      </c>
      <c r="M528">
        <v>15.5</v>
      </c>
      <c r="N528" s="2" t="s">
        <v>1724</v>
      </c>
      <c r="O528" t="str">
        <f>D528&amp;"-"&amp;E528&amp;"-"&amp;F528&amp;"-"&amp;G528&amp;"-"&amp;H528</f>
        <v>B-1-e-0-16.5</v>
      </c>
      <c r="P528" t="str">
        <f>I528&amp;"-"&amp;J528&amp;"-"&amp;K528&amp;"-"&amp;L528&amp;"-"&amp;M528</f>
        <v>X-1-e-0-15.5</v>
      </c>
      <c r="Q528">
        <f>A528+R528</f>
        <v>15352.797659</v>
      </c>
      <c r="R528">
        <f>_xlfn.IFNA(VLOOKUP(P528,PGOPHER!A$2:G$181,7,FALSE),_xlfn.IFNA(VLOOKUP(P528,en!A$2:I$768,7,FALSE),-10000))</f>
        <v>865.17765899999995</v>
      </c>
      <c r="S528">
        <f>IF(O528=O527,Q527+S527,Q528)</f>
        <v>30705.244087999999</v>
      </c>
      <c r="T528">
        <f>IF(O528=O527,T527+1,1)</f>
        <v>2</v>
      </c>
      <c r="U528">
        <f>IF(O528=O529,"",S528/T528)</f>
        <v>15352.622044</v>
      </c>
      <c r="V528" t="str">
        <f>IF(U528="","",IF(ABS(Q528-U528)&gt;V$1,"error",""))</f>
        <v/>
      </c>
    </row>
    <row r="529" spans="1:22" x14ac:dyDescent="0.55000000000000004">
      <c r="A529">
        <v>14272.7</v>
      </c>
      <c r="B529" s="1">
        <v>8.6860000000000007E-2</v>
      </c>
      <c r="C529" s="1">
        <v>8.6860000000000007E-2</v>
      </c>
      <c r="D529" s="2" t="s">
        <v>1515</v>
      </c>
      <c r="E529">
        <v>1</v>
      </c>
      <c r="F529" s="2" t="s">
        <v>2</v>
      </c>
      <c r="G529">
        <v>1</v>
      </c>
      <c r="H529">
        <v>16.5</v>
      </c>
      <c r="I529" s="2" t="s">
        <v>0</v>
      </c>
      <c r="J529">
        <v>1</v>
      </c>
      <c r="K529" s="2" t="s">
        <v>2</v>
      </c>
      <c r="L529">
        <v>1</v>
      </c>
      <c r="M529">
        <v>17.5</v>
      </c>
      <c r="N529" s="2" t="s">
        <v>1563</v>
      </c>
      <c r="O529" t="str">
        <f>D529&amp;"-"&amp;E529&amp;"-"&amp;F529&amp;"-"&amp;G529&amp;"-"&amp;H529</f>
        <v>B-1-e-1-16.5</v>
      </c>
      <c r="P529" t="str">
        <f>I529&amp;"-"&amp;J529&amp;"-"&amp;K529&amp;"-"&amp;L529&amp;"-"&amp;M529</f>
        <v>X-1-e-1-17.5</v>
      </c>
      <c r="Q529">
        <f>A529+R529</f>
        <v>16521.198980000001</v>
      </c>
      <c r="R529">
        <f>_xlfn.IFNA(VLOOKUP(P529,PGOPHER!A$2:G$181,7,FALSE),_xlfn.IFNA(VLOOKUP(P529,en!A$2:I$768,7,FALSE),-10000))</f>
        <v>2248.4989799999998</v>
      </c>
      <c r="S529">
        <f>IF(O529=O528,Q528+S528,Q529)</f>
        <v>16521.198980000001</v>
      </c>
      <c r="T529">
        <f>IF(O529=O528,T528+1,1)</f>
        <v>1</v>
      </c>
      <c r="U529" t="str">
        <f>IF(O529=O530,"",S529/T529)</f>
        <v/>
      </c>
      <c r="V529" t="str">
        <f>IF(U529="","",IF(ABS(Q529-U529)&gt;V$1,"error",""))</f>
        <v/>
      </c>
    </row>
    <row r="530" spans="1:22" x14ac:dyDescent="0.55000000000000004">
      <c r="A530">
        <v>14502.34</v>
      </c>
      <c r="B530" s="1">
        <v>8.6860000000000007E-2</v>
      </c>
      <c r="C530" s="1">
        <v>8.6860000000000007E-2</v>
      </c>
      <c r="D530" s="2" t="s">
        <v>1515</v>
      </c>
      <c r="E530">
        <v>1</v>
      </c>
      <c r="F530" s="2" t="s">
        <v>2</v>
      </c>
      <c r="G530">
        <v>1</v>
      </c>
      <c r="H530">
        <v>16.5</v>
      </c>
      <c r="I530" s="2" t="s">
        <v>0</v>
      </c>
      <c r="J530">
        <v>1</v>
      </c>
      <c r="K530" s="2" t="s">
        <v>2</v>
      </c>
      <c r="L530">
        <v>1</v>
      </c>
      <c r="M530">
        <v>15.5</v>
      </c>
      <c r="N530" s="2" t="s">
        <v>1531</v>
      </c>
      <c r="O530" t="str">
        <f>D530&amp;"-"&amp;E530&amp;"-"&amp;F530&amp;"-"&amp;G530&amp;"-"&amp;H530</f>
        <v>B-1-e-1-16.5</v>
      </c>
      <c r="P530" t="str">
        <f>I530&amp;"-"&amp;J530&amp;"-"&amp;K530&amp;"-"&amp;L530&amp;"-"&amp;M530</f>
        <v>X-1-e-1-15.5</v>
      </c>
      <c r="Q530">
        <f>A530+R530</f>
        <v>16521.040932</v>
      </c>
      <c r="R530">
        <f>_xlfn.IFNA(VLOOKUP(P530,PGOPHER!A$2:G$181,7,FALSE),_xlfn.IFNA(VLOOKUP(P530,en!A$2:I$768,7,FALSE),-10000))</f>
        <v>2018.700932</v>
      </c>
      <c r="S530">
        <f>IF(O530=O529,Q529+S529,Q530)</f>
        <v>33042.397960000002</v>
      </c>
      <c r="T530">
        <f>IF(O530=O529,T529+1,1)</f>
        <v>2</v>
      </c>
      <c r="U530">
        <f>IF(O530=O531,"",S530/T530)</f>
        <v>16521.198980000001</v>
      </c>
      <c r="V530" t="str">
        <f>IF(U530="","",IF(ABS(Q530-U530)&gt;V$1,"error",""))</f>
        <v/>
      </c>
    </row>
    <row r="531" spans="1:22" x14ac:dyDescent="0.55000000000000004">
      <c r="A531">
        <v>14314.8</v>
      </c>
      <c r="B531" s="1">
        <v>9.5229999999999995E-2</v>
      </c>
      <c r="C531" s="1">
        <v>9.5229999999999995E-2</v>
      </c>
      <c r="D531" s="2" t="s">
        <v>1515</v>
      </c>
      <c r="E531">
        <v>2</v>
      </c>
      <c r="F531" s="2" t="s">
        <v>1</v>
      </c>
      <c r="G531">
        <v>0</v>
      </c>
      <c r="H531">
        <v>16.5</v>
      </c>
      <c r="I531" s="2" t="s">
        <v>0</v>
      </c>
      <c r="J531">
        <v>2</v>
      </c>
      <c r="K531" s="2" t="s">
        <v>1</v>
      </c>
      <c r="L531">
        <v>0</v>
      </c>
      <c r="M531">
        <v>17.5</v>
      </c>
      <c r="N531" s="2" t="s">
        <v>1753</v>
      </c>
      <c r="O531" t="str">
        <f>D531&amp;"-"&amp;E531&amp;"-"&amp;F531&amp;"-"&amp;G531&amp;"-"&amp;H531</f>
        <v>B-2-f-0-16.5</v>
      </c>
      <c r="P531" t="str">
        <f>I531&amp;"-"&amp;J531&amp;"-"&amp;K531&amp;"-"&amp;L531&amp;"-"&amp;M531</f>
        <v>X-2-f-0-17.5</v>
      </c>
      <c r="Q531">
        <f>A531+R531</f>
        <v>15540.589868999999</v>
      </c>
      <c r="R531">
        <f>_xlfn.IFNA(VLOOKUP(P531,PGOPHER!A$2:G$181,7,FALSE),_xlfn.IFNA(VLOOKUP(P531,en!A$2:I$768,7,FALSE),-10000))</f>
        <v>1225.789869</v>
      </c>
      <c r="S531">
        <f>IF(O531=O530,Q530+S530,Q531)</f>
        <v>15540.589868999999</v>
      </c>
      <c r="T531">
        <f>IF(O531=O530,T530+1,1)</f>
        <v>1</v>
      </c>
      <c r="U531" t="str">
        <f>IF(O531=O532,"",S531/T531)</f>
        <v/>
      </c>
      <c r="V531" t="str">
        <f>IF(U531="","",IF(ABS(Q531-U531)&gt;V$1,"error",""))</f>
        <v/>
      </c>
    </row>
    <row r="532" spans="1:22" x14ac:dyDescent="0.55000000000000004">
      <c r="A532">
        <v>14563.45</v>
      </c>
      <c r="B532" s="1">
        <v>9.5229999999999995E-2</v>
      </c>
      <c r="C532" s="1">
        <v>9.5229999999999995E-2</v>
      </c>
      <c r="D532" s="2" t="s">
        <v>1515</v>
      </c>
      <c r="E532">
        <v>2</v>
      </c>
      <c r="F532" s="2" t="s">
        <v>1</v>
      </c>
      <c r="G532">
        <v>0</v>
      </c>
      <c r="H532">
        <v>16.5</v>
      </c>
      <c r="I532" s="2" t="s">
        <v>0</v>
      </c>
      <c r="J532">
        <v>2</v>
      </c>
      <c r="K532" s="2" t="s">
        <v>1</v>
      </c>
      <c r="L532">
        <v>0</v>
      </c>
      <c r="M532">
        <v>15.5</v>
      </c>
      <c r="N532" s="2" t="s">
        <v>1792</v>
      </c>
      <c r="O532" t="str">
        <f>D532&amp;"-"&amp;E532&amp;"-"&amp;F532&amp;"-"&amp;G532&amp;"-"&amp;H532</f>
        <v>B-2-f-0-16.5</v>
      </c>
      <c r="P532" t="str">
        <f>I532&amp;"-"&amp;J532&amp;"-"&amp;K532&amp;"-"&amp;L532&amp;"-"&amp;M532</f>
        <v>X-2-f-0-15.5</v>
      </c>
      <c r="Q532">
        <f>A532+R532</f>
        <v>15540.764107000001</v>
      </c>
      <c r="R532">
        <f>_xlfn.IFNA(VLOOKUP(P532,PGOPHER!A$2:G$181,7,FALSE),_xlfn.IFNA(VLOOKUP(P532,en!A$2:I$768,7,FALSE),-10000))</f>
        <v>977.31410700000004</v>
      </c>
      <c r="S532">
        <f>IF(O532=O531,Q531+S531,Q532)</f>
        <v>31081.179737999999</v>
      </c>
      <c r="T532">
        <f>IF(O532=O531,T531+1,1)</f>
        <v>2</v>
      </c>
      <c r="U532">
        <f>IF(O532=O533,"",S532/T532)</f>
        <v>15540.589868999999</v>
      </c>
      <c r="V532" t="str">
        <f>IF(U532="","",IF(ABS(Q532-U532)&gt;V$1,"error",""))</f>
        <v/>
      </c>
    </row>
    <row r="533" spans="1:22" x14ac:dyDescent="0.55000000000000004">
      <c r="A533">
        <v>14334</v>
      </c>
      <c r="B533" s="1">
        <v>0.26850000000000002</v>
      </c>
      <c r="C533" s="1">
        <v>0.26850000000000002</v>
      </c>
      <c r="D533" s="2" t="s">
        <v>1515</v>
      </c>
      <c r="E533">
        <v>2</v>
      </c>
      <c r="F533" s="2" t="s">
        <v>1</v>
      </c>
      <c r="G533">
        <v>1</v>
      </c>
      <c r="H533">
        <v>16.5</v>
      </c>
      <c r="I533" s="2" t="s">
        <v>0</v>
      </c>
      <c r="J533">
        <v>2</v>
      </c>
      <c r="K533" s="2" t="s">
        <v>1</v>
      </c>
      <c r="L533">
        <v>1</v>
      </c>
      <c r="M533">
        <v>17.5</v>
      </c>
      <c r="N533" s="2" t="s">
        <v>1611</v>
      </c>
      <c r="O533" t="str">
        <f>D533&amp;"-"&amp;E533&amp;"-"&amp;F533&amp;"-"&amp;G533&amp;"-"&amp;H533</f>
        <v>B-2-f-1-16.5</v>
      </c>
      <c r="P533" t="str">
        <f>I533&amp;"-"&amp;J533&amp;"-"&amp;K533&amp;"-"&amp;L533&amp;"-"&amp;M533</f>
        <v>X-2-f-1-17.5</v>
      </c>
      <c r="Q533">
        <f>A533+R533</f>
        <v>16705.210972000001</v>
      </c>
      <c r="R533">
        <f>_xlfn.IFNA(VLOOKUP(P533,PGOPHER!A$2:G$181,7,FALSE),_xlfn.IFNA(VLOOKUP(P533,en!A$2:I$768,7,FALSE),-10000))</f>
        <v>2371.2109719999999</v>
      </c>
      <c r="S533">
        <f>IF(O533=O532,Q532+S532,Q533)</f>
        <v>16705.210972000001</v>
      </c>
      <c r="T533">
        <f>IF(O533=O532,T532+1,1)</f>
        <v>1</v>
      </c>
      <c r="U533" t="str">
        <f>IF(O533=O534,"",S533/T533)</f>
        <v/>
      </c>
      <c r="V533" t="str">
        <f>IF(U533="","",IF(ABS(Q533-U533)&gt;V$1,"error",""))</f>
        <v/>
      </c>
    </row>
    <row r="534" spans="1:22" x14ac:dyDescent="0.55000000000000004">
      <c r="A534">
        <v>14576.38</v>
      </c>
      <c r="B534" s="1">
        <v>0.26850000000000002</v>
      </c>
      <c r="C534" s="1">
        <v>0.26850000000000002</v>
      </c>
      <c r="D534" s="2" t="s">
        <v>1515</v>
      </c>
      <c r="E534">
        <v>2</v>
      </c>
      <c r="F534" s="2" t="s">
        <v>1</v>
      </c>
      <c r="G534">
        <v>1</v>
      </c>
      <c r="H534">
        <v>16.5</v>
      </c>
      <c r="I534" s="2" t="s">
        <v>0</v>
      </c>
      <c r="J534">
        <v>2</v>
      </c>
      <c r="K534" s="2" t="s">
        <v>1</v>
      </c>
      <c r="L534">
        <v>1</v>
      </c>
      <c r="M534">
        <v>15.5</v>
      </c>
      <c r="N534" s="2" t="s">
        <v>1595</v>
      </c>
      <c r="O534" t="str">
        <f>D534&amp;"-"&amp;E534&amp;"-"&amp;F534&amp;"-"&amp;G534&amp;"-"&amp;H534</f>
        <v>B-2-f-1-16.5</v>
      </c>
      <c r="P534" t="str">
        <f>I534&amp;"-"&amp;J534&amp;"-"&amp;K534&amp;"-"&amp;L534&amp;"-"&amp;M534</f>
        <v>X-2-f-1-15.5</v>
      </c>
      <c r="Q534">
        <f>A534+R534</f>
        <v>16704.720769</v>
      </c>
      <c r="R534">
        <f>_xlfn.IFNA(VLOOKUP(P534,PGOPHER!A$2:G$181,7,FALSE),_xlfn.IFNA(VLOOKUP(P534,en!A$2:I$768,7,FALSE),-10000))</f>
        <v>2128.3407689999999</v>
      </c>
      <c r="S534">
        <f>IF(O534=O533,Q533+S533,Q534)</f>
        <v>33410.421944000002</v>
      </c>
      <c r="T534">
        <f>IF(O534=O533,T533+1,1)</f>
        <v>2</v>
      </c>
      <c r="U534">
        <f>IF(O534=O535,"",S534/T534)</f>
        <v>16705.210972000001</v>
      </c>
      <c r="V534" t="str">
        <f>IF(U534="","",IF(ABS(Q534-U534)&gt;V$1,"error",""))</f>
        <v/>
      </c>
    </row>
    <row r="535" spans="1:22" x14ac:dyDescent="0.55000000000000004">
      <c r="A535">
        <v>14250.22</v>
      </c>
      <c r="B535" s="1">
        <v>3.7870000000000001E-2</v>
      </c>
      <c r="C535" s="1">
        <v>3.7870000000000001E-2</v>
      </c>
      <c r="D535" s="2" t="s">
        <v>1515</v>
      </c>
      <c r="E535">
        <v>1</v>
      </c>
      <c r="F535" s="2" t="s">
        <v>2</v>
      </c>
      <c r="G535">
        <v>0</v>
      </c>
      <c r="H535">
        <v>17.5</v>
      </c>
      <c r="I535" s="2" t="s">
        <v>0</v>
      </c>
      <c r="J535">
        <v>1</v>
      </c>
      <c r="K535" s="2" t="s">
        <v>2</v>
      </c>
      <c r="L535">
        <v>0</v>
      </c>
      <c r="M535">
        <v>18.5</v>
      </c>
      <c r="N535" s="2" t="s">
        <v>1683</v>
      </c>
      <c r="O535" t="str">
        <f>D535&amp;"-"&amp;E535&amp;"-"&amp;F535&amp;"-"&amp;G535&amp;"-"&amp;H535</f>
        <v>B-1-e-0-17.5</v>
      </c>
      <c r="P535" t="str">
        <f>I535&amp;"-"&amp;J535&amp;"-"&amp;K535&amp;"-"&amp;L535&amp;"-"&amp;M535</f>
        <v>X-1-e-0-18.5</v>
      </c>
      <c r="Q535">
        <f>A535+R535</f>
        <v>15478.229300999999</v>
      </c>
      <c r="R535">
        <f>_xlfn.IFNA(VLOOKUP(P535,PGOPHER!A$2:G$181,7,FALSE),_xlfn.IFNA(VLOOKUP(P535,en!A$2:I$768,7,FALSE),-10000))</f>
        <v>1228.0093010000001</v>
      </c>
      <c r="S535">
        <f>IF(O535=O534,Q534+S534,Q535)</f>
        <v>15478.229300999999</v>
      </c>
      <c r="T535">
        <f>IF(O535=O534,T534+1,1)</f>
        <v>1</v>
      </c>
      <c r="U535" t="str">
        <f>IF(O535=O536,"",S535/T535)</f>
        <v/>
      </c>
      <c r="V535" t="str">
        <f>IF(U535="","",IF(ABS(Q535-U535)&gt;V$1,"error",""))</f>
        <v/>
      </c>
    </row>
    <row r="536" spans="1:22" x14ac:dyDescent="0.55000000000000004">
      <c r="A536">
        <v>14498.99</v>
      </c>
      <c r="B536" s="1">
        <v>3.7870000000000001E-2</v>
      </c>
      <c r="C536" s="1">
        <v>3.7870000000000001E-2</v>
      </c>
      <c r="D536" s="2" t="s">
        <v>1515</v>
      </c>
      <c r="E536">
        <v>1</v>
      </c>
      <c r="F536" s="2" t="s">
        <v>2</v>
      </c>
      <c r="G536">
        <v>0</v>
      </c>
      <c r="H536">
        <v>17.5</v>
      </c>
      <c r="I536" s="2" t="s">
        <v>0</v>
      </c>
      <c r="J536">
        <v>1</v>
      </c>
      <c r="K536" s="2" t="s">
        <v>2</v>
      </c>
      <c r="L536">
        <v>0</v>
      </c>
      <c r="M536">
        <v>16.5</v>
      </c>
      <c r="N536" s="2" t="s">
        <v>1725</v>
      </c>
      <c r="O536" t="str">
        <f>D536&amp;"-"&amp;E536&amp;"-"&amp;F536&amp;"-"&amp;G536&amp;"-"&amp;H536</f>
        <v>B-1-e-0-17.5</v>
      </c>
      <c r="P536" t="str">
        <f>I536&amp;"-"&amp;J536&amp;"-"&amp;K536&amp;"-"&amp;L536&amp;"-"&amp;M536</f>
        <v>X-1-e-0-16.5</v>
      </c>
      <c r="Q536">
        <f>A536+R536</f>
        <v>15478.297965</v>
      </c>
      <c r="R536">
        <f>_xlfn.IFNA(VLOOKUP(P536,PGOPHER!A$2:G$181,7,FALSE),_xlfn.IFNA(VLOOKUP(P536,en!A$2:I$768,7,FALSE),-10000))</f>
        <v>979.30796499999997</v>
      </c>
      <c r="S536">
        <f>IF(O536=O535,Q535+S535,Q536)</f>
        <v>30956.458601999999</v>
      </c>
      <c r="T536">
        <f>IF(O536=O535,T535+1,1)</f>
        <v>2</v>
      </c>
      <c r="U536">
        <f>IF(O536=O537,"",S536/T536)</f>
        <v>15478.229300999999</v>
      </c>
      <c r="V536" t="str">
        <f>IF(U536="","",IF(ABS(Q536-U536)&gt;V$1,"error",""))</f>
        <v/>
      </c>
    </row>
    <row r="537" spans="1:22" x14ac:dyDescent="0.55000000000000004">
      <c r="A537">
        <v>14270.3</v>
      </c>
      <c r="B537" s="1">
        <v>0.18579999999999999</v>
      </c>
      <c r="C537" s="1">
        <v>0.18579999999999999</v>
      </c>
      <c r="D537" s="2" t="s">
        <v>1515</v>
      </c>
      <c r="E537">
        <v>1</v>
      </c>
      <c r="F537" s="2" t="s">
        <v>2</v>
      </c>
      <c r="G537">
        <v>1</v>
      </c>
      <c r="H537">
        <v>17.5</v>
      </c>
      <c r="I537" s="2" t="s">
        <v>0</v>
      </c>
      <c r="J537">
        <v>1</v>
      </c>
      <c r="K537" s="2" t="s">
        <v>2</v>
      </c>
      <c r="L537">
        <v>1</v>
      </c>
      <c r="M537">
        <v>18.5</v>
      </c>
      <c r="N537" s="2" t="s">
        <v>1564</v>
      </c>
      <c r="O537" t="str">
        <f>D537&amp;"-"&amp;E537&amp;"-"&amp;F537&amp;"-"&amp;G537&amp;"-"&amp;H537</f>
        <v>B-1-e-1-17.5</v>
      </c>
      <c r="P537" t="str">
        <f>I537&amp;"-"&amp;J537&amp;"-"&amp;K537&amp;"-"&amp;L537&amp;"-"&amp;M537</f>
        <v>X-1-e-1-18.5</v>
      </c>
      <c r="Q537">
        <f>A537+R537</f>
        <v>16643.655790000001</v>
      </c>
      <c r="R537">
        <f>_xlfn.IFNA(VLOOKUP(P537,PGOPHER!A$2:G$181,7,FALSE),_xlfn.IFNA(VLOOKUP(P537,en!A$2:I$768,7,FALSE),-10000))</f>
        <v>2373.3557900000001</v>
      </c>
      <c r="S537">
        <f>IF(O537=O536,Q536+S536,Q537)</f>
        <v>16643.655790000001</v>
      </c>
      <c r="T537">
        <f>IF(O537=O536,T536+1,1)</f>
        <v>1</v>
      </c>
      <c r="U537" t="str">
        <f>IF(O537=O538,"",S537/T537)</f>
        <v/>
      </c>
      <c r="V537" t="str">
        <f>IF(U537="","",IF(ABS(Q537-U537)&gt;V$1,"error",""))</f>
        <v/>
      </c>
    </row>
    <row r="538" spans="1:22" x14ac:dyDescent="0.55000000000000004">
      <c r="A538">
        <v>14513.05</v>
      </c>
      <c r="B538" s="1">
        <v>0.18579999999999999</v>
      </c>
      <c r="C538" s="1">
        <v>0.18579999999999999</v>
      </c>
      <c r="D538" s="2" t="s">
        <v>1515</v>
      </c>
      <c r="E538">
        <v>1</v>
      </c>
      <c r="F538" s="2" t="s">
        <v>2</v>
      </c>
      <c r="G538">
        <v>1</v>
      </c>
      <c r="H538">
        <v>17.5</v>
      </c>
      <c r="I538" s="2" t="s">
        <v>0</v>
      </c>
      <c r="J538">
        <v>1</v>
      </c>
      <c r="K538" s="2" t="s">
        <v>2</v>
      </c>
      <c r="L538">
        <v>1</v>
      </c>
      <c r="M538">
        <v>16.5</v>
      </c>
      <c r="N538" s="2" t="s">
        <v>1532</v>
      </c>
      <c r="O538" t="str">
        <f>D538&amp;"-"&amp;E538&amp;"-"&amp;F538&amp;"-"&amp;G538&amp;"-"&amp;H538</f>
        <v>B-1-e-1-17.5</v>
      </c>
      <c r="P538" t="str">
        <f>I538&amp;"-"&amp;J538&amp;"-"&amp;K538&amp;"-"&amp;L538&amp;"-"&amp;M538</f>
        <v>X-1-e-1-16.5</v>
      </c>
      <c r="Q538">
        <f>A538+R538</f>
        <v>16643.314833</v>
      </c>
      <c r="R538">
        <f>_xlfn.IFNA(VLOOKUP(P538,PGOPHER!A$2:G$181,7,FALSE),_xlfn.IFNA(VLOOKUP(P538,en!A$2:I$768,7,FALSE),-10000))</f>
        <v>2130.2648330000002</v>
      </c>
      <c r="S538">
        <f>IF(O538=O537,Q537+S537,Q538)</f>
        <v>33287.311580000001</v>
      </c>
      <c r="T538">
        <f>IF(O538=O537,T537+1,1)</f>
        <v>2</v>
      </c>
      <c r="U538">
        <f>IF(O538=O539,"",S538/T538)</f>
        <v>16643.655790000001</v>
      </c>
      <c r="V538" t="str">
        <f>IF(U538="","",IF(ABS(Q538-U538)&gt;V$1,"error",""))</f>
        <v/>
      </c>
    </row>
    <row r="539" spans="1:22" x14ac:dyDescent="0.55000000000000004">
      <c r="A539">
        <v>14315.85</v>
      </c>
      <c r="B539" s="1">
        <v>0.01</v>
      </c>
      <c r="C539" s="1">
        <v>0.01</v>
      </c>
      <c r="D539" s="2" t="s">
        <v>1515</v>
      </c>
      <c r="E539">
        <v>2</v>
      </c>
      <c r="F539" s="2" t="s">
        <v>1</v>
      </c>
      <c r="G539">
        <v>0</v>
      </c>
      <c r="H539">
        <v>17.5</v>
      </c>
      <c r="I539" s="2" t="s">
        <v>0</v>
      </c>
      <c r="J539">
        <v>2</v>
      </c>
      <c r="K539" s="2" t="s">
        <v>1</v>
      </c>
      <c r="L539">
        <v>0</v>
      </c>
      <c r="M539">
        <v>18.5</v>
      </c>
      <c r="N539" s="2" t="s">
        <v>1754</v>
      </c>
      <c r="O539" t="str">
        <f>D539&amp;"-"&amp;E539&amp;"-"&amp;F539&amp;"-"&amp;G539&amp;"-"&amp;H539</f>
        <v>B-2-f-0-17.5</v>
      </c>
      <c r="P539" t="str">
        <f>I539&amp;"-"&amp;J539&amp;"-"&amp;K539&amp;"-"&amp;L539&amp;"-"&amp;M539</f>
        <v>X-2-f-0-18.5</v>
      </c>
      <c r="Q539">
        <f>A539+R539</f>
        <v>15675.994546</v>
      </c>
      <c r="R539">
        <f>_xlfn.IFNA(VLOOKUP(P539,PGOPHER!A$2:G$181,7,FALSE),_xlfn.IFNA(VLOOKUP(P539,en!A$2:I$768,7,FALSE),-10000))</f>
        <v>1360.144546</v>
      </c>
      <c r="S539">
        <f>IF(O539=O538,Q538+S538,Q539)</f>
        <v>15675.994546</v>
      </c>
      <c r="T539">
        <f>IF(O539=O538,T538+1,1)</f>
        <v>1</v>
      </c>
      <c r="U539">
        <f>IF(O539=O540,"",S539/T539)</f>
        <v>15675.994546</v>
      </c>
      <c r="V539" t="str">
        <f>IF(U539="","",IF(ABS(Q539-U539)&gt;V$1,"error",""))</f>
        <v/>
      </c>
    </row>
    <row r="540" spans="1:22" x14ac:dyDescent="0.55000000000000004">
      <c r="A540">
        <v>14335.13</v>
      </c>
      <c r="B540" s="1">
        <v>0.01</v>
      </c>
      <c r="C540" s="1">
        <v>0.01</v>
      </c>
      <c r="D540" s="2" t="s">
        <v>1515</v>
      </c>
      <c r="E540">
        <v>2</v>
      </c>
      <c r="F540" s="2" t="s">
        <v>1</v>
      </c>
      <c r="G540">
        <v>1</v>
      </c>
      <c r="H540">
        <v>17.5</v>
      </c>
      <c r="I540" s="2" t="s">
        <v>0</v>
      </c>
      <c r="J540">
        <v>2</v>
      </c>
      <c r="K540" s="2" t="s">
        <v>1</v>
      </c>
      <c r="L540">
        <v>1</v>
      </c>
      <c r="M540">
        <v>18.5</v>
      </c>
      <c r="N540" s="2" t="s">
        <v>1612</v>
      </c>
      <c r="O540" t="str">
        <f>D540&amp;"-"&amp;E540&amp;"-"&amp;F540&amp;"-"&amp;G540&amp;"-"&amp;H540</f>
        <v>B-2-f-1-17.5</v>
      </c>
      <c r="P540" t="str">
        <f>I540&amp;"-"&amp;J540&amp;"-"&amp;K540&amp;"-"&amp;L540&amp;"-"&amp;M540</f>
        <v>X-2-f-1-18.5</v>
      </c>
      <c r="Q540">
        <f>A540+R540</f>
        <v>16837.648309</v>
      </c>
      <c r="R540">
        <f>_xlfn.IFNA(VLOOKUP(P540,PGOPHER!A$2:G$181,7,FALSE),_xlfn.IFNA(VLOOKUP(P540,en!A$2:I$768,7,FALSE),-10000))</f>
        <v>2502.518309</v>
      </c>
      <c r="S540">
        <f>IF(O540=O539,Q539+S539,Q540)</f>
        <v>16837.648309</v>
      </c>
      <c r="T540">
        <f>IF(O540=O539,T539+1,1)</f>
        <v>1</v>
      </c>
      <c r="U540">
        <f>IF(O540=O541,"",S540/T540)</f>
        <v>16837.648309</v>
      </c>
      <c r="V540" t="str">
        <f>IF(U540="","",IF(ABS(Q540-U540)&gt;V$1,"error",""))</f>
        <v/>
      </c>
    </row>
    <row r="541" spans="1:22" x14ac:dyDescent="0.55000000000000004">
      <c r="A541">
        <v>14248.45</v>
      </c>
      <c r="B541" s="1">
        <v>0.01</v>
      </c>
      <c r="C541" s="1">
        <v>0.01</v>
      </c>
      <c r="D541" s="2" t="s">
        <v>1515</v>
      </c>
      <c r="E541">
        <v>1</v>
      </c>
      <c r="F541" s="2" t="s">
        <v>2</v>
      </c>
      <c r="G541">
        <v>0</v>
      </c>
      <c r="H541">
        <v>18.5</v>
      </c>
      <c r="I541" s="2" t="s">
        <v>0</v>
      </c>
      <c r="J541">
        <v>1</v>
      </c>
      <c r="K541" s="2" t="s">
        <v>2</v>
      </c>
      <c r="L541">
        <v>0</v>
      </c>
      <c r="M541">
        <v>19.5</v>
      </c>
      <c r="N541" s="2" t="s">
        <v>1684</v>
      </c>
      <c r="O541" t="str">
        <f>D541&amp;"-"&amp;E541&amp;"-"&amp;F541&amp;"-"&amp;G541&amp;"-"&amp;H541</f>
        <v>B-1-e-0-18.5</v>
      </c>
      <c r="P541" t="str">
        <f>I541&amp;"-"&amp;J541&amp;"-"&amp;K541&amp;"-"&amp;L541&amp;"-"&amp;M541</f>
        <v>X-1-e-0-19.5</v>
      </c>
      <c r="Q541">
        <f>A541+R541</f>
        <v>15610.925105</v>
      </c>
      <c r="R541">
        <f>_xlfn.IFNA(VLOOKUP(P541,PGOPHER!A$2:G$181,7,FALSE),_xlfn.IFNA(VLOOKUP(P541,en!A$2:I$768,7,FALSE),-10000))</f>
        <v>1362.475105</v>
      </c>
      <c r="S541">
        <f>IF(O541=O540,Q540+S540,Q541)</f>
        <v>15610.925105</v>
      </c>
      <c r="T541">
        <f>IF(O541=O540,T540+1,1)</f>
        <v>1</v>
      </c>
      <c r="U541" t="str">
        <f>IF(O541=O542,"",S541/T541)</f>
        <v/>
      </c>
      <c r="V541" t="str">
        <f>IF(U541="","",IF(ABS(Q541-U541)&gt;V$1,"error",""))</f>
        <v/>
      </c>
    </row>
    <row r="542" spans="1:22" x14ac:dyDescent="0.55000000000000004">
      <c r="A542">
        <v>14510.64</v>
      </c>
      <c r="B542" s="1">
        <v>0.01</v>
      </c>
      <c r="C542" s="1">
        <v>0.01</v>
      </c>
      <c r="D542" s="2" t="s">
        <v>1515</v>
      </c>
      <c r="E542">
        <v>1</v>
      </c>
      <c r="F542" s="2" t="s">
        <v>2</v>
      </c>
      <c r="G542">
        <v>0</v>
      </c>
      <c r="H542">
        <v>18.5</v>
      </c>
      <c r="I542" s="2" t="s">
        <v>0</v>
      </c>
      <c r="J542">
        <v>1</v>
      </c>
      <c r="K542" s="2" t="s">
        <v>2</v>
      </c>
      <c r="L542">
        <v>0</v>
      </c>
      <c r="M542">
        <v>17.5</v>
      </c>
      <c r="N542" s="2" t="s">
        <v>1726</v>
      </c>
      <c r="O542" t="str">
        <f>D542&amp;"-"&amp;E542&amp;"-"&amp;F542&amp;"-"&amp;G542&amp;"-"&amp;H542</f>
        <v>B-1-e-0-18.5</v>
      </c>
      <c r="P542" t="str">
        <f>I542&amp;"-"&amp;J542&amp;"-"&amp;K542&amp;"-"&amp;L542&amp;"-"&amp;M542</f>
        <v>X-1-e-0-17.5</v>
      </c>
      <c r="Q542">
        <f>A542+R542</f>
        <v>15610.912043999999</v>
      </c>
      <c r="R542">
        <f>_xlfn.IFNA(VLOOKUP(P542,PGOPHER!A$2:G$181,7,FALSE),_xlfn.IFNA(VLOOKUP(P542,en!A$2:I$768,7,FALSE),-10000))</f>
        <v>1100.2720440000001</v>
      </c>
      <c r="S542">
        <f>IF(O542=O541,Q541+S541,Q542)</f>
        <v>31221.850210000001</v>
      </c>
      <c r="T542">
        <f>IF(O542=O541,T541+1,1)</f>
        <v>2</v>
      </c>
      <c r="U542">
        <f>IF(O542=O543,"",S542/T542)</f>
        <v>15610.925105</v>
      </c>
      <c r="V542" t="str">
        <f>IF(U542="","",IF(ABS(Q542-U542)&gt;V$1,"error",""))</f>
        <v/>
      </c>
    </row>
    <row r="543" spans="1:22" x14ac:dyDescent="0.55000000000000004">
      <c r="A543">
        <v>14267.92</v>
      </c>
      <c r="B543" s="1">
        <v>0.01</v>
      </c>
      <c r="C543" s="1">
        <v>0.01</v>
      </c>
      <c r="D543" s="2" t="s">
        <v>1515</v>
      </c>
      <c r="E543">
        <v>1</v>
      </c>
      <c r="F543" s="2" t="s">
        <v>2</v>
      </c>
      <c r="G543">
        <v>1</v>
      </c>
      <c r="H543">
        <v>18.5</v>
      </c>
      <c r="I543" s="2" t="s">
        <v>0</v>
      </c>
      <c r="J543">
        <v>1</v>
      </c>
      <c r="K543" s="2" t="s">
        <v>2</v>
      </c>
      <c r="L543">
        <v>1</v>
      </c>
      <c r="M543">
        <v>19.5</v>
      </c>
      <c r="N543" s="2" t="s">
        <v>1565</v>
      </c>
      <c r="O543" t="str">
        <f>D543&amp;"-"&amp;E543&amp;"-"&amp;F543&amp;"-"&amp;G543&amp;"-"&amp;H543</f>
        <v>B-1-e-1-18.5</v>
      </c>
      <c r="P543" t="str">
        <f>I543&amp;"-"&amp;J543&amp;"-"&amp;K543&amp;"-"&amp;L543&amp;"-"&amp;M543</f>
        <v>X-1-e-1-19.5</v>
      </c>
      <c r="Q543">
        <f>A543+R543</f>
        <v>16772.689076999999</v>
      </c>
      <c r="R543">
        <f>_xlfn.IFNA(VLOOKUP(P543,PGOPHER!A$2:G$181,7,FALSE),_xlfn.IFNA(VLOOKUP(P543,en!A$2:I$768,7,FALSE),-10000))</f>
        <v>2504.7690769999999</v>
      </c>
      <c r="S543">
        <f>IF(O543=O542,Q542+S542,Q543)</f>
        <v>16772.689076999999</v>
      </c>
      <c r="T543">
        <f>IF(O543=O542,T542+1,1)</f>
        <v>1</v>
      </c>
      <c r="U543" t="str">
        <f>IF(O543=O544,"",S543/T543)</f>
        <v/>
      </c>
      <c r="V543" t="str">
        <f>IF(U543="","",IF(ABS(Q543-U543)&gt;V$1,"error",""))</f>
        <v/>
      </c>
    </row>
    <row r="544" spans="1:22" x14ac:dyDescent="0.55000000000000004">
      <c r="A544">
        <v>14524.2</v>
      </c>
      <c r="B544" s="1">
        <v>0.01</v>
      </c>
      <c r="C544" s="1">
        <v>0.01</v>
      </c>
      <c r="D544" s="2" t="s">
        <v>1515</v>
      </c>
      <c r="E544">
        <v>1</v>
      </c>
      <c r="F544" s="2" t="s">
        <v>2</v>
      </c>
      <c r="G544">
        <v>1</v>
      </c>
      <c r="H544">
        <v>18.5</v>
      </c>
      <c r="I544" s="2" t="s">
        <v>0</v>
      </c>
      <c r="J544">
        <v>1</v>
      </c>
      <c r="K544" s="2" t="s">
        <v>2</v>
      </c>
      <c r="L544">
        <v>1</v>
      </c>
      <c r="M544">
        <v>17.5</v>
      </c>
      <c r="N544" s="2" t="s">
        <v>1533</v>
      </c>
      <c r="O544" t="str">
        <f>D544&amp;"-"&amp;E544&amp;"-"&amp;F544&amp;"-"&amp;G544&amp;"-"&amp;H544</f>
        <v>B-1-e-1-18.5</v>
      </c>
      <c r="P544" t="str">
        <f>I544&amp;"-"&amp;J544&amp;"-"&amp;K544&amp;"-"&amp;L544&amp;"-"&amp;M544</f>
        <v>X-1-e-1-17.5</v>
      </c>
      <c r="Q544">
        <f>A544+R544</f>
        <v>16772.698980000001</v>
      </c>
      <c r="R544">
        <f>_xlfn.IFNA(VLOOKUP(P544,PGOPHER!A$2:G$181,7,FALSE),_xlfn.IFNA(VLOOKUP(P544,en!A$2:I$768,7,FALSE),-10000))</f>
        <v>2248.4989799999998</v>
      </c>
      <c r="S544">
        <f>IF(O544=O543,Q543+S543,Q544)</f>
        <v>33545.378153999998</v>
      </c>
      <c r="T544">
        <f>IF(O544=O543,T543+1,1)</f>
        <v>2</v>
      </c>
      <c r="U544">
        <f>IF(O544=O545,"",S544/T544)</f>
        <v>16772.689076999999</v>
      </c>
      <c r="V544" t="str">
        <f>IF(U544="","",IF(ABS(Q544-U544)&gt;V$1,"error",""))</f>
        <v/>
      </c>
    </row>
    <row r="545" spans="1:22" x14ac:dyDescent="0.55000000000000004">
      <c r="A545">
        <v>14317.28</v>
      </c>
      <c r="B545" s="1">
        <v>0.01</v>
      </c>
      <c r="C545" s="1">
        <v>0.01</v>
      </c>
      <c r="D545" s="2" t="s">
        <v>1515</v>
      </c>
      <c r="E545">
        <v>2</v>
      </c>
      <c r="F545" s="2" t="s">
        <v>1</v>
      </c>
      <c r="G545">
        <v>0</v>
      </c>
      <c r="H545">
        <v>18.5</v>
      </c>
      <c r="I545" s="2" t="s">
        <v>0</v>
      </c>
      <c r="J545">
        <v>2</v>
      </c>
      <c r="K545" s="2" t="s">
        <v>1</v>
      </c>
      <c r="L545">
        <v>0</v>
      </c>
      <c r="M545">
        <v>19.5</v>
      </c>
      <c r="N545" s="2" t="s">
        <v>1755</v>
      </c>
      <c r="O545" t="str">
        <f>D545&amp;"-"&amp;E545&amp;"-"&amp;F545&amp;"-"&amp;G545&amp;"-"&amp;H545</f>
        <v>B-2-f-0-18.5</v>
      </c>
      <c r="P545" t="str">
        <f>I545&amp;"-"&amp;J545&amp;"-"&amp;K545&amp;"-"&amp;L545&amp;"-"&amp;M545</f>
        <v>X-2-f-0-19.5</v>
      </c>
      <c r="Q545">
        <f>A545+R545</f>
        <v>15818.437331000001</v>
      </c>
      <c r="R545">
        <f>_xlfn.IFNA(VLOOKUP(P545,PGOPHER!A$2:G$181,7,FALSE),_xlfn.IFNA(VLOOKUP(P545,en!A$2:I$768,7,FALSE),-10000))</f>
        <v>1501.1573310000001</v>
      </c>
      <c r="S545">
        <f>IF(O545=O544,Q544+S544,Q545)</f>
        <v>15818.437331000001</v>
      </c>
      <c r="T545">
        <f>IF(O545=O544,T544+1,1)</f>
        <v>1</v>
      </c>
      <c r="U545">
        <f>IF(O545=O546,"",S545/T545)</f>
        <v>15818.437331000001</v>
      </c>
      <c r="V545" t="str">
        <f>IF(U545="","",IF(ABS(Q545-U545)&gt;V$1,"error",""))</f>
        <v/>
      </c>
    </row>
    <row r="546" spans="1:22" x14ac:dyDescent="0.55000000000000004">
      <c r="A546">
        <v>14335.99</v>
      </c>
      <c r="B546" s="1">
        <v>0.01</v>
      </c>
      <c r="C546" s="1">
        <v>0.01</v>
      </c>
      <c r="D546" s="2" t="s">
        <v>1515</v>
      </c>
      <c r="E546">
        <v>2</v>
      </c>
      <c r="F546" s="2" t="s">
        <v>1</v>
      </c>
      <c r="G546">
        <v>1</v>
      </c>
      <c r="H546">
        <v>18.5</v>
      </c>
      <c r="I546" s="2" t="s">
        <v>0</v>
      </c>
      <c r="J546">
        <v>2</v>
      </c>
      <c r="K546" s="2" t="s">
        <v>1</v>
      </c>
      <c r="L546">
        <v>1</v>
      </c>
      <c r="M546">
        <v>19.5</v>
      </c>
      <c r="N546" s="2" t="s">
        <v>1613</v>
      </c>
      <c r="O546" t="str">
        <f>D546&amp;"-"&amp;E546&amp;"-"&amp;F546&amp;"-"&amp;G546&amp;"-"&amp;H546</f>
        <v>B-2-f-1-18.5</v>
      </c>
      <c r="P546" t="str">
        <f>I546&amp;"-"&amp;J546&amp;"-"&amp;K546&amp;"-"&amp;L546&amp;"-"&amp;M546</f>
        <v>X-2-f-1-19.5</v>
      </c>
      <c r="Q546">
        <f>A546+R546</f>
        <v>16976.326766999999</v>
      </c>
      <c r="R546">
        <f>_xlfn.IFNA(VLOOKUP(P546,PGOPHER!A$2:G$181,7,FALSE),_xlfn.IFNA(VLOOKUP(P546,en!A$2:I$768,7,FALSE),-10000))</f>
        <v>2640.3367669999998</v>
      </c>
      <c r="S546">
        <f>IF(O546=O545,Q545+S545,Q546)</f>
        <v>16976.326766999999</v>
      </c>
      <c r="T546">
        <f>IF(O546=O545,T545+1,1)</f>
        <v>1</v>
      </c>
      <c r="U546">
        <f>IF(O546=O547,"",S546/T546)</f>
        <v>16976.326766999999</v>
      </c>
      <c r="V546" t="str">
        <f>IF(U546="","",IF(ABS(Q546-U546)&gt;V$1,"error",""))</f>
        <v/>
      </c>
    </row>
    <row r="547" spans="1:22" x14ac:dyDescent="0.55000000000000004">
      <c r="A547">
        <v>14247.03</v>
      </c>
      <c r="B547" s="1">
        <v>1.191E-2</v>
      </c>
      <c r="C547" s="1">
        <v>1.191E-2</v>
      </c>
      <c r="D547" s="2" t="s">
        <v>1515</v>
      </c>
      <c r="E547">
        <v>1</v>
      </c>
      <c r="F547" s="2" t="s">
        <v>2</v>
      </c>
      <c r="G547">
        <v>0</v>
      </c>
      <c r="H547">
        <v>19.5</v>
      </c>
      <c r="I547" s="2" t="s">
        <v>0</v>
      </c>
      <c r="J547">
        <v>1</v>
      </c>
      <c r="K547" s="2" t="s">
        <v>2</v>
      </c>
      <c r="L547">
        <v>0</v>
      </c>
      <c r="M547">
        <v>20.5</v>
      </c>
      <c r="N547" s="2" t="s">
        <v>1685</v>
      </c>
      <c r="O547" t="str">
        <f>D547&amp;"-"&amp;E547&amp;"-"&amp;F547&amp;"-"&amp;G547&amp;"-"&amp;H547</f>
        <v>B-1-e-0-19.5</v>
      </c>
      <c r="P547" t="str">
        <f>I547&amp;"-"&amp;J547&amp;"-"&amp;K547&amp;"-"&amp;L547&amp;"-"&amp;M547</f>
        <v>X-1-e-0-20.5</v>
      </c>
      <c r="Q547">
        <f>A547+R547</f>
        <v>15750.628250000002</v>
      </c>
      <c r="R547">
        <f>_xlfn.IFNA(VLOOKUP(P547,PGOPHER!A$2:G$181,7,FALSE),_xlfn.IFNA(VLOOKUP(P547,en!A$2:I$768,7,FALSE),-10000))</f>
        <v>1503.59825</v>
      </c>
      <c r="S547">
        <f>IF(O547=O546,Q546+S546,Q547)</f>
        <v>15750.628250000002</v>
      </c>
      <c r="T547">
        <f>IF(O547=O546,T546+1,1)</f>
        <v>1</v>
      </c>
      <c r="U547" t="str">
        <f>IF(O547=O548,"",S547/T547)</f>
        <v/>
      </c>
      <c r="V547" t="str">
        <f>IF(U547="","",IF(ABS(Q547-U547)&gt;V$1,"error",""))</f>
        <v/>
      </c>
    </row>
    <row r="548" spans="1:22" x14ac:dyDescent="0.55000000000000004">
      <c r="A548">
        <v>14522.64</v>
      </c>
      <c r="B548" s="1">
        <v>1.191E-2</v>
      </c>
      <c r="C548" s="1">
        <v>1.191E-2</v>
      </c>
      <c r="D548" s="2" t="s">
        <v>1515</v>
      </c>
      <c r="E548">
        <v>1</v>
      </c>
      <c r="F548" s="2" t="s">
        <v>2</v>
      </c>
      <c r="G548">
        <v>0</v>
      </c>
      <c r="H548">
        <v>19.5</v>
      </c>
      <c r="I548" s="2" t="s">
        <v>0</v>
      </c>
      <c r="J548">
        <v>1</v>
      </c>
      <c r="K548" s="2" t="s">
        <v>2</v>
      </c>
      <c r="L548">
        <v>0</v>
      </c>
      <c r="M548">
        <v>18.5</v>
      </c>
      <c r="N548" s="2" t="s">
        <v>1727</v>
      </c>
      <c r="O548" t="str">
        <f>D548&amp;"-"&amp;E548&amp;"-"&amp;F548&amp;"-"&amp;G548&amp;"-"&amp;H548</f>
        <v>B-1-e-0-19.5</v>
      </c>
      <c r="P548" t="str">
        <f>I548&amp;"-"&amp;J548&amp;"-"&amp;K548&amp;"-"&amp;L548&amp;"-"&amp;M548</f>
        <v>X-1-e-0-18.5</v>
      </c>
      <c r="Q548">
        <f>A548+R548</f>
        <v>15750.649300999999</v>
      </c>
      <c r="R548">
        <f>_xlfn.IFNA(VLOOKUP(P548,PGOPHER!A$2:G$181,7,FALSE),_xlfn.IFNA(VLOOKUP(P548,en!A$2:I$768,7,FALSE),-10000))</f>
        <v>1228.0093010000001</v>
      </c>
      <c r="S548">
        <f>IF(O548=O547,Q547+S547,Q548)</f>
        <v>31501.256500000003</v>
      </c>
      <c r="T548">
        <f>IF(O548=O547,T547+1,1)</f>
        <v>2</v>
      </c>
      <c r="U548">
        <f>IF(O548=O549,"",S548/T548)</f>
        <v>15750.628250000002</v>
      </c>
      <c r="V548" t="str">
        <f>IF(U548="","",IF(ABS(Q548-U548)&gt;V$1,"error",""))</f>
        <v/>
      </c>
    </row>
    <row r="549" spans="1:22" x14ac:dyDescent="0.55000000000000004">
      <c r="A549">
        <v>14266.08</v>
      </c>
      <c r="B549" s="1">
        <v>0.01</v>
      </c>
      <c r="C549" s="1">
        <v>0.01</v>
      </c>
      <c r="D549" s="2" t="s">
        <v>1515</v>
      </c>
      <c r="E549">
        <v>1</v>
      </c>
      <c r="F549" s="2" t="s">
        <v>2</v>
      </c>
      <c r="G549">
        <v>1</v>
      </c>
      <c r="H549">
        <v>19.5</v>
      </c>
      <c r="I549" s="2" t="s">
        <v>0</v>
      </c>
      <c r="J549">
        <v>1</v>
      </c>
      <c r="K549" s="2" t="s">
        <v>2</v>
      </c>
      <c r="L549">
        <v>1</v>
      </c>
      <c r="M549">
        <v>20.5</v>
      </c>
      <c r="N549" s="2" t="s">
        <v>1566</v>
      </c>
      <c r="O549" t="str">
        <f>D549&amp;"-"&amp;E549&amp;"-"&amp;F549&amp;"-"&amp;G549&amp;"-"&amp;H549</f>
        <v>B-1-e-1-19.5</v>
      </c>
      <c r="P549" t="str">
        <f>I549&amp;"-"&amp;J549&amp;"-"&amp;K549&amp;"-"&amp;L549&amp;"-"&amp;M549</f>
        <v>X-1-e-1-20.5</v>
      </c>
      <c r="Q549">
        <f>A549+R549</f>
        <v>16908.773083</v>
      </c>
      <c r="R549">
        <f>_xlfn.IFNA(VLOOKUP(P549,PGOPHER!A$2:G$181,7,FALSE),_xlfn.IFNA(VLOOKUP(P549,en!A$2:I$768,7,FALSE),-10000))</f>
        <v>2642.6930830000001</v>
      </c>
      <c r="S549">
        <f>IF(O549=O548,Q548+S548,Q549)</f>
        <v>16908.773083</v>
      </c>
      <c r="T549">
        <f>IF(O549=O548,T548+1,1)</f>
        <v>1</v>
      </c>
      <c r="U549">
        <f>IF(O549=O550,"",S549/T549)</f>
        <v>16908.773083</v>
      </c>
      <c r="V549" t="str">
        <f>IF(U549="","",IF(ABS(Q549-U549)&gt;V$1,"error",""))</f>
        <v/>
      </c>
    </row>
    <row r="550" spans="1:22" x14ac:dyDescent="0.55000000000000004">
      <c r="A550">
        <v>14319.06</v>
      </c>
      <c r="B550" s="1">
        <v>0.01</v>
      </c>
      <c r="C550" s="1">
        <v>0.01</v>
      </c>
      <c r="D550" s="2" t="s">
        <v>1515</v>
      </c>
      <c r="E550">
        <v>2</v>
      </c>
      <c r="F550" s="2" t="s">
        <v>1</v>
      </c>
      <c r="G550">
        <v>0</v>
      </c>
      <c r="H550">
        <v>19.5</v>
      </c>
      <c r="I550" s="2" t="s">
        <v>0</v>
      </c>
      <c r="J550">
        <v>2</v>
      </c>
      <c r="K550" s="2" t="s">
        <v>1</v>
      </c>
      <c r="L550">
        <v>0</v>
      </c>
      <c r="M550">
        <v>20.5</v>
      </c>
      <c r="N550" s="2" t="s">
        <v>1756</v>
      </c>
      <c r="O550" t="str">
        <f>D550&amp;"-"&amp;E550&amp;"-"&amp;F550&amp;"-"&amp;G550&amp;"-"&amp;H550</f>
        <v>B-2-f-0-19.5</v>
      </c>
      <c r="P550" t="str">
        <f>I550&amp;"-"&amp;J550&amp;"-"&amp;K550&amp;"-"&amp;L550&amp;"-"&amp;M550</f>
        <v>X-2-f-0-20.5</v>
      </c>
      <c r="Q550">
        <f>A550+R550</f>
        <v>15967.841570000001</v>
      </c>
      <c r="R550">
        <f>_xlfn.IFNA(VLOOKUP(P550,PGOPHER!A$2:G$181,7,FALSE),_xlfn.IFNA(VLOOKUP(P550,en!A$2:I$768,7,FALSE),-10000))</f>
        <v>1648.7815700000001</v>
      </c>
      <c r="S550">
        <f>IF(O550=O549,Q549+S549,Q550)</f>
        <v>15967.841570000001</v>
      </c>
      <c r="T550">
        <f>IF(O550=O549,T549+1,1)</f>
        <v>1</v>
      </c>
      <c r="U550">
        <f>IF(O550=O551,"",S550/T550)</f>
        <v>15967.841570000001</v>
      </c>
      <c r="V550" t="str">
        <f>IF(U550="","",IF(ABS(Q550-U550)&gt;V$1,"error",""))</f>
        <v/>
      </c>
    </row>
    <row r="551" spans="1:22" x14ac:dyDescent="0.55000000000000004">
      <c r="A551">
        <v>14337.21</v>
      </c>
      <c r="B551" s="1">
        <v>0.01</v>
      </c>
      <c r="C551" s="1">
        <v>0.01</v>
      </c>
      <c r="D551" s="2" t="s">
        <v>1515</v>
      </c>
      <c r="E551">
        <v>2</v>
      </c>
      <c r="F551" s="2" t="s">
        <v>1</v>
      </c>
      <c r="G551">
        <v>1</v>
      </c>
      <c r="H551">
        <v>19.5</v>
      </c>
      <c r="I551" s="2" t="s">
        <v>0</v>
      </c>
      <c r="J551">
        <v>2</v>
      </c>
      <c r="K551" s="2" t="s">
        <v>1</v>
      </c>
      <c r="L551">
        <v>1</v>
      </c>
      <c r="M551">
        <v>20.5</v>
      </c>
      <c r="N551" s="2" t="s">
        <v>1614</v>
      </c>
      <c r="O551" t="str">
        <f>D551&amp;"-"&amp;E551&amp;"-"&amp;F551&amp;"-"&amp;G551&amp;"-"&amp;H551</f>
        <v>B-2-f-1-19.5</v>
      </c>
      <c r="P551" t="str">
        <f>I551&amp;"-"&amp;J551&amp;"-"&amp;K551&amp;"-"&amp;L551&amp;"-"&amp;M551</f>
        <v>X-2-f-1-20.5</v>
      </c>
      <c r="Q551">
        <f>A551+R551</f>
        <v>17121.801341999999</v>
      </c>
      <c r="R551">
        <f>_xlfn.IFNA(VLOOKUP(P551,PGOPHER!A$2:G$181,7,FALSE),_xlfn.IFNA(VLOOKUP(P551,en!A$2:I$768,7,FALSE),-10000))</f>
        <v>2784.5913420000002</v>
      </c>
      <c r="S551">
        <f>IF(O551=O550,Q550+S550,Q551)</f>
        <v>17121.801341999999</v>
      </c>
      <c r="T551">
        <f>IF(O551=O550,T550+1,1)</f>
        <v>1</v>
      </c>
      <c r="U551">
        <f>IF(O551=O552,"",S551/T551)</f>
        <v>17121.801341999999</v>
      </c>
      <c r="V551" t="str">
        <f>IF(U551="","",IF(ABS(Q551-U551)&gt;V$1,"error",""))</f>
        <v/>
      </c>
    </row>
    <row r="552" spans="1:22" x14ac:dyDescent="0.55000000000000004">
      <c r="A552">
        <v>14246</v>
      </c>
      <c r="B552" s="1">
        <v>2.87E-2</v>
      </c>
      <c r="C552" s="1">
        <v>2.87E-2</v>
      </c>
      <c r="D552" s="2" t="s">
        <v>1515</v>
      </c>
      <c r="E552">
        <v>1</v>
      </c>
      <c r="F552" s="2" t="s">
        <v>2</v>
      </c>
      <c r="G552">
        <v>0</v>
      </c>
      <c r="H552">
        <v>20.5</v>
      </c>
      <c r="I552" s="2" t="s">
        <v>0</v>
      </c>
      <c r="J552">
        <v>1</v>
      </c>
      <c r="K552" s="2" t="s">
        <v>2</v>
      </c>
      <c r="L552">
        <v>0</v>
      </c>
      <c r="M552">
        <v>21.5</v>
      </c>
      <c r="N552" s="2" t="s">
        <v>1686</v>
      </c>
      <c r="O552" t="str">
        <f>D552&amp;"-"&amp;E552&amp;"-"&amp;F552&amp;"-"&amp;G552&amp;"-"&amp;H552</f>
        <v>B-1-e-0-20.5</v>
      </c>
      <c r="P552" t="str">
        <f>I552&amp;"-"&amp;J552&amp;"-"&amp;K552&amp;"-"&amp;L552&amp;"-"&amp;M552</f>
        <v>X-1-e-0-21.5</v>
      </c>
      <c r="Q552">
        <f>A552+R552</f>
        <v>15897.329234999999</v>
      </c>
      <c r="R552">
        <f>_xlfn.IFNA(VLOOKUP(P552,PGOPHER!A$2:G$181,7,FALSE),_xlfn.IFNA(VLOOKUP(P552,en!A$2:I$768,7,FALSE),-10000))</f>
        <v>1651.3292349999999</v>
      </c>
      <c r="S552">
        <f>IF(O552=O551,Q551+S551,Q552)</f>
        <v>15897.329234999999</v>
      </c>
      <c r="T552">
        <f>IF(O552=O551,T551+1,1)</f>
        <v>1</v>
      </c>
      <c r="U552" t="str">
        <f>IF(O552=O553,"",S552/T552)</f>
        <v/>
      </c>
      <c r="V552" t="str">
        <f>IF(U552="","",IF(ABS(Q552-U552)&gt;V$1,"error",""))</f>
        <v/>
      </c>
    </row>
    <row r="553" spans="1:22" x14ac:dyDescent="0.55000000000000004">
      <c r="A553">
        <v>14534.8</v>
      </c>
      <c r="B553" s="1">
        <v>2.87E-2</v>
      </c>
      <c r="C553" s="1">
        <v>2.87E-2</v>
      </c>
      <c r="D553" s="2" t="s">
        <v>1515</v>
      </c>
      <c r="E553">
        <v>1</v>
      </c>
      <c r="F553" s="2" t="s">
        <v>2</v>
      </c>
      <c r="G553">
        <v>0</v>
      </c>
      <c r="H553">
        <v>20.5</v>
      </c>
      <c r="I553" s="2" t="s">
        <v>0</v>
      </c>
      <c r="J553">
        <v>1</v>
      </c>
      <c r="K553" s="2" t="s">
        <v>2</v>
      </c>
      <c r="L553">
        <v>0</v>
      </c>
      <c r="M553">
        <v>19.5</v>
      </c>
      <c r="N553" s="2" t="s">
        <v>1728</v>
      </c>
      <c r="O553" t="str">
        <f>D553&amp;"-"&amp;E553&amp;"-"&amp;F553&amp;"-"&amp;G553&amp;"-"&amp;H553</f>
        <v>B-1-e-0-20.5</v>
      </c>
      <c r="P553" t="str">
        <f>I553&amp;"-"&amp;J553&amp;"-"&amp;K553&amp;"-"&amp;L553&amp;"-"&amp;M553</f>
        <v>X-1-e-0-19.5</v>
      </c>
      <c r="Q553">
        <f>A553+R553</f>
        <v>15897.275104999999</v>
      </c>
      <c r="R553">
        <f>_xlfn.IFNA(VLOOKUP(P553,PGOPHER!A$2:G$181,7,FALSE),_xlfn.IFNA(VLOOKUP(P553,en!A$2:I$768,7,FALSE),-10000))</f>
        <v>1362.475105</v>
      </c>
      <c r="S553">
        <f>IF(O553=O552,Q552+S552,Q553)</f>
        <v>31794.658469999998</v>
      </c>
      <c r="T553">
        <f>IF(O553=O552,T552+1,1)</f>
        <v>2</v>
      </c>
      <c r="U553">
        <f>IF(O553=O554,"",S553/T553)</f>
        <v>15897.329234999999</v>
      </c>
      <c r="V553" t="str">
        <f>IF(U553="","",IF(ABS(Q553-U553)&gt;V$1,"error",""))</f>
        <v/>
      </c>
    </row>
    <row r="554" spans="1:22" x14ac:dyDescent="0.55000000000000004">
      <c r="A554">
        <v>14264.65</v>
      </c>
      <c r="B554" s="1">
        <v>0.22689999999999999</v>
      </c>
      <c r="C554" s="1">
        <v>0.22689999999999999</v>
      </c>
      <c r="D554" s="2" t="s">
        <v>1515</v>
      </c>
      <c r="E554">
        <v>1</v>
      </c>
      <c r="F554" s="2" t="s">
        <v>2</v>
      </c>
      <c r="G554">
        <v>1</v>
      </c>
      <c r="H554">
        <v>20.5</v>
      </c>
      <c r="I554" s="2" t="s">
        <v>0</v>
      </c>
      <c r="J554">
        <v>1</v>
      </c>
      <c r="K554" s="2" t="s">
        <v>2</v>
      </c>
      <c r="L554">
        <v>1</v>
      </c>
      <c r="M554">
        <v>21.5</v>
      </c>
      <c r="N554" s="2" t="s">
        <v>1567</v>
      </c>
      <c r="O554" t="str">
        <f>D554&amp;"-"&amp;E554&amp;"-"&amp;F554&amp;"-"&amp;G554&amp;"-"&amp;H554</f>
        <v>B-1-e-1-20.5</v>
      </c>
      <c r="P554" t="str">
        <f>I554&amp;"-"&amp;J554&amp;"-"&amp;K554&amp;"-"&amp;L554&amp;"-"&amp;M554</f>
        <v>X-1-e-1-21.5</v>
      </c>
      <c r="Q554">
        <f>A554+R554</f>
        <v>17051.703964</v>
      </c>
      <c r="R554">
        <f>_xlfn.IFNA(VLOOKUP(P554,PGOPHER!A$2:G$181,7,FALSE),_xlfn.IFNA(VLOOKUP(P554,en!A$2:I$768,7,FALSE),-10000))</f>
        <v>2787.0539640000002</v>
      </c>
      <c r="S554">
        <f>IF(O554=O553,Q553+S553,Q554)</f>
        <v>17051.703964</v>
      </c>
      <c r="T554">
        <f>IF(O554=O553,T553+1,1)</f>
        <v>1</v>
      </c>
      <c r="U554" t="str">
        <f>IF(O554=O555,"",S554/T554)</f>
        <v/>
      </c>
      <c r="V554" t="str">
        <f>IF(U554="","",IF(ABS(Q554-U554)&gt;V$1,"error",""))</f>
        <v/>
      </c>
    </row>
    <row r="555" spans="1:22" x14ac:dyDescent="0.55000000000000004">
      <c r="A555">
        <v>14547.35</v>
      </c>
      <c r="B555" s="1">
        <v>0.22689999999999999</v>
      </c>
      <c r="C555" s="1">
        <v>0.22689999999999999</v>
      </c>
      <c r="D555" s="2" t="s">
        <v>1515</v>
      </c>
      <c r="E555">
        <v>1</v>
      </c>
      <c r="F555" s="2" t="s">
        <v>2</v>
      </c>
      <c r="G555">
        <v>1</v>
      </c>
      <c r="H555">
        <v>20.5</v>
      </c>
      <c r="I555" s="2" t="s">
        <v>0</v>
      </c>
      <c r="J555">
        <v>1</v>
      </c>
      <c r="K555" s="2" t="s">
        <v>2</v>
      </c>
      <c r="L555">
        <v>1</v>
      </c>
      <c r="M555">
        <v>19.5</v>
      </c>
      <c r="N555" s="2" t="s">
        <v>1534</v>
      </c>
      <c r="O555" t="str">
        <f>D555&amp;"-"&amp;E555&amp;"-"&amp;F555&amp;"-"&amp;G555&amp;"-"&amp;H555</f>
        <v>B-1-e-1-20.5</v>
      </c>
      <c r="P555" t="str">
        <f>I555&amp;"-"&amp;J555&amp;"-"&amp;K555&amp;"-"&amp;L555&amp;"-"&amp;M555</f>
        <v>X-1-e-1-19.5</v>
      </c>
      <c r="Q555">
        <f>A555+R555</f>
        <v>17052.119076999999</v>
      </c>
      <c r="R555">
        <f>_xlfn.IFNA(VLOOKUP(P555,PGOPHER!A$2:G$181,7,FALSE),_xlfn.IFNA(VLOOKUP(P555,en!A$2:I$768,7,FALSE),-10000))</f>
        <v>2504.7690769999999</v>
      </c>
      <c r="S555">
        <f>IF(O555=O554,Q554+S554,Q555)</f>
        <v>34103.407928000001</v>
      </c>
      <c r="T555">
        <f>IF(O555=O554,T554+1,1)</f>
        <v>2</v>
      </c>
      <c r="U555">
        <f>IF(O555=O556,"",S555/T555)</f>
        <v>17051.703964</v>
      </c>
      <c r="V555" t="str">
        <f>IF(U555="","",IF(ABS(Q555-U555)&gt;V$1,"error",""))</f>
        <v/>
      </c>
    </row>
    <row r="556" spans="1:22" x14ac:dyDescent="0.55000000000000004">
      <c r="A556">
        <v>14321.19</v>
      </c>
      <c r="B556" s="1">
        <v>0.01</v>
      </c>
      <c r="C556" s="1">
        <v>0.01</v>
      </c>
      <c r="D556" s="2" t="s">
        <v>1515</v>
      </c>
      <c r="E556">
        <v>2</v>
      </c>
      <c r="F556" s="2" t="s">
        <v>1</v>
      </c>
      <c r="G556">
        <v>0</v>
      </c>
      <c r="H556">
        <v>20.5</v>
      </c>
      <c r="I556" s="2" t="s">
        <v>0</v>
      </c>
      <c r="J556">
        <v>2</v>
      </c>
      <c r="K556" s="2" t="s">
        <v>1</v>
      </c>
      <c r="L556">
        <v>0</v>
      </c>
      <c r="M556">
        <v>21.5</v>
      </c>
      <c r="N556" s="2" t="s">
        <v>1757</v>
      </c>
      <c r="O556" t="str">
        <f>D556&amp;"-"&amp;E556&amp;"-"&amp;F556&amp;"-"&amp;G556&amp;"-"&amp;H556</f>
        <v>B-2-f-0-20.5</v>
      </c>
      <c r="P556" t="str">
        <f>I556&amp;"-"&amp;J556&amp;"-"&amp;K556&amp;"-"&amp;L556&amp;"-"&amp;M556</f>
        <v>X-2-f-0-21.5</v>
      </c>
      <c r="Q556">
        <f>A556+R556</f>
        <v>16124.126219</v>
      </c>
      <c r="R556">
        <f>_xlfn.IFNA(VLOOKUP(P556,PGOPHER!A$2:G$181,7,FALSE),_xlfn.IFNA(VLOOKUP(P556,en!A$2:I$768,7,FALSE),-10000))</f>
        <v>1802.9362189999999</v>
      </c>
      <c r="S556">
        <f>IF(O556=O555,Q555+S555,Q556)</f>
        <v>16124.126219</v>
      </c>
      <c r="T556">
        <f>IF(O556=O555,T555+1,1)</f>
        <v>1</v>
      </c>
      <c r="U556">
        <f>IF(O556=O557,"",S556/T556)</f>
        <v>16124.126219</v>
      </c>
      <c r="V556" t="str">
        <f>IF(U556="","",IF(ABS(Q556-U556)&gt;V$1,"error",""))</f>
        <v/>
      </c>
    </row>
    <row r="557" spans="1:22" x14ac:dyDescent="0.55000000000000004">
      <c r="A557">
        <v>14338.6</v>
      </c>
      <c r="B557" s="1">
        <v>0.01</v>
      </c>
      <c r="C557" s="1">
        <v>0.01</v>
      </c>
      <c r="D557" s="2" t="s">
        <v>1515</v>
      </c>
      <c r="E557">
        <v>2</v>
      </c>
      <c r="F557" s="2" t="s">
        <v>1</v>
      </c>
      <c r="G557">
        <v>1</v>
      </c>
      <c r="H557">
        <v>20.5</v>
      </c>
      <c r="I557" s="2" t="s">
        <v>0</v>
      </c>
      <c r="J557">
        <v>2</v>
      </c>
      <c r="K557" s="2" t="s">
        <v>1</v>
      </c>
      <c r="L557">
        <v>1</v>
      </c>
      <c r="M557">
        <v>21.5</v>
      </c>
      <c r="N557" s="2" t="s">
        <v>1615</v>
      </c>
      <c r="O557" t="str">
        <f>D557&amp;"-"&amp;E557&amp;"-"&amp;F557&amp;"-"&amp;G557&amp;"-"&amp;H557</f>
        <v>B-2-f-1-20.5</v>
      </c>
      <c r="P557" t="str">
        <f>I557&amp;"-"&amp;J557&amp;"-"&amp;K557&amp;"-"&amp;L557&amp;"-"&amp;M557</f>
        <v>X-2-f-1-21.5</v>
      </c>
      <c r="Q557">
        <f>A557+R557</f>
        <v>17273.835283</v>
      </c>
      <c r="R557">
        <f>_xlfn.IFNA(VLOOKUP(P557,PGOPHER!A$2:G$181,7,FALSE),_xlfn.IFNA(VLOOKUP(P557,en!A$2:I$768,7,FALSE),-10000))</f>
        <v>2935.235283</v>
      </c>
      <c r="S557">
        <f>IF(O557=O556,Q556+S556,Q557)</f>
        <v>17273.835283</v>
      </c>
      <c r="T557">
        <f>IF(O557=O556,T556+1,1)</f>
        <v>1</v>
      </c>
      <c r="U557">
        <f>IF(O557=O558,"",S557/T557)</f>
        <v>17273.835283</v>
      </c>
      <c r="V557" t="str">
        <f>IF(U557="","",IF(ABS(Q557-U557)&gt;V$1,"error",""))</f>
        <v/>
      </c>
    </row>
    <row r="558" spans="1:22" x14ac:dyDescent="0.55000000000000004">
      <c r="A558">
        <v>14245.27</v>
      </c>
      <c r="B558" s="1">
        <v>1.3809999999999999E-2</v>
      </c>
      <c r="C558" s="1">
        <v>1.3809999999999999E-2</v>
      </c>
      <c r="D558" s="2" t="s">
        <v>1515</v>
      </c>
      <c r="E558">
        <v>1</v>
      </c>
      <c r="F558" s="2" t="s">
        <v>2</v>
      </c>
      <c r="G558">
        <v>0</v>
      </c>
      <c r="H558">
        <v>21.5</v>
      </c>
      <c r="I558" s="2" t="s">
        <v>0</v>
      </c>
      <c r="J558">
        <v>1</v>
      </c>
      <c r="K558" s="2" t="s">
        <v>2</v>
      </c>
      <c r="L558">
        <v>0</v>
      </c>
      <c r="M558">
        <v>22.5</v>
      </c>
      <c r="N558" s="2" t="s">
        <v>1687</v>
      </c>
      <c r="O558" t="str">
        <f>D558&amp;"-"&amp;E558&amp;"-"&amp;F558&amp;"-"&amp;G558&amp;"-"&amp;H558</f>
        <v>B-1-e-0-21.5</v>
      </c>
      <c r="P558" t="str">
        <f>I558&amp;"-"&amp;J558&amp;"-"&amp;K558&amp;"-"&amp;L558&amp;"-"&amp;M558</f>
        <v>X-1-e-0-22.5</v>
      </c>
      <c r="Q558">
        <f>A558+R558</f>
        <v>16050.863552000001</v>
      </c>
      <c r="R558">
        <f>_xlfn.IFNA(VLOOKUP(P558,PGOPHER!A$2:G$181,7,FALSE),_xlfn.IFNA(VLOOKUP(P558,en!A$2:I$768,7,FALSE),-10000))</f>
        <v>1805.593552</v>
      </c>
      <c r="S558">
        <f>IF(O558=O557,Q557+S557,Q558)</f>
        <v>16050.863552000001</v>
      </c>
      <c r="T558">
        <f>IF(O558=O557,T557+1,1)</f>
        <v>1</v>
      </c>
      <c r="U558" t="str">
        <f>IF(O558=O559,"",S558/T558)</f>
        <v/>
      </c>
      <c r="V558" t="str">
        <f>IF(U558="","",IF(ABS(Q558-U558)&gt;V$1,"error",""))</f>
        <v/>
      </c>
    </row>
    <row r="559" spans="1:22" x14ac:dyDescent="0.55000000000000004">
      <c r="A559">
        <v>14547.29</v>
      </c>
      <c r="B559" s="1">
        <v>1.3809999999999999E-2</v>
      </c>
      <c r="C559" s="1">
        <v>1.3809999999999999E-2</v>
      </c>
      <c r="D559" s="2" t="s">
        <v>1515</v>
      </c>
      <c r="E559">
        <v>1</v>
      </c>
      <c r="F559" s="2" t="s">
        <v>2</v>
      </c>
      <c r="G559">
        <v>0</v>
      </c>
      <c r="H559">
        <v>21.5</v>
      </c>
      <c r="I559" s="2" t="s">
        <v>0</v>
      </c>
      <c r="J559">
        <v>1</v>
      </c>
      <c r="K559" s="2" t="s">
        <v>2</v>
      </c>
      <c r="L559">
        <v>0</v>
      </c>
      <c r="M559">
        <v>20.5</v>
      </c>
      <c r="N559" s="2" t="s">
        <v>1729</v>
      </c>
      <c r="O559" t="str">
        <f>D559&amp;"-"&amp;E559&amp;"-"&amp;F559&amp;"-"&amp;G559&amp;"-"&amp;H559</f>
        <v>B-1-e-0-21.5</v>
      </c>
      <c r="P559" t="str">
        <f>I559&amp;"-"&amp;J559&amp;"-"&amp;K559&amp;"-"&amp;L559&amp;"-"&amp;M559</f>
        <v>X-1-e-0-20.5</v>
      </c>
      <c r="Q559">
        <f>A559+R559</f>
        <v>16050.88825</v>
      </c>
      <c r="R559">
        <f>_xlfn.IFNA(VLOOKUP(P559,PGOPHER!A$2:G$181,7,FALSE),_xlfn.IFNA(VLOOKUP(P559,en!A$2:I$768,7,FALSE),-10000))</f>
        <v>1503.59825</v>
      </c>
      <c r="S559">
        <f>IF(O559=O558,Q558+S558,Q559)</f>
        <v>32101.727104000001</v>
      </c>
      <c r="T559">
        <f>IF(O559=O558,T558+1,1)</f>
        <v>2</v>
      </c>
      <c r="U559">
        <f>IF(O559=O560,"",S559/T559)</f>
        <v>16050.863552000001</v>
      </c>
      <c r="V559" t="str">
        <f>IF(U559="","",IF(ABS(Q559-U559)&gt;V$1,"error",""))</f>
        <v/>
      </c>
    </row>
    <row r="560" spans="1:22" x14ac:dyDescent="0.55000000000000004">
      <c r="A560">
        <v>14263.56</v>
      </c>
      <c r="B560" s="1">
        <v>1.9990000000000001E-2</v>
      </c>
      <c r="C560" s="1">
        <v>1.9990000000000001E-2</v>
      </c>
      <c r="D560" s="2" t="s">
        <v>1515</v>
      </c>
      <c r="E560">
        <v>1</v>
      </c>
      <c r="F560" s="2" t="s">
        <v>2</v>
      </c>
      <c r="G560">
        <v>1</v>
      </c>
      <c r="H560">
        <v>21.5</v>
      </c>
      <c r="I560" s="2" t="s">
        <v>0</v>
      </c>
      <c r="J560">
        <v>1</v>
      </c>
      <c r="K560" s="2" t="s">
        <v>2</v>
      </c>
      <c r="L560">
        <v>1</v>
      </c>
      <c r="M560">
        <v>22.5</v>
      </c>
      <c r="N560" s="2" t="s">
        <v>1568</v>
      </c>
      <c r="O560" t="str">
        <f>D560&amp;"-"&amp;E560&amp;"-"&amp;F560&amp;"-"&amp;G560&amp;"-"&amp;H560</f>
        <v>B-1-e-1-21.5</v>
      </c>
      <c r="P560" t="str">
        <f>I560&amp;"-"&amp;J560&amp;"-"&amp;K560&amp;"-"&amp;L560&amp;"-"&amp;M560</f>
        <v>X-1-e-1-22.5</v>
      </c>
      <c r="Q560">
        <f>A560+R560</f>
        <v>17201.358413999998</v>
      </c>
      <c r="R560">
        <f>_xlfn.IFNA(VLOOKUP(P560,PGOPHER!A$2:G$181,7,FALSE),_xlfn.IFNA(VLOOKUP(P560,en!A$2:I$768,7,FALSE),-10000))</f>
        <v>2937.7984139999999</v>
      </c>
      <c r="S560">
        <f>IF(O560=O559,Q559+S559,Q560)</f>
        <v>17201.358413999998</v>
      </c>
      <c r="T560">
        <f>IF(O560=O559,T559+1,1)</f>
        <v>1</v>
      </c>
      <c r="U560" t="str">
        <f>IF(O560=O561,"",S560/T560)</f>
        <v/>
      </c>
      <c r="V560" t="str">
        <f>IF(U560="","",IF(ABS(Q560-U560)&gt;V$1,"error",""))</f>
        <v/>
      </c>
    </row>
    <row r="561" spans="1:22" x14ac:dyDescent="0.55000000000000004">
      <c r="A561">
        <v>14558.7</v>
      </c>
      <c r="B561" s="1">
        <v>1.9990000000000001E-2</v>
      </c>
      <c r="C561" s="1">
        <v>1.9990000000000001E-2</v>
      </c>
      <c r="D561" s="2" t="s">
        <v>1515</v>
      </c>
      <c r="E561">
        <v>1</v>
      </c>
      <c r="F561" s="2" t="s">
        <v>2</v>
      </c>
      <c r="G561">
        <v>1</v>
      </c>
      <c r="H561">
        <v>21.5</v>
      </c>
      <c r="I561" s="2" t="s">
        <v>0</v>
      </c>
      <c r="J561">
        <v>1</v>
      </c>
      <c r="K561" s="2" t="s">
        <v>2</v>
      </c>
      <c r="L561">
        <v>1</v>
      </c>
      <c r="M561">
        <v>20.5</v>
      </c>
      <c r="N561" s="2" t="s">
        <v>1535</v>
      </c>
      <c r="O561" t="str">
        <f>D561&amp;"-"&amp;E561&amp;"-"&amp;F561&amp;"-"&amp;G561&amp;"-"&amp;H561</f>
        <v>B-1-e-1-21.5</v>
      </c>
      <c r="P561" t="str">
        <f>I561&amp;"-"&amp;J561&amp;"-"&amp;K561&amp;"-"&amp;L561&amp;"-"&amp;M561</f>
        <v>X-1-e-1-20.5</v>
      </c>
      <c r="Q561">
        <f>A561+R561</f>
        <v>17201.393083000003</v>
      </c>
      <c r="R561">
        <f>_xlfn.IFNA(VLOOKUP(P561,PGOPHER!A$2:G$181,7,FALSE),_xlfn.IFNA(VLOOKUP(P561,en!A$2:I$768,7,FALSE),-10000))</f>
        <v>2642.6930830000001</v>
      </c>
      <c r="S561">
        <f>IF(O561=O560,Q560+S560,Q561)</f>
        <v>34402.716827999997</v>
      </c>
      <c r="T561">
        <f>IF(O561=O560,T560+1,1)</f>
        <v>2</v>
      </c>
      <c r="U561">
        <f>IF(O561=O562,"",S561/T561)</f>
        <v>17201.358413999998</v>
      </c>
      <c r="V561" t="str">
        <f>IF(U561="","",IF(ABS(Q561-U561)&gt;V$1,"error",""))</f>
        <v/>
      </c>
    </row>
    <row r="562" spans="1:22" x14ac:dyDescent="0.55000000000000004">
      <c r="A562">
        <v>14323.77</v>
      </c>
      <c r="B562" s="1">
        <v>0.01</v>
      </c>
      <c r="C562" s="1">
        <v>0.01</v>
      </c>
      <c r="D562" s="2" t="s">
        <v>1515</v>
      </c>
      <c r="E562">
        <v>2</v>
      </c>
      <c r="F562" s="2" t="s">
        <v>1</v>
      </c>
      <c r="G562">
        <v>0</v>
      </c>
      <c r="H562">
        <v>21.5</v>
      </c>
      <c r="I562" s="2" t="s">
        <v>0</v>
      </c>
      <c r="J562">
        <v>2</v>
      </c>
      <c r="K562" s="2" t="s">
        <v>1</v>
      </c>
      <c r="L562">
        <v>0</v>
      </c>
      <c r="M562">
        <v>22.5</v>
      </c>
      <c r="N562" s="2" t="s">
        <v>1758</v>
      </c>
      <c r="O562" t="str">
        <f>D562&amp;"-"&amp;E562&amp;"-"&amp;F562&amp;"-"&amp;G562&amp;"-"&amp;H562</f>
        <v>B-2-f-0-21.5</v>
      </c>
      <c r="P562" t="str">
        <f>I562&amp;"-"&amp;J562&amp;"-"&amp;K562&amp;"-"&amp;L562&amp;"-"&amp;M562</f>
        <v>X-2-f-0-22.5</v>
      </c>
      <c r="Q562">
        <f>A562+R562</f>
        <v>16287.344002</v>
      </c>
      <c r="R562">
        <f>_xlfn.IFNA(VLOOKUP(P562,PGOPHER!A$2:G$181,7,FALSE),_xlfn.IFNA(VLOOKUP(P562,en!A$2:I$768,7,FALSE),-10000))</f>
        <v>1963.5740020000001</v>
      </c>
      <c r="S562">
        <f>IF(O562=O561,Q561+S561,Q562)</f>
        <v>16287.344002</v>
      </c>
      <c r="T562">
        <f>IF(O562=O561,T561+1,1)</f>
        <v>1</v>
      </c>
      <c r="U562">
        <f>IF(O562=O563,"",S562/T562)</f>
        <v>16287.344002</v>
      </c>
      <c r="V562" t="str">
        <f>IF(U562="","",IF(ABS(Q562-U562)&gt;V$1,"error",""))</f>
        <v/>
      </c>
    </row>
    <row r="563" spans="1:22" x14ac:dyDescent="0.55000000000000004">
      <c r="A563">
        <v>14340.6</v>
      </c>
      <c r="B563" s="1">
        <v>0.01</v>
      </c>
      <c r="C563" s="1">
        <v>0.01</v>
      </c>
      <c r="D563" s="2" t="s">
        <v>1515</v>
      </c>
      <c r="E563">
        <v>2</v>
      </c>
      <c r="F563" s="2" t="s">
        <v>1</v>
      </c>
      <c r="G563">
        <v>1</v>
      </c>
      <c r="H563">
        <v>21.5</v>
      </c>
      <c r="I563" s="2" t="s">
        <v>0</v>
      </c>
      <c r="J563">
        <v>2</v>
      </c>
      <c r="K563" s="2" t="s">
        <v>1</v>
      </c>
      <c r="L563">
        <v>1</v>
      </c>
      <c r="M563">
        <v>22.5</v>
      </c>
      <c r="N563" s="2" t="s">
        <v>1616</v>
      </c>
      <c r="O563" t="str">
        <f>D563&amp;"-"&amp;E563&amp;"-"&amp;F563&amp;"-"&amp;G563&amp;"-"&amp;H563</f>
        <v>B-2-f-1-21.5</v>
      </c>
      <c r="P563" t="str">
        <f>I563&amp;"-"&amp;J563&amp;"-"&amp;K563&amp;"-"&amp;L563&amp;"-"&amp;M563</f>
        <v>X-2-f-1-22.5</v>
      </c>
      <c r="Q563">
        <f>A563+R563</f>
        <v>17432.783256999999</v>
      </c>
      <c r="R563">
        <f>_xlfn.IFNA(VLOOKUP(P563,PGOPHER!A$2:G$181,7,FALSE),_xlfn.IFNA(VLOOKUP(P563,en!A$2:I$768,7,FALSE),-10000))</f>
        <v>3092.1832570000001</v>
      </c>
      <c r="S563">
        <f>IF(O563=O562,Q562+S562,Q563)</f>
        <v>17432.783256999999</v>
      </c>
      <c r="T563">
        <f>IF(O563=O562,T562+1,1)</f>
        <v>1</v>
      </c>
      <c r="U563">
        <f>IF(O563=O564,"",S563/T563)</f>
        <v>17432.783256999999</v>
      </c>
      <c r="V563" t="str">
        <f>IF(U563="","",IF(ABS(Q563-U563)&gt;V$1,"error",""))</f>
        <v/>
      </c>
    </row>
    <row r="564" spans="1:22" x14ac:dyDescent="0.55000000000000004">
      <c r="A564">
        <v>14244.99</v>
      </c>
      <c r="B564" s="1">
        <v>0.01</v>
      </c>
      <c r="C564" s="1">
        <v>0.01</v>
      </c>
      <c r="D564" s="2" t="s">
        <v>1515</v>
      </c>
      <c r="E564">
        <v>1</v>
      </c>
      <c r="F564" s="2" t="s">
        <v>2</v>
      </c>
      <c r="G564">
        <v>0</v>
      </c>
      <c r="H564">
        <v>22.5</v>
      </c>
      <c r="I564" s="2" t="s">
        <v>0</v>
      </c>
      <c r="J564">
        <v>1</v>
      </c>
      <c r="K564" s="2" t="s">
        <v>2</v>
      </c>
      <c r="L564">
        <v>0</v>
      </c>
      <c r="M564">
        <v>23.5</v>
      </c>
      <c r="N564" s="2" t="s">
        <v>1688</v>
      </c>
      <c r="O564" t="str">
        <f>D564&amp;"-"&amp;E564&amp;"-"&amp;F564&amp;"-"&amp;G564&amp;"-"&amp;H564</f>
        <v>B-1-e-0-22.5</v>
      </c>
      <c r="P564" t="str">
        <f>I564&amp;"-"&amp;J564&amp;"-"&amp;K564&amp;"-"&amp;L564&amp;"-"&amp;M564</f>
        <v>X-1-e-0-23.5</v>
      </c>
      <c r="Q564">
        <f>A564+R564</f>
        <v>16211.323747999999</v>
      </c>
      <c r="R564">
        <f>_xlfn.IFNA(VLOOKUP(P564,PGOPHER!A$2:G$181,7,FALSE),_xlfn.IFNA(VLOOKUP(P564,en!A$2:I$768,7,FALSE),-10000))</f>
        <v>1966.333748</v>
      </c>
      <c r="S564">
        <f>IF(O564=O563,Q563+S563,Q564)</f>
        <v>16211.323747999999</v>
      </c>
      <c r="T564">
        <f>IF(O564=O563,T563+1,1)</f>
        <v>1</v>
      </c>
      <c r="U564" t="str">
        <f>IF(O564=O565,"",S564/T564)</f>
        <v/>
      </c>
      <c r="V564" t="str">
        <f>IF(U564="","",IF(ABS(Q564-U564)&gt;V$1,"error",""))</f>
        <v/>
      </c>
    </row>
    <row r="565" spans="1:22" x14ac:dyDescent="0.55000000000000004">
      <c r="A565">
        <v>14559.98</v>
      </c>
      <c r="B565" s="1">
        <v>0.01</v>
      </c>
      <c r="C565" s="1">
        <v>0.01</v>
      </c>
      <c r="D565" s="2" t="s">
        <v>1515</v>
      </c>
      <c r="E565">
        <v>1</v>
      </c>
      <c r="F565" s="2" t="s">
        <v>2</v>
      </c>
      <c r="G565">
        <v>0</v>
      </c>
      <c r="H565">
        <v>22.5</v>
      </c>
      <c r="I565" s="2" t="s">
        <v>0</v>
      </c>
      <c r="J565">
        <v>1</v>
      </c>
      <c r="K565" s="2" t="s">
        <v>2</v>
      </c>
      <c r="L565">
        <v>0</v>
      </c>
      <c r="M565">
        <v>21.5</v>
      </c>
      <c r="N565" s="2" t="s">
        <v>1730</v>
      </c>
      <c r="O565" t="str">
        <f>D565&amp;"-"&amp;E565&amp;"-"&amp;F565&amp;"-"&amp;G565&amp;"-"&amp;H565</f>
        <v>B-1-e-0-22.5</v>
      </c>
      <c r="P565" t="str">
        <f>I565&amp;"-"&amp;J565&amp;"-"&amp;K565&amp;"-"&amp;L565&amp;"-"&amp;M565</f>
        <v>X-1-e-0-21.5</v>
      </c>
      <c r="Q565">
        <f>A565+R565</f>
        <v>16211.309234999999</v>
      </c>
      <c r="R565">
        <f>_xlfn.IFNA(VLOOKUP(P565,PGOPHER!A$2:G$181,7,FALSE),_xlfn.IFNA(VLOOKUP(P565,en!A$2:I$768,7,FALSE),-10000))</f>
        <v>1651.3292349999999</v>
      </c>
      <c r="S565">
        <f>IF(O565=O564,Q564+S564,Q565)</f>
        <v>32422.647495999998</v>
      </c>
      <c r="T565">
        <f>IF(O565=O564,T564+1,1)</f>
        <v>2</v>
      </c>
      <c r="U565">
        <f>IF(O565=O566,"",S565/T565)</f>
        <v>16211.323747999999</v>
      </c>
      <c r="V565" t="str">
        <f>IF(U565="","",IF(ABS(Q565-U565)&gt;V$1,"error",""))</f>
        <v/>
      </c>
    </row>
    <row r="566" spans="1:22" x14ac:dyDescent="0.55000000000000004">
      <c r="A566">
        <v>14262.89</v>
      </c>
      <c r="B566" s="1">
        <v>2.989E-2</v>
      </c>
      <c r="C566" s="1">
        <v>2.989E-2</v>
      </c>
      <c r="D566" s="2" t="s">
        <v>1515</v>
      </c>
      <c r="E566">
        <v>1</v>
      </c>
      <c r="F566" s="2" t="s">
        <v>2</v>
      </c>
      <c r="G566">
        <v>1</v>
      </c>
      <c r="H566">
        <v>22.5</v>
      </c>
      <c r="I566" s="2" t="s">
        <v>0</v>
      </c>
      <c r="J566">
        <v>1</v>
      </c>
      <c r="K566" s="2" t="s">
        <v>2</v>
      </c>
      <c r="L566">
        <v>1</v>
      </c>
      <c r="M566">
        <v>23.5</v>
      </c>
      <c r="N566" s="2" t="s">
        <v>1569</v>
      </c>
      <c r="O566" t="str">
        <f>D566&amp;"-"&amp;E566&amp;"-"&amp;F566&amp;"-"&amp;G566&amp;"-"&amp;H566</f>
        <v>B-1-e-1-22.5</v>
      </c>
      <c r="P566" t="str">
        <f>I566&amp;"-"&amp;J566&amp;"-"&amp;K566&amp;"-"&amp;L566&amp;"-"&amp;M566</f>
        <v>X-1-e-1-23.5</v>
      </c>
      <c r="Q566">
        <f>A566+R566</f>
        <v>17357.738943</v>
      </c>
      <c r="R566">
        <f>_xlfn.IFNA(VLOOKUP(P566,PGOPHER!A$2:G$181,7,FALSE),_xlfn.IFNA(VLOOKUP(P566,en!A$2:I$768,7,FALSE),-10000))</f>
        <v>3094.848943</v>
      </c>
      <c r="S566">
        <f>IF(O566=O565,Q565+S565,Q566)</f>
        <v>17357.738943</v>
      </c>
      <c r="T566">
        <f>IF(O566=O565,T565+1,1)</f>
        <v>1</v>
      </c>
      <c r="U566" t="str">
        <f>IF(O566=O567,"",S566/T566)</f>
        <v/>
      </c>
      <c r="V566" t="str">
        <f>IF(U566="","",IF(ABS(Q566-U566)&gt;V$1,"error",""))</f>
        <v/>
      </c>
    </row>
    <row r="567" spans="1:22" x14ac:dyDescent="0.55000000000000004">
      <c r="A567">
        <v>14570.63</v>
      </c>
      <c r="B567" s="1">
        <v>2.989E-2</v>
      </c>
      <c r="C567" s="1">
        <v>2.989E-2</v>
      </c>
      <c r="D567" s="2" t="s">
        <v>1515</v>
      </c>
      <c r="E567">
        <v>1</v>
      </c>
      <c r="F567" s="2" t="s">
        <v>2</v>
      </c>
      <c r="G567">
        <v>1</v>
      </c>
      <c r="H567">
        <v>22.5</v>
      </c>
      <c r="I567" s="2" t="s">
        <v>0</v>
      </c>
      <c r="J567">
        <v>1</v>
      </c>
      <c r="K567" s="2" t="s">
        <v>2</v>
      </c>
      <c r="L567">
        <v>1</v>
      </c>
      <c r="M567">
        <v>21.5</v>
      </c>
      <c r="N567" s="2" t="s">
        <v>1536</v>
      </c>
      <c r="O567" t="str">
        <f>D567&amp;"-"&amp;E567&amp;"-"&amp;F567&amp;"-"&amp;G567&amp;"-"&amp;H567</f>
        <v>B-1-e-1-22.5</v>
      </c>
      <c r="P567" t="str">
        <f>I567&amp;"-"&amp;J567&amp;"-"&amp;K567&amp;"-"&amp;L567&amp;"-"&amp;M567</f>
        <v>X-1-e-1-21.5</v>
      </c>
      <c r="Q567">
        <f>A567+R567</f>
        <v>17357.683964</v>
      </c>
      <c r="R567">
        <f>_xlfn.IFNA(VLOOKUP(P567,PGOPHER!A$2:G$181,7,FALSE),_xlfn.IFNA(VLOOKUP(P567,en!A$2:I$768,7,FALSE),-10000))</f>
        <v>2787.0539640000002</v>
      </c>
      <c r="S567">
        <f>IF(O567=O566,Q566+S566,Q567)</f>
        <v>34715.477886000001</v>
      </c>
      <c r="T567">
        <f>IF(O567=O566,T566+1,1)</f>
        <v>2</v>
      </c>
      <c r="U567">
        <f>IF(O567=O568,"",S567/T567)</f>
        <v>17357.738943</v>
      </c>
      <c r="V567" t="str">
        <f>IF(U567="","",IF(ABS(Q567-U567)&gt;V$1,"error",""))</f>
        <v/>
      </c>
    </row>
    <row r="568" spans="1:22" x14ac:dyDescent="0.55000000000000004">
      <c r="A568">
        <v>14326.66</v>
      </c>
      <c r="B568" s="1">
        <v>0.01</v>
      </c>
      <c r="C568" s="1">
        <v>0.01</v>
      </c>
      <c r="D568" s="2" t="s">
        <v>1515</v>
      </c>
      <c r="E568">
        <v>2</v>
      </c>
      <c r="F568" s="2" t="s">
        <v>1</v>
      </c>
      <c r="G568">
        <v>0</v>
      </c>
      <c r="H568">
        <v>22.5</v>
      </c>
      <c r="I568" s="2" t="s">
        <v>0</v>
      </c>
      <c r="J568">
        <v>2</v>
      </c>
      <c r="K568" s="2" t="s">
        <v>1</v>
      </c>
      <c r="L568">
        <v>0</v>
      </c>
      <c r="M568">
        <v>23.5</v>
      </c>
      <c r="N568" s="2" t="s">
        <v>1759</v>
      </c>
      <c r="O568" t="str">
        <f>D568&amp;"-"&amp;E568&amp;"-"&amp;F568&amp;"-"&amp;G568&amp;"-"&amp;H568</f>
        <v>B-2-f-0-22.5</v>
      </c>
      <c r="P568" t="str">
        <f>I568&amp;"-"&amp;J568&amp;"-"&amp;K568&amp;"-"&amp;L568&amp;"-"&amp;M568</f>
        <v>X-2-f-0-23.5</v>
      </c>
      <c r="Q568">
        <f>A568+R568</f>
        <v>16457.265052999999</v>
      </c>
      <c r="R568">
        <f>_xlfn.IFNA(VLOOKUP(P568,PGOPHER!A$2:G$181,7,FALSE),_xlfn.IFNA(VLOOKUP(P568,en!A$2:I$768,7,FALSE),-10000))</f>
        <v>2130.6050530000002</v>
      </c>
      <c r="S568">
        <f>IF(O568=O567,Q567+S567,Q568)</f>
        <v>16457.265052999999</v>
      </c>
      <c r="T568">
        <f>IF(O568=O567,T567+1,1)</f>
        <v>1</v>
      </c>
      <c r="U568">
        <f>IF(O568=O569,"",S568/T568)</f>
        <v>16457.265052999999</v>
      </c>
      <c r="V568" t="str">
        <f>IF(U568="","",IF(ABS(Q568-U568)&gt;V$1,"error",""))</f>
        <v/>
      </c>
    </row>
    <row r="569" spans="1:22" x14ac:dyDescent="0.55000000000000004">
      <c r="A569">
        <v>14342</v>
      </c>
      <c r="B569" s="1">
        <v>0.01</v>
      </c>
      <c r="C569" s="1">
        <v>0.01</v>
      </c>
      <c r="D569" s="2" t="s">
        <v>1515</v>
      </c>
      <c r="E569">
        <v>2</v>
      </c>
      <c r="F569" s="2" t="s">
        <v>1</v>
      </c>
      <c r="G569">
        <v>1</v>
      </c>
      <c r="H569">
        <v>22.5</v>
      </c>
      <c r="I569" s="2" t="s">
        <v>0</v>
      </c>
      <c r="J569">
        <v>2</v>
      </c>
      <c r="K569" s="2" t="s">
        <v>1</v>
      </c>
      <c r="L569">
        <v>1</v>
      </c>
      <c r="M569">
        <v>23.5</v>
      </c>
      <c r="N569" s="2" t="s">
        <v>1617</v>
      </c>
      <c r="O569" t="str">
        <f>D569&amp;"-"&amp;E569&amp;"-"&amp;F569&amp;"-"&amp;G569&amp;"-"&amp;H569</f>
        <v>B-2-f-1-22.5</v>
      </c>
      <c r="P569" t="str">
        <f>I569&amp;"-"&amp;J569&amp;"-"&amp;K569&amp;"-"&amp;L569&amp;"-"&amp;M569</f>
        <v>X-2-f-1-23.5</v>
      </c>
      <c r="Q569">
        <f>A569+R569</f>
        <v>17597.387480000001</v>
      </c>
      <c r="R569">
        <f>_xlfn.IFNA(VLOOKUP(P569,PGOPHER!A$2:G$181,7,FALSE),_xlfn.IFNA(VLOOKUP(P569,en!A$2:I$768,7,FALSE),-10000))</f>
        <v>3255.3874799999999</v>
      </c>
      <c r="S569">
        <f>IF(O569=O568,Q568+S568,Q569)</f>
        <v>17597.387480000001</v>
      </c>
      <c r="T569">
        <f>IF(O569=O568,T568+1,1)</f>
        <v>1</v>
      </c>
      <c r="U569">
        <f>IF(O569=O570,"",S569/T569)</f>
        <v>17597.387480000001</v>
      </c>
      <c r="V569" t="str">
        <f>IF(U569="","",IF(ABS(Q569-U569)&gt;V$1,"error",""))</f>
        <v/>
      </c>
    </row>
    <row r="570" spans="1:22" x14ac:dyDescent="0.55000000000000004">
      <c r="A570">
        <v>14244.99</v>
      </c>
      <c r="B570" s="1">
        <v>1.881E-2</v>
      </c>
      <c r="C570" s="1">
        <v>1.881E-2</v>
      </c>
      <c r="D570" s="2" t="s">
        <v>1515</v>
      </c>
      <c r="E570">
        <v>1</v>
      </c>
      <c r="F570" s="2" t="s">
        <v>2</v>
      </c>
      <c r="G570">
        <v>0</v>
      </c>
      <c r="H570">
        <v>23.5</v>
      </c>
      <c r="I570" s="2" t="s">
        <v>0</v>
      </c>
      <c r="J570">
        <v>1</v>
      </c>
      <c r="K570" s="2" t="s">
        <v>2</v>
      </c>
      <c r="L570">
        <v>0</v>
      </c>
      <c r="M570">
        <v>24.5</v>
      </c>
      <c r="N570" s="2" t="s">
        <v>1689</v>
      </c>
      <c r="O570" t="str">
        <f>D570&amp;"-"&amp;E570&amp;"-"&amp;F570&amp;"-"&amp;G570&amp;"-"&amp;H570</f>
        <v>B-1-e-0-23.5</v>
      </c>
      <c r="P570" t="str">
        <f>I570&amp;"-"&amp;J570&amp;"-"&amp;K570&amp;"-"&amp;L570&amp;"-"&amp;M570</f>
        <v>X-1-e-0-24.5</v>
      </c>
      <c r="Q570">
        <f>A570+R570</f>
        <v>16378.460031999999</v>
      </c>
      <c r="R570">
        <f>_xlfn.IFNA(VLOOKUP(P570,PGOPHER!A$2:G$181,7,FALSE),_xlfn.IFNA(VLOOKUP(P570,en!A$2:I$768,7,FALSE),-10000))</f>
        <v>2133.4700320000002</v>
      </c>
      <c r="S570">
        <f>IF(O570=O569,Q569+S569,Q570)</f>
        <v>16378.460031999999</v>
      </c>
      <c r="T570">
        <f>IF(O570=O569,T569+1,1)</f>
        <v>1</v>
      </c>
      <c r="U570" t="str">
        <f>IF(O570=O571,"",S570/T570)</f>
        <v/>
      </c>
      <c r="V570" t="str">
        <f>IF(U570="","",IF(ABS(Q570-U570)&gt;V$1,"error",""))</f>
        <v/>
      </c>
    </row>
    <row r="571" spans="1:22" x14ac:dyDescent="0.55000000000000004">
      <c r="A571">
        <v>14572.9</v>
      </c>
      <c r="B571" s="1">
        <v>1.881E-2</v>
      </c>
      <c r="C571" s="1">
        <v>1.881E-2</v>
      </c>
      <c r="D571" s="2" t="s">
        <v>1515</v>
      </c>
      <c r="E571">
        <v>1</v>
      </c>
      <c r="F571" s="2" t="s">
        <v>2</v>
      </c>
      <c r="G571">
        <v>0</v>
      </c>
      <c r="H571">
        <v>23.5</v>
      </c>
      <c r="I571" s="2" t="s">
        <v>0</v>
      </c>
      <c r="J571">
        <v>1</v>
      </c>
      <c r="K571" s="2" t="s">
        <v>2</v>
      </c>
      <c r="L571">
        <v>0</v>
      </c>
      <c r="M571">
        <v>22.5</v>
      </c>
      <c r="N571" s="2" t="s">
        <v>1731</v>
      </c>
      <c r="O571" t="str">
        <f>D571&amp;"-"&amp;E571&amp;"-"&amp;F571&amp;"-"&amp;G571&amp;"-"&amp;H571</f>
        <v>B-1-e-0-23.5</v>
      </c>
      <c r="P571" t="str">
        <f>I571&amp;"-"&amp;J571&amp;"-"&amp;K571&amp;"-"&amp;L571&amp;"-"&amp;M571</f>
        <v>X-1-e-0-22.5</v>
      </c>
      <c r="Q571">
        <f>A571+R571</f>
        <v>16378.493552</v>
      </c>
      <c r="R571">
        <f>_xlfn.IFNA(VLOOKUP(P571,PGOPHER!A$2:G$181,7,FALSE),_xlfn.IFNA(VLOOKUP(P571,en!A$2:I$768,7,FALSE),-10000))</f>
        <v>1805.593552</v>
      </c>
      <c r="S571">
        <f>IF(O571=O570,Q570+S570,Q571)</f>
        <v>32756.920063999998</v>
      </c>
      <c r="T571">
        <f>IF(O571=O570,T570+1,1)</f>
        <v>2</v>
      </c>
      <c r="U571">
        <f>IF(O571=O572,"",S571/T571)</f>
        <v>16378.460031999999</v>
      </c>
      <c r="V571" t="str">
        <f>IF(U571="","",IF(ABS(Q571-U571)&gt;V$1,"error",""))</f>
        <v/>
      </c>
    </row>
    <row r="572" spans="1:22" x14ac:dyDescent="0.55000000000000004">
      <c r="A572">
        <v>14262.33</v>
      </c>
      <c r="B572" s="1">
        <v>1.6729999999999998E-2</v>
      </c>
      <c r="C572" s="1">
        <v>1.6729999999999998E-2</v>
      </c>
      <c r="D572" s="2" t="s">
        <v>1515</v>
      </c>
      <c r="E572">
        <v>1</v>
      </c>
      <c r="F572" s="2" t="s">
        <v>2</v>
      </c>
      <c r="G572">
        <v>1</v>
      </c>
      <c r="H572">
        <v>23.5</v>
      </c>
      <c r="I572" s="2" t="s">
        <v>0</v>
      </c>
      <c r="J572">
        <v>1</v>
      </c>
      <c r="K572" s="2" t="s">
        <v>2</v>
      </c>
      <c r="L572">
        <v>1</v>
      </c>
      <c r="M572">
        <v>24.5</v>
      </c>
      <c r="N572" s="2" t="s">
        <v>1570</v>
      </c>
      <c r="O572" t="str">
        <f>D572&amp;"-"&amp;E572&amp;"-"&amp;F572&amp;"-"&amp;G572&amp;"-"&amp;H572</f>
        <v>B-1-e-1-23.5</v>
      </c>
      <c r="P572" t="str">
        <f>I572&amp;"-"&amp;J572&amp;"-"&amp;K572&amp;"-"&amp;L572&amp;"-"&amp;M572</f>
        <v>X-1-e-1-24.5</v>
      </c>
      <c r="Q572">
        <f>A572+R572</f>
        <v>17520.476437000001</v>
      </c>
      <c r="R572">
        <f>_xlfn.IFNA(VLOOKUP(P572,PGOPHER!A$2:G$181,7,FALSE),_xlfn.IFNA(VLOOKUP(P572,en!A$2:I$768,7,FALSE),-10000))</f>
        <v>3258.1464369999999</v>
      </c>
      <c r="S572">
        <f>IF(O572=O571,Q571+S571,Q572)</f>
        <v>17520.476437000001</v>
      </c>
      <c r="T572">
        <f>IF(O572=O571,T571+1,1)</f>
        <v>1</v>
      </c>
      <c r="U572" t="str">
        <f>IF(O572=O573,"",S572/T572)</f>
        <v/>
      </c>
      <c r="V572" t="str">
        <f>IF(U572="","",IF(ABS(Q572-U572)&gt;V$1,"error",""))</f>
        <v/>
      </c>
    </row>
    <row r="573" spans="1:22" x14ac:dyDescent="0.55000000000000004">
      <c r="A573">
        <v>14582.71</v>
      </c>
      <c r="B573" s="1">
        <v>1.6729999999999998E-2</v>
      </c>
      <c r="C573" s="1">
        <v>1.6729999999999998E-2</v>
      </c>
      <c r="D573" s="2" t="s">
        <v>1515</v>
      </c>
      <c r="E573">
        <v>1</v>
      </c>
      <c r="F573" s="2" t="s">
        <v>2</v>
      </c>
      <c r="G573">
        <v>1</v>
      </c>
      <c r="H573">
        <v>23.5</v>
      </c>
      <c r="I573" s="2" t="s">
        <v>0</v>
      </c>
      <c r="J573">
        <v>1</v>
      </c>
      <c r="K573" s="2" t="s">
        <v>2</v>
      </c>
      <c r="L573">
        <v>1</v>
      </c>
      <c r="M573">
        <v>22.5</v>
      </c>
      <c r="N573" s="2" t="s">
        <v>1537</v>
      </c>
      <c r="O573" t="str">
        <f>D573&amp;"-"&amp;E573&amp;"-"&amp;F573&amp;"-"&amp;G573&amp;"-"&amp;H573</f>
        <v>B-1-e-1-23.5</v>
      </c>
      <c r="P573" t="str">
        <f>I573&amp;"-"&amp;J573&amp;"-"&amp;K573&amp;"-"&amp;L573&amp;"-"&amp;M573</f>
        <v>X-1-e-1-22.5</v>
      </c>
      <c r="Q573">
        <f>A573+R573</f>
        <v>17520.508414</v>
      </c>
      <c r="R573">
        <f>_xlfn.IFNA(VLOOKUP(P573,PGOPHER!A$2:G$181,7,FALSE),_xlfn.IFNA(VLOOKUP(P573,en!A$2:I$768,7,FALSE),-10000))</f>
        <v>2937.7984139999999</v>
      </c>
      <c r="S573">
        <f>IF(O573=O572,Q572+S572,Q573)</f>
        <v>35040.952874000002</v>
      </c>
      <c r="T573">
        <f>IF(O573=O572,T572+1,1)</f>
        <v>2</v>
      </c>
      <c r="U573">
        <f>IF(O573=O574,"",S573/T573)</f>
        <v>17520.476437000001</v>
      </c>
      <c r="V573" t="str">
        <f>IF(U573="","",IF(ABS(Q573-U573)&gt;V$1,"error",""))</f>
        <v/>
      </c>
    </row>
    <row r="574" spans="1:22" x14ac:dyDescent="0.55000000000000004">
      <c r="A574">
        <v>14329.42</v>
      </c>
      <c r="B574" s="1">
        <v>0.01</v>
      </c>
      <c r="C574" s="1">
        <v>0.01</v>
      </c>
      <c r="D574" s="2" t="s">
        <v>1515</v>
      </c>
      <c r="E574">
        <v>2</v>
      </c>
      <c r="F574" s="2" t="s">
        <v>1</v>
      </c>
      <c r="G574">
        <v>0</v>
      </c>
      <c r="H574">
        <v>23.5</v>
      </c>
      <c r="I574" s="2" t="s">
        <v>0</v>
      </c>
      <c r="J574">
        <v>2</v>
      </c>
      <c r="K574" s="2" t="s">
        <v>1</v>
      </c>
      <c r="L574">
        <v>0</v>
      </c>
      <c r="M574">
        <v>24.5</v>
      </c>
      <c r="N574" s="2" t="s">
        <v>1760</v>
      </c>
      <c r="O574" t="str">
        <f>D574&amp;"-"&amp;E574&amp;"-"&amp;F574&amp;"-"&amp;G574&amp;"-"&amp;H574</f>
        <v>B-2-f-0-23.5</v>
      </c>
      <c r="P574" t="str">
        <f>I574&amp;"-"&amp;J574&amp;"-"&amp;K574&amp;"-"&amp;L574&amp;"-"&amp;M574</f>
        <v>X-2-f-0-24.5</v>
      </c>
      <c r="Q574">
        <f>A574+R574</f>
        <v>16633.398981999999</v>
      </c>
      <c r="R574">
        <f>_xlfn.IFNA(VLOOKUP(P574,PGOPHER!A$2:G$181,7,FALSE),_xlfn.IFNA(VLOOKUP(P574,en!A$2:I$768,7,FALSE),-10000))</f>
        <v>2303.9789820000001</v>
      </c>
      <c r="S574">
        <f>IF(O574=O573,Q573+S573,Q574)</f>
        <v>16633.398981999999</v>
      </c>
      <c r="T574">
        <f>IF(O574=O573,T573+1,1)</f>
        <v>1</v>
      </c>
      <c r="U574">
        <f>IF(O574=O575,"",S574/T574)</f>
        <v>16633.398981999999</v>
      </c>
      <c r="V574" t="str">
        <f>IF(U574="","",IF(ABS(Q574-U574)&gt;V$1,"error",""))</f>
        <v/>
      </c>
    </row>
    <row r="575" spans="1:22" x14ac:dyDescent="0.55000000000000004">
      <c r="A575">
        <v>14343.72</v>
      </c>
      <c r="B575" s="1">
        <v>0.01</v>
      </c>
      <c r="C575" s="1">
        <v>0.01</v>
      </c>
      <c r="D575" s="2" t="s">
        <v>1515</v>
      </c>
      <c r="E575">
        <v>2</v>
      </c>
      <c r="F575" s="2" t="s">
        <v>1</v>
      </c>
      <c r="G575">
        <v>1</v>
      </c>
      <c r="H575">
        <v>23.5</v>
      </c>
      <c r="I575" s="2" t="s">
        <v>0</v>
      </c>
      <c r="J575">
        <v>2</v>
      </c>
      <c r="K575" s="2" t="s">
        <v>1</v>
      </c>
      <c r="L575">
        <v>1</v>
      </c>
      <c r="M575">
        <v>24.5</v>
      </c>
      <c r="N575" s="2" t="s">
        <v>1618</v>
      </c>
      <c r="O575" t="str">
        <f>D575&amp;"-"&amp;E575&amp;"-"&amp;F575&amp;"-"&amp;G575&amp;"-"&amp;H575</f>
        <v>B-2-f-1-23.5</v>
      </c>
      <c r="P575" t="str">
        <f>I575&amp;"-"&amp;J575&amp;"-"&amp;K575&amp;"-"&amp;L575&amp;"-"&amp;M575</f>
        <v>X-2-f-1-24.5</v>
      </c>
      <c r="Q575">
        <f>A575+R575</f>
        <v>17768.468238999998</v>
      </c>
      <c r="R575">
        <f>_xlfn.IFNA(VLOOKUP(P575,PGOPHER!A$2:G$181,7,FALSE),_xlfn.IFNA(VLOOKUP(P575,en!A$2:I$768,7,FALSE),-10000))</f>
        <v>3424.748239</v>
      </c>
      <c r="S575">
        <f>IF(O575=O574,Q574+S574,Q575)</f>
        <v>17768.468238999998</v>
      </c>
      <c r="T575">
        <f>IF(O575=O574,T574+1,1)</f>
        <v>1</v>
      </c>
      <c r="U575">
        <f>IF(O575=O576,"",S575/T575)</f>
        <v>17768.468238999998</v>
      </c>
      <c r="V575" t="str">
        <f>IF(U575="","",IF(ABS(Q575-U575)&gt;V$1,"error",""))</f>
        <v/>
      </c>
    </row>
    <row r="576" spans="1:22" x14ac:dyDescent="0.55000000000000004">
      <c r="A576">
        <v>14245.27</v>
      </c>
      <c r="B576" s="1">
        <v>8.2540000000000002E-2</v>
      </c>
      <c r="C576" s="1">
        <v>8.2540000000000002E-2</v>
      </c>
      <c r="D576" s="2" t="s">
        <v>1515</v>
      </c>
      <c r="E576">
        <v>1</v>
      </c>
      <c r="F576" s="2" t="s">
        <v>2</v>
      </c>
      <c r="G576">
        <v>0</v>
      </c>
      <c r="H576">
        <v>24.5</v>
      </c>
      <c r="I576" s="2" t="s">
        <v>0</v>
      </c>
      <c r="J576">
        <v>1</v>
      </c>
      <c r="K576" s="2" t="s">
        <v>2</v>
      </c>
      <c r="L576">
        <v>0</v>
      </c>
      <c r="M576">
        <v>25.5</v>
      </c>
      <c r="N576" s="2" t="s">
        <v>1690</v>
      </c>
      <c r="O576" t="str">
        <f>D576&amp;"-"&amp;E576&amp;"-"&amp;F576&amp;"-"&amp;G576&amp;"-"&amp;H576</f>
        <v>B-1-e-0-24.5</v>
      </c>
      <c r="P576" t="str">
        <f>I576&amp;"-"&amp;J576&amp;"-"&amp;K576&amp;"-"&amp;L576&amp;"-"&amp;M576</f>
        <v>X-1-e-0-25.5</v>
      </c>
      <c r="Q576">
        <f>A576+R576</f>
        <v>16552.210901999999</v>
      </c>
      <c r="R576">
        <f>_xlfn.IFNA(VLOOKUP(P576,PGOPHER!A$2:G$181,7,FALSE),_xlfn.IFNA(VLOOKUP(P576,en!A$2:I$768,7,FALSE),-10000))</f>
        <v>2306.9409019999998</v>
      </c>
      <c r="S576">
        <f>IF(O576=O575,Q575+S575,Q576)</f>
        <v>16552.210901999999</v>
      </c>
      <c r="T576">
        <f>IF(O576=O575,T575+1,1)</f>
        <v>1</v>
      </c>
      <c r="U576" t="str">
        <f>IF(O576=O577,"",S576/T576)</f>
        <v/>
      </c>
      <c r="V576" t="str">
        <f>IF(U576="","",IF(ABS(Q576-U576)&gt;V$1,"error",""))</f>
        <v/>
      </c>
    </row>
    <row r="577" spans="1:22" x14ac:dyDescent="0.55000000000000004">
      <c r="A577">
        <v>14586.03</v>
      </c>
      <c r="B577" s="1">
        <v>8.2540000000000002E-2</v>
      </c>
      <c r="C577" s="1">
        <v>8.2540000000000002E-2</v>
      </c>
      <c r="D577" s="2" t="s">
        <v>1515</v>
      </c>
      <c r="E577">
        <v>1</v>
      </c>
      <c r="F577" s="2" t="s">
        <v>2</v>
      </c>
      <c r="G577">
        <v>0</v>
      </c>
      <c r="H577">
        <v>24.5</v>
      </c>
      <c r="I577" s="2" t="s">
        <v>0</v>
      </c>
      <c r="J577">
        <v>1</v>
      </c>
      <c r="K577" s="2" t="s">
        <v>2</v>
      </c>
      <c r="L577">
        <v>0</v>
      </c>
      <c r="M577">
        <v>23.5</v>
      </c>
      <c r="N577" s="2" t="s">
        <v>1732</v>
      </c>
      <c r="O577" t="str">
        <f>D577&amp;"-"&amp;E577&amp;"-"&amp;F577&amp;"-"&amp;G577&amp;"-"&amp;H577</f>
        <v>B-1-e-0-24.5</v>
      </c>
      <c r="P577" t="str">
        <f>I577&amp;"-"&amp;J577&amp;"-"&amp;K577&amp;"-"&amp;L577&amp;"-"&amp;M577</f>
        <v>X-1-e-0-23.5</v>
      </c>
      <c r="Q577">
        <f>A577+R577</f>
        <v>16552.363748</v>
      </c>
      <c r="R577">
        <f>_xlfn.IFNA(VLOOKUP(P577,PGOPHER!A$2:G$181,7,FALSE),_xlfn.IFNA(VLOOKUP(P577,en!A$2:I$768,7,FALSE),-10000))</f>
        <v>1966.333748</v>
      </c>
      <c r="S577">
        <f>IF(O577=O576,Q576+S576,Q577)</f>
        <v>33104.421803999998</v>
      </c>
      <c r="T577">
        <f>IF(O577=O576,T576+1,1)</f>
        <v>2</v>
      </c>
      <c r="U577">
        <f>IF(O577=O578,"",S577/T577)</f>
        <v>16552.210901999999</v>
      </c>
      <c r="V577" t="str">
        <f>IF(U577="","",IF(ABS(Q577-U577)&gt;V$1,"error",""))</f>
        <v/>
      </c>
    </row>
    <row r="578" spans="1:22" x14ac:dyDescent="0.55000000000000004">
      <c r="A578">
        <v>14262.33</v>
      </c>
      <c r="B578" s="1">
        <v>3.9899999999999998E-2</v>
      </c>
      <c r="C578" s="1">
        <v>3.9899999999999998E-2</v>
      </c>
      <c r="D578" s="2" t="s">
        <v>1515</v>
      </c>
      <c r="E578">
        <v>1</v>
      </c>
      <c r="F578" s="2" t="s">
        <v>2</v>
      </c>
      <c r="G578">
        <v>1</v>
      </c>
      <c r="H578">
        <v>24.5</v>
      </c>
      <c r="I578" s="2" t="s">
        <v>0</v>
      </c>
      <c r="J578">
        <v>1</v>
      </c>
      <c r="K578" s="2" t="s">
        <v>2</v>
      </c>
      <c r="L578">
        <v>1</v>
      </c>
      <c r="M578">
        <v>25.5</v>
      </c>
      <c r="N578" s="2" t="s">
        <v>1571</v>
      </c>
      <c r="O578" t="str">
        <f>D578&amp;"-"&amp;E578&amp;"-"&amp;F578&amp;"-"&amp;G578&amp;"-"&amp;H578</f>
        <v>B-1-e-1-24.5</v>
      </c>
      <c r="P578" t="str">
        <f>I578&amp;"-"&amp;J578&amp;"-"&amp;K578&amp;"-"&amp;L578&amp;"-"&amp;M578</f>
        <v>X-1-e-1-25.5</v>
      </c>
      <c r="Q578">
        <f>A578+R578</f>
        <v>17689.942799</v>
      </c>
      <c r="R578">
        <f>_xlfn.IFNA(VLOOKUP(P578,PGOPHER!A$2:G$181,7,FALSE),_xlfn.IFNA(VLOOKUP(P578,en!A$2:I$768,7,FALSE),-10000))</f>
        <v>3427.612799</v>
      </c>
      <c r="S578">
        <f>IF(O578=O577,Q577+S577,Q578)</f>
        <v>17689.942799</v>
      </c>
      <c r="T578">
        <f>IF(O578=O577,T577+1,1)</f>
        <v>1</v>
      </c>
      <c r="U578" t="str">
        <f>IF(O578=O579,"",S578/T578)</f>
        <v/>
      </c>
      <c r="V578" t="str">
        <f>IF(U578="","",IF(ABS(Q578-U578)&gt;V$1,"error",""))</f>
        <v/>
      </c>
    </row>
    <row r="579" spans="1:22" x14ac:dyDescent="0.55000000000000004">
      <c r="A579">
        <v>14595.02</v>
      </c>
      <c r="B579" s="1">
        <v>3.9899999999999998E-2</v>
      </c>
      <c r="C579" s="1">
        <v>3.9899999999999998E-2</v>
      </c>
      <c r="D579" s="2" t="s">
        <v>1515</v>
      </c>
      <c r="E579">
        <v>1</v>
      </c>
      <c r="F579" s="2" t="s">
        <v>2</v>
      </c>
      <c r="G579">
        <v>1</v>
      </c>
      <c r="H579">
        <v>24.5</v>
      </c>
      <c r="I579" s="2" t="s">
        <v>0</v>
      </c>
      <c r="J579">
        <v>1</v>
      </c>
      <c r="K579" s="2" t="s">
        <v>2</v>
      </c>
      <c r="L579">
        <v>1</v>
      </c>
      <c r="M579">
        <v>23.5</v>
      </c>
      <c r="N579" s="2" t="s">
        <v>1538</v>
      </c>
      <c r="O579" t="str">
        <f>D579&amp;"-"&amp;E579&amp;"-"&amp;F579&amp;"-"&amp;G579&amp;"-"&amp;H579</f>
        <v>B-1-e-1-24.5</v>
      </c>
      <c r="P579" t="str">
        <f>I579&amp;"-"&amp;J579&amp;"-"&amp;K579&amp;"-"&amp;L579&amp;"-"&amp;M579</f>
        <v>X-1-e-1-23.5</v>
      </c>
      <c r="Q579">
        <f>A579+R579</f>
        <v>17689.868943000001</v>
      </c>
      <c r="R579">
        <f>_xlfn.IFNA(VLOOKUP(P579,PGOPHER!A$2:G$181,7,FALSE),_xlfn.IFNA(VLOOKUP(P579,en!A$2:I$768,7,FALSE),-10000))</f>
        <v>3094.848943</v>
      </c>
      <c r="S579">
        <f>IF(O579=O578,Q578+S578,Q579)</f>
        <v>35379.885598000001</v>
      </c>
      <c r="T579">
        <f>IF(O579=O578,T578+1,1)</f>
        <v>2</v>
      </c>
      <c r="U579">
        <f>IF(O579=O580,"",S579/T579)</f>
        <v>17689.942799</v>
      </c>
      <c r="V579" t="str">
        <f>IF(U579="","",IF(ABS(Q579-U579)&gt;V$1,"error",""))</f>
        <v/>
      </c>
    </row>
    <row r="580" spans="1:22" x14ac:dyDescent="0.55000000000000004">
      <c r="A580">
        <v>14332.18</v>
      </c>
      <c r="B580" s="1">
        <v>0.01</v>
      </c>
      <c r="C580" s="1">
        <v>0.01</v>
      </c>
      <c r="D580" s="2" t="s">
        <v>1515</v>
      </c>
      <c r="E580">
        <v>2</v>
      </c>
      <c r="F580" s="2" t="s">
        <v>1</v>
      </c>
      <c r="G580">
        <v>0</v>
      </c>
      <c r="H580">
        <v>24.5</v>
      </c>
      <c r="I580" s="2" t="s">
        <v>0</v>
      </c>
      <c r="J580">
        <v>2</v>
      </c>
      <c r="K580" s="2" t="s">
        <v>1</v>
      </c>
      <c r="L580">
        <v>0</v>
      </c>
      <c r="M580">
        <v>25.5</v>
      </c>
      <c r="N580" s="2" t="s">
        <v>1761</v>
      </c>
      <c r="O580" t="str">
        <f>D580&amp;"-"&amp;E580&amp;"-"&amp;F580&amp;"-"&amp;G580&amp;"-"&amp;H580</f>
        <v>B-2-f-0-24.5</v>
      </c>
      <c r="P580" t="str">
        <f>I580&amp;"-"&amp;J580&amp;"-"&amp;K580&amp;"-"&amp;L580&amp;"-"&amp;M580</f>
        <v>X-2-f-0-25.5</v>
      </c>
      <c r="Q580">
        <f>A580+R580</f>
        <v>16815.774128000001</v>
      </c>
      <c r="R580">
        <f>_xlfn.IFNA(VLOOKUP(P580,PGOPHER!A$2:G$181,7,FALSE),_xlfn.IFNA(VLOOKUP(P580,en!A$2:I$768,7,FALSE),-10000))</f>
        <v>2483.5941280000002</v>
      </c>
      <c r="S580">
        <f>IF(O580=O579,Q579+S579,Q580)</f>
        <v>16815.774128000001</v>
      </c>
      <c r="T580">
        <f>IF(O580=O579,T579+1,1)</f>
        <v>1</v>
      </c>
      <c r="U580">
        <f>IF(O580=O581,"",S580/T580)</f>
        <v>16815.774128000001</v>
      </c>
      <c r="V580" t="str">
        <f>IF(U580="","",IF(ABS(Q580-U580)&gt;V$1,"error",""))</f>
        <v/>
      </c>
    </row>
    <row r="581" spans="1:22" x14ac:dyDescent="0.55000000000000004">
      <c r="A581">
        <v>14345.29</v>
      </c>
      <c r="B581" s="1">
        <v>0.01</v>
      </c>
      <c r="C581" s="1">
        <v>0.01</v>
      </c>
      <c r="D581" s="2" t="s">
        <v>1515</v>
      </c>
      <c r="E581">
        <v>2</v>
      </c>
      <c r="F581" s="2" t="s">
        <v>1</v>
      </c>
      <c r="G581">
        <v>1</v>
      </c>
      <c r="H581">
        <v>24.5</v>
      </c>
      <c r="I581" s="2" t="s">
        <v>0</v>
      </c>
      <c r="J581">
        <v>2</v>
      </c>
      <c r="K581" s="2" t="s">
        <v>1</v>
      </c>
      <c r="L581">
        <v>1</v>
      </c>
      <c r="M581">
        <v>25.5</v>
      </c>
      <c r="N581" s="2" t="s">
        <v>1619</v>
      </c>
      <c r="O581" t="str">
        <f>D581&amp;"-"&amp;E581&amp;"-"&amp;F581&amp;"-"&amp;G581&amp;"-"&amp;H581</f>
        <v>B-2-f-1-24.5</v>
      </c>
      <c r="P581" t="str">
        <f>I581&amp;"-"&amp;J581&amp;"-"&amp;K581&amp;"-"&amp;L581&amp;"-"&amp;M581</f>
        <v>X-2-f-1-25.5</v>
      </c>
      <c r="Q581">
        <f>A581+R581</f>
        <v>17945.508507000002</v>
      </c>
      <c r="R581">
        <f>_xlfn.IFNA(VLOOKUP(P581,PGOPHER!A$2:G$181,7,FALSE),_xlfn.IFNA(VLOOKUP(P581,en!A$2:I$768,7,FALSE),-10000))</f>
        <v>3600.218507</v>
      </c>
      <c r="S581">
        <f>IF(O581=O580,Q580+S580,Q581)</f>
        <v>17945.508507000002</v>
      </c>
      <c r="T581">
        <f>IF(O581=O580,T580+1,1)</f>
        <v>1</v>
      </c>
      <c r="U581">
        <f>IF(O581=O582,"",S581/T581)</f>
        <v>17945.508507000002</v>
      </c>
      <c r="V581" t="str">
        <f>IF(U581="","",IF(ABS(Q581-U581)&gt;V$1,"error",""))</f>
        <v/>
      </c>
    </row>
    <row r="582" spans="1:22" x14ac:dyDescent="0.55000000000000004">
      <c r="A582">
        <v>14246</v>
      </c>
      <c r="B582" s="1">
        <v>0.1019</v>
      </c>
      <c r="C582" s="1">
        <v>0.1019</v>
      </c>
      <c r="D582" s="2" t="s">
        <v>1515</v>
      </c>
      <c r="E582">
        <v>1</v>
      </c>
      <c r="F582" s="2" t="s">
        <v>2</v>
      </c>
      <c r="G582">
        <v>0</v>
      </c>
      <c r="H582">
        <v>25.5</v>
      </c>
      <c r="I582" s="2" t="s">
        <v>0</v>
      </c>
      <c r="J582">
        <v>1</v>
      </c>
      <c r="K582" s="2" t="s">
        <v>2</v>
      </c>
      <c r="L582">
        <v>0</v>
      </c>
      <c r="M582">
        <v>26.5</v>
      </c>
      <c r="N582" s="2" t="s">
        <v>1691</v>
      </c>
      <c r="O582" t="str">
        <f>D582&amp;"-"&amp;E582&amp;"-"&amp;F582&amp;"-"&amp;G582&amp;"-"&amp;H582</f>
        <v>B-1-e-0-25.5</v>
      </c>
      <c r="P582" t="str">
        <f>I582&amp;"-"&amp;J582&amp;"-"&amp;K582&amp;"-"&amp;L582&amp;"-"&amp;M582</f>
        <v>X-1-e-0-26.5</v>
      </c>
      <c r="Q582">
        <f>A582+R582</f>
        <v>16732.664215000001</v>
      </c>
      <c r="R582">
        <f>_xlfn.IFNA(VLOOKUP(P582,PGOPHER!A$2:G$181,7,FALSE),_xlfn.IFNA(VLOOKUP(P582,en!A$2:I$768,7,FALSE),-10000))</f>
        <v>2486.6642149999998</v>
      </c>
      <c r="S582">
        <f>IF(O582=O581,Q581+S581,Q582)</f>
        <v>16732.664215000001</v>
      </c>
      <c r="T582">
        <f>IF(O582=O581,T581+1,1)</f>
        <v>1</v>
      </c>
      <c r="U582" t="str">
        <f>IF(O582=O583,"",S582/T582)</f>
        <v/>
      </c>
      <c r="V582" t="str">
        <f>IF(U582="","",IF(ABS(Q582-U582)&gt;V$1,"error",""))</f>
        <v/>
      </c>
    </row>
    <row r="583" spans="1:22" x14ac:dyDescent="0.55000000000000004">
      <c r="A583">
        <v>14599.38</v>
      </c>
      <c r="B583" s="1">
        <v>0.1019</v>
      </c>
      <c r="C583" s="1">
        <v>0.1019</v>
      </c>
      <c r="D583" s="2" t="s">
        <v>1515</v>
      </c>
      <c r="E583">
        <v>1</v>
      </c>
      <c r="F583" s="2" t="s">
        <v>2</v>
      </c>
      <c r="G583">
        <v>0</v>
      </c>
      <c r="H583">
        <v>25.5</v>
      </c>
      <c r="I583" s="2" t="s">
        <v>0</v>
      </c>
      <c r="J583">
        <v>1</v>
      </c>
      <c r="K583" s="2" t="s">
        <v>2</v>
      </c>
      <c r="L583">
        <v>0</v>
      </c>
      <c r="M583">
        <v>24.5</v>
      </c>
      <c r="N583" s="2" t="s">
        <v>1733</v>
      </c>
      <c r="O583" t="str">
        <f>D583&amp;"-"&amp;E583&amp;"-"&amp;F583&amp;"-"&amp;G583&amp;"-"&amp;H583</f>
        <v>B-1-e-0-25.5</v>
      </c>
      <c r="P583" t="str">
        <f>I583&amp;"-"&amp;J583&amp;"-"&amp;K583&amp;"-"&amp;L583&amp;"-"&amp;M583</f>
        <v>X-1-e-0-24.5</v>
      </c>
      <c r="Q583">
        <f>A583+R583</f>
        <v>16732.850031999998</v>
      </c>
      <c r="R583">
        <f>_xlfn.IFNA(VLOOKUP(P583,PGOPHER!A$2:G$181,7,FALSE),_xlfn.IFNA(VLOOKUP(P583,en!A$2:I$768,7,FALSE),-10000))</f>
        <v>2133.4700320000002</v>
      </c>
      <c r="S583">
        <f>IF(O583=O582,Q582+S582,Q583)</f>
        <v>33465.328430000001</v>
      </c>
      <c r="T583">
        <f>IF(O583=O582,T582+1,1)</f>
        <v>2</v>
      </c>
      <c r="U583">
        <f>IF(O583=O584,"",S583/T583)</f>
        <v>16732.664215000001</v>
      </c>
      <c r="V583" t="str">
        <f>IF(U583="","",IF(ABS(Q583-U583)&gt;V$1,"error",""))</f>
        <v/>
      </c>
    </row>
    <row r="584" spans="1:22" x14ac:dyDescent="0.55000000000000004">
      <c r="A584">
        <v>14262.89</v>
      </c>
      <c r="B584" s="1">
        <v>0.23300000000000001</v>
      </c>
      <c r="C584" s="1">
        <v>0.23300000000000001</v>
      </c>
      <c r="D584" s="2" t="s">
        <v>1515</v>
      </c>
      <c r="E584">
        <v>1</v>
      </c>
      <c r="F584" s="2" t="s">
        <v>2</v>
      </c>
      <c r="G584">
        <v>1</v>
      </c>
      <c r="H584">
        <v>25.5</v>
      </c>
      <c r="I584" s="2" t="s">
        <v>0</v>
      </c>
      <c r="J584">
        <v>1</v>
      </c>
      <c r="K584" s="2" t="s">
        <v>2</v>
      </c>
      <c r="L584">
        <v>1</v>
      </c>
      <c r="M584">
        <v>26.5</v>
      </c>
      <c r="N584" s="2" t="s">
        <v>1572</v>
      </c>
      <c r="O584" t="str">
        <f>D584&amp;"-"&amp;E584&amp;"-"&amp;F584&amp;"-"&amp;G584&amp;"-"&amp;H584</f>
        <v>B-1-e-1-25.5</v>
      </c>
      <c r="P584" t="str">
        <f>I584&amp;"-"&amp;J584&amp;"-"&amp;K584&amp;"-"&amp;L584&amp;"-"&amp;M584</f>
        <v>X-1-e-1-26.5</v>
      </c>
      <c r="Q584">
        <f>A584+R584</f>
        <v>17866.069295000001</v>
      </c>
      <c r="R584">
        <f>_xlfn.IFNA(VLOOKUP(P584,PGOPHER!A$2:G$181,7,FALSE),_xlfn.IFNA(VLOOKUP(P584,en!A$2:I$768,7,FALSE),-10000))</f>
        <v>3603.1792949999999</v>
      </c>
      <c r="S584">
        <f>IF(O584=O583,Q583+S583,Q584)</f>
        <v>17866.069295000001</v>
      </c>
      <c r="T584">
        <f>IF(O584=O583,T583+1,1)</f>
        <v>1</v>
      </c>
      <c r="U584" t="str">
        <f>IF(O584=O585,"",S584/T584)</f>
        <v/>
      </c>
      <c r="V584" t="str">
        <f>IF(U584="","",IF(ABS(Q584-U584)&gt;V$1,"error",""))</f>
        <v/>
      </c>
    </row>
    <row r="585" spans="1:22" x14ac:dyDescent="0.55000000000000004">
      <c r="A585">
        <v>14607.5</v>
      </c>
      <c r="B585" s="1">
        <v>0.23300000000000001</v>
      </c>
      <c r="C585" s="1">
        <v>0.23300000000000001</v>
      </c>
      <c r="D585" s="2" t="s">
        <v>1515</v>
      </c>
      <c r="E585">
        <v>1</v>
      </c>
      <c r="F585" s="2" t="s">
        <v>2</v>
      </c>
      <c r="G585">
        <v>1</v>
      </c>
      <c r="H585">
        <v>25.5</v>
      </c>
      <c r="I585" s="2" t="s">
        <v>0</v>
      </c>
      <c r="J585">
        <v>1</v>
      </c>
      <c r="K585" s="2" t="s">
        <v>2</v>
      </c>
      <c r="L585">
        <v>1</v>
      </c>
      <c r="M585">
        <v>24.5</v>
      </c>
      <c r="N585" s="2" t="s">
        <v>1539</v>
      </c>
      <c r="O585" t="str">
        <f>D585&amp;"-"&amp;E585&amp;"-"&amp;F585&amp;"-"&amp;G585&amp;"-"&amp;H585</f>
        <v>B-1-e-1-25.5</v>
      </c>
      <c r="P585" t="str">
        <f>I585&amp;"-"&amp;J585&amp;"-"&amp;K585&amp;"-"&amp;L585&amp;"-"&amp;M585</f>
        <v>X-1-e-1-24.5</v>
      </c>
      <c r="Q585">
        <f>A585+R585</f>
        <v>17865.646436999999</v>
      </c>
      <c r="R585">
        <f>_xlfn.IFNA(VLOOKUP(P585,PGOPHER!A$2:G$181,7,FALSE),_xlfn.IFNA(VLOOKUP(P585,en!A$2:I$768,7,FALSE),-10000))</f>
        <v>3258.1464369999999</v>
      </c>
      <c r="S585">
        <f>IF(O585=O584,Q584+S584,Q585)</f>
        <v>35732.138590000002</v>
      </c>
      <c r="T585">
        <f>IF(O585=O584,T584+1,1)</f>
        <v>2</v>
      </c>
      <c r="U585">
        <f>IF(O585=O586,"",S585/T585)</f>
        <v>17866.069295000001</v>
      </c>
      <c r="V585" t="str">
        <f>IF(U585="","",IF(ABS(Q585-U585)&gt;V$1,"error",""))</f>
        <v/>
      </c>
    </row>
    <row r="586" spans="1:22" x14ac:dyDescent="0.55000000000000004">
      <c r="A586">
        <v>14335.16</v>
      </c>
      <c r="B586" s="1">
        <v>0.01</v>
      </c>
      <c r="C586" s="1">
        <v>0.01</v>
      </c>
      <c r="D586" s="2" t="s">
        <v>1515</v>
      </c>
      <c r="E586">
        <v>2</v>
      </c>
      <c r="F586" s="2" t="s">
        <v>1</v>
      </c>
      <c r="G586">
        <v>0</v>
      </c>
      <c r="H586">
        <v>25.5</v>
      </c>
      <c r="I586" s="2" t="s">
        <v>0</v>
      </c>
      <c r="J586">
        <v>2</v>
      </c>
      <c r="K586" s="2" t="s">
        <v>1</v>
      </c>
      <c r="L586">
        <v>0</v>
      </c>
      <c r="M586">
        <v>26.5</v>
      </c>
      <c r="N586" s="2" t="s">
        <v>1762</v>
      </c>
      <c r="O586" t="str">
        <f>D586&amp;"-"&amp;E586&amp;"-"&amp;F586&amp;"-"&amp;G586&amp;"-"&amp;H586</f>
        <v>B-2-f-0-25.5</v>
      </c>
      <c r="P586" t="str">
        <f>I586&amp;"-"&amp;J586&amp;"-"&amp;K586&amp;"-"&amp;L586&amp;"-"&amp;M586</f>
        <v>X-2-f-0-26.5</v>
      </c>
      <c r="Q586">
        <f>A586+R586</f>
        <v>17004.561643000001</v>
      </c>
      <c r="R586">
        <f>_xlfn.IFNA(VLOOKUP(P586,PGOPHER!A$2:G$181,7,FALSE),_xlfn.IFNA(VLOOKUP(P586,en!A$2:I$768,7,FALSE),-10000))</f>
        <v>2669.4016430000001</v>
      </c>
      <c r="S586">
        <f>IF(O586=O585,Q585+S585,Q586)</f>
        <v>17004.561643000001</v>
      </c>
      <c r="T586">
        <f>IF(O586=O585,T585+1,1)</f>
        <v>1</v>
      </c>
      <c r="U586">
        <f>IF(O586=O587,"",S586/T586)</f>
        <v>17004.561643000001</v>
      </c>
      <c r="V586" t="str">
        <f>IF(U586="","",IF(ABS(Q586-U586)&gt;V$1,"error",""))</f>
        <v/>
      </c>
    </row>
    <row r="587" spans="1:22" x14ac:dyDescent="0.55000000000000004">
      <c r="A587">
        <v>14347.13</v>
      </c>
      <c r="B587" s="1">
        <v>0.01</v>
      </c>
      <c r="C587" s="1">
        <v>0.01</v>
      </c>
      <c r="D587" s="2" t="s">
        <v>1515</v>
      </c>
      <c r="E587">
        <v>2</v>
      </c>
      <c r="F587" s="2" t="s">
        <v>1</v>
      </c>
      <c r="G587">
        <v>1</v>
      </c>
      <c r="H587">
        <v>25.5</v>
      </c>
      <c r="I587" s="2" t="s">
        <v>0</v>
      </c>
      <c r="J587">
        <v>2</v>
      </c>
      <c r="K587" s="2" t="s">
        <v>1</v>
      </c>
      <c r="L587">
        <v>1</v>
      </c>
      <c r="M587">
        <v>26.5</v>
      </c>
      <c r="N587" s="2" t="s">
        <v>1620</v>
      </c>
      <c r="O587" t="str">
        <f>D587&amp;"-"&amp;E587&amp;"-"&amp;F587&amp;"-"&amp;G587&amp;"-"&amp;H587</f>
        <v>B-2-f-1-25.5</v>
      </c>
      <c r="P587" t="str">
        <f>I587&amp;"-"&amp;J587&amp;"-"&amp;K587&amp;"-"&amp;L587&amp;"-"&amp;M587</f>
        <v>X-2-f-1-26.5</v>
      </c>
      <c r="Q587">
        <f>A587+R587</f>
        <v>18128.829140999998</v>
      </c>
      <c r="R587">
        <f>_xlfn.IFNA(VLOOKUP(P587,PGOPHER!A$2:G$181,7,FALSE),_xlfn.IFNA(VLOOKUP(P587,en!A$2:I$768,7,FALSE),-10000))</f>
        <v>3781.6991410000001</v>
      </c>
      <c r="S587">
        <f>IF(O587=O586,Q586+S586,Q587)</f>
        <v>18128.829140999998</v>
      </c>
      <c r="T587">
        <f>IF(O587=O586,T586+1,1)</f>
        <v>1</v>
      </c>
      <c r="U587">
        <f>IF(O587=O588,"",S587/T587)</f>
        <v>18128.829140999998</v>
      </c>
      <c r="V587" t="str">
        <f>IF(U587="","",IF(ABS(Q587-U587)&gt;V$1,"error",""))</f>
        <v/>
      </c>
    </row>
    <row r="588" spans="1:22" x14ac:dyDescent="0.55000000000000004">
      <c r="A588">
        <v>14247.03</v>
      </c>
      <c r="B588" s="1">
        <v>0.1137</v>
      </c>
      <c r="C588" s="1">
        <v>0.1137</v>
      </c>
      <c r="D588" s="2" t="s">
        <v>1515</v>
      </c>
      <c r="E588">
        <v>1</v>
      </c>
      <c r="F588" s="2" t="s">
        <v>2</v>
      </c>
      <c r="G588">
        <v>0</v>
      </c>
      <c r="H588">
        <v>26.5</v>
      </c>
      <c r="I588" s="2" t="s">
        <v>0</v>
      </c>
      <c r="J588">
        <v>1</v>
      </c>
      <c r="K588" s="2" t="s">
        <v>2</v>
      </c>
      <c r="L588">
        <v>0</v>
      </c>
      <c r="M588">
        <v>27.5</v>
      </c>
      <c r="N588" s="2" t="s">
        <v>1692</v>
      </c>
      <c r="O588" t="str">
        <f>D588&amp;"-"&amp;E588&amp;"-"&amp;F588&amp;"-"&amp;G588&amp;"-"&amp;H588</f>
        <v>B-1-e-0-26.5</v>
      </c>
      <c r="P588" t="str">
        <f>I588&amp;"-"&amp;J588&amp;"-"&amp;K588&amp;"-"&amp;L588&amp;"-"&amp;M588</f>
        <v>X-1-e-0-27.5</v>
      </c>
      <c r="Q588">
        <f>A588+R588</f>
        <v>16919.599893999999</v>
      </c>
      <c r="R588">
        <f>_xlfn.IFNA(VLOOKUP(P588,PGOPHER!A$2:G$181,7,FALSE),_xlfn.IFNA(VLOOKUP(P588,en!A$2:I$768,7,FALSE),-10000))</f>
        <v>2672.5698940000002</v>
      </c>
      <c r="S588">
        <f>IF(O588=O587,Q587+S587,Q588)</f>
        <v>16919.599893999999</v>
      </c>
      <c r="T588">
        <f>IF(O588=O587,T587+1,1)</f>
        <v>1</v>
      </c>
      <c r="U588" t="str">
        <f>IF(O588=O589,"",S588/T588)</f>
        <v/>
      </c>
      <c r="V588" t="str">
        <f>IF(U588="","",IF(ABS(Q588-U588)&gt;V$1,"error",""))</f>
        <v/>
      </c>
    </row>
    <row r="589" spans="1:22" x14ac:dyDescent="0.55000000000000004">
      <c r="A589">
        <v>14612.86</v>
      </c>
      <c r="B589" s="1">
        <v>0.1137</v>
      </c>
      <c r="C589" s="1">
        <v>0.1137</v>
      </c>
      <c r="D589" s="2" t="s">
        <v>1515</v>
      </c>
      <c r="E589">
        <v>1</v>
      </c>
      <c r="F589" s="2" t="s">
        <v>2</v>
      </c>
      <c r="G589">
        <v>0</v>
      </c>
      <c r="H589">
        <v>26.5</v>
      </c>
      <c r="I589" s="2" t="s">
        <v>0</v>
      </c>
      <c r="J589">
        <v>1</v>
      </c>
      <c r="K589" s="2" t="s">
        <v>2</v>
      </c>
      <c r="L589">
        <v>0</v>
      </c>
      <c r="M589">
        <v>25.5</v>
      </c>
      <c r="N589" s="2" t="s">
        <v>1734</v>
      </c>
      <c r="O589" t="str">
        <f>D589&amp;"-"&amp;E589&amp;"-"&amp;F589&amp;"-"&amp;G589&amp;"-"&amp;H589</f>
        <v>B-1-e-0-26.5</v>
      </c>
      <c r="P589" t="str">
        <f>I589&amp;"-"&amp;J589&amp;"-"&amp;K589&amp;"-"&amp;L589&amp;"-"&amp;M589</f>
        <v>X-1-e-0-25.5</v>
      </c>
      <c r="Q589">
        <f>A589+R589</f>
        <v>16919.800901999999</v>
      </c>
      <c r="R589">
        <f>_xlfn.IFNA(VLOOKUP(P589,PGOPHER!A$2:G$181,7,FALSE),_xlfn.IFNA(VLOOKUP(P589,en!A$2:I$768,7,FALSE),-10000))</f>
        <v>2306.9409019999998</v>
      </c>
      <c r="S589">
        <f>IF(O589=O588,Q588+S588,Q589)</f>
        <v>33839.199787999998</v>
      </c>
      <c r="T589">
        <f>IF(O589=O588,T588+1,1)</f>
        <v>2</v>
      </c>
      <c r="U589">
        <f>IF(O589=O590,"",S589/T589)</f>
        <v>16919.599893999999</v>
      </c>
      <c r="V589" t="str">
        <f>IF(U589="","",IF(ABS(Q589-U589)&gt;V$1,"error",""))</f>
        <v/>
      </c>
    </row>
    <row r="590" spans="1:22" x14ac:dyDescent="0.55000000000000004">
      <c r="A590">
        <v>14264.65</v>
      </c>
      <c r="B590" s="1">
        <v>0.91180000000000005</v>
      </c>
      <c r="C590" s="1">
        <v>0.91180000000000005</v>
      </c>
      <c r="D590" s="2" t="s">
        <v>1515</v>
      </c>
      <c r="E590">
        <v>1</v>
      </c>
      <c r="F590" s="2" t="s">
        <v>2</v>
      </c>
      <c r="G590">
        <v>1</v>
      </c>
      <c r="H590">
        <v>26.5</v>
      </c>
      <c r="I590" s="2" t="s">
        <v>0</v>
      </c>
      <c r="J590">
        <v>1</v>
      </c>
      <c r="K590" s="2" t="s">
        <v>2</v>
      </c>
      <c r="L590">
        <v>1</v>
      </c>
      <c r="M590">
        <v>27.5</v>
      </c>
      <c r="N590" s="2" t="s">
        <v>1573</v>
      </c>
      <c r="O590" t="str">
        <f>D590&amp;"-"&amp;E590&amp;"-"&amp;F590&amp;"-"&amp;G590&amp;"-"&amp;H590</f>
        <v>B-1-e-1-26.5</v>
      </c>
      <c r="P590" t="str">
        <f>I590&amp;"-"&amp;J590&amp;"-"&amp;K590&amp;"-"&amp;L590&amp;"-"&amp;M590</f>
        <v>X-1-e-1-27.5</v>
      </c>
      <c r="Q590">
        <f>A590+R590</f>
        <v>18049.409810000001</v>
      </c>
      <c r="R590">
        <f>_xlfn.IFNA(VLOOKUP(P590,PGOPHER!A$2:G$181,7,FALSE),_xlfn.IFNA(VLOOKUP(P590,en!A$2:I$768,7,FALSE),-10000))</f>
        <v>3784.75981</v>
      </c>
      <c r="S590">
        <f>IF(O590=O589,Q589+S589,Q590)</f>
        <v>18049.409810000001</v>
      </c>
      <c r="T590">
        <f>IF(O590=O589,T589+1,1)</f>
        <v>1</v>
      </c>
      <c r="U590" t="str">
        <f>IF(O590=O591,"",S590/T590)</f>
        <v/>
      </c>
      <c r="V590" t="str">
        <f>IF(U590="","",IF(ABS(Q590-U590)&gt;V$1,"error",""))</f>
        <v/>
      </c>
    </row>
    <row r="591" spans="1:22" x14ac:dyDescent="0.55000000000000004">
      <c r="A591">
        <v>14620.14</v>
      </c>
      <c r="B591" s="1">
        <v>0.91180000000000005</v>
      </c>
      <c r="C591" s="1">
        <v>0.91180000000000005</v>
      </c>
      <c r="D591" s="2" t="s">
        <v>1515</v>
      </c>
      <c r="E591">
        <v>1</v>
      </c>
      <c r="F591" s="2" t="s">
        <v>2</v>
      </c>
      <c r="G591">
        <v>1</v>
      </c>
      <c r="H591">
        <v>26.5</v>
      </c>
      <c r="I591" s="2" t="s">
        <v>0</v>
      </c>
      <c r="J591">
        <v>1</v>
      </c>
      <c r="K591" s="2" t="s">
        <v>2</v>
      </c>
      <c r="L591">
        <v>1</v>
      </c>
      <c r="M591">
        <v>25.5</v>
      </c>
      <c r="N591" s="2" t="s">
        <v>1540</v>
      </c>
      <c r="O591" t="str">
        <f>D591&amp;"-"&amp;E591&amp;"-"&amp;F591&amp;"-"&amp;G591&amp;"-"&amp;H591</f>
        <v>B-1-e-1-26.5</v>
      </c>
      <c r="P591" t="str">
        <f>I591&amp;"-"&amp;J591&amp;"-"&amp;K591&amp;"-"&amp;L591&amp;"-"&amp;M591</f>
        <v>X-1-e-1-25.5</v>
      </c>
      <c r="Q591">
        <f>A591+R591</f>
        <v>18047.752798999998</v>
      </c>
      <c r="R591">
        <f>_xlfn.IFNA(VLOOKUP(P591,PGOPHER!A$2:G$181,7,FALSE),_xlfn.IFNA(VLOOKUP(P591,en!A$2:I$768,7,FALSE),-10000))</f>
        <v>3427.612799</v>
      </c>
      <c r="S591">
        <f>IF(O591=O590,Q590+S590,Q591)</f>
        <v>36098.819620000002</v>
      </c>
      <c r="T591">
        <f>IF(O591=O590,T590+1,1)</f>
        <v>2</v>
      </c>
      <c r="U591">
        <f>IF(O591=O592,"",S591/T591)</f>
        <v>18049.409810000001</v>
      </c>
      <c r="V591" t="str">
        <f>IF(U591="","",IF(ABS(Q591-U591)&gt;V$1,"error",""))</f>
        <v>error</v>
      </c>
    </row>
    <row r="592" spans="1:22" x14ac:dyDescent="0.55000000000000004">
      <c r="A592">
        <v>14338.62</v>
      </c>
      <c r="B592" s="1">
        <v>0.01</v>
      </c>
      <c r="C592" s="1">
        <v>0.01</v>
      </c>
      <c r="D592" s="2" t="s">
        <v>1515</v>
      </c>
      <c r="E592">
        <v>2</v>
      </c>
      <c r="F592" s="2" t="s">
        <v>1</v>
      </c>
      <c r="G592">
        <v>0</v>
      </c>
      <c r="H592">
        <v>26.5</v>
      </c>
      <c r="I592" s="2" t="s">
        <v>0</v>
      </c>
      <c r="J592">
        <v>2</v>
      </c>
      <c r="K592" s="2" t="s">
        <v>1</v>
      </c>
      <c r="L592">
        <v>0</v>
      </c>
      <c r="M592">
        <v>27.5</v>
      </c>
      <c r="N592" s="2" t="s">
        <v>1763</v>
      </c>
      <c r="O592" t="str">
        <f>D592&amp;"-"&amp;E592&amp;"-"&amp;F592&amp;"-"&amp;G592&amp;"-"&amp;H592</f>
        <v>B-2-f-0-26.5</v>
      </c>
      <c r="P592" t="str">
        <f>I592&amp;"-"&amp;J592&amp;"-"&amp;K592&amp;"-"&amp;L592&amp;"-"&amp;M592</f>
        <v>X-2-f-0-27.5</v>
      </c>
      <c r="Q592">
        <f>A592+R592</f>
        <v>17199.921163999999</v>
      </c>
      <c r="R592">
        <f>_xlfn.IFNA(VLOOKUP(P592,PGOPHER!A$2:G$181,7,FALSE),_xlfn.IFNA(VLOOKUP(P592,en!A$2:I$768,7,FALSE),-10000))</f>
        <v>2861.301164</v>
      </c>
      <c r="S592">
        <f>IF(O592=O591,Q591+S591,Q592)</f>
        <v>17199.921163999999</v>
      </c>
      <c r="T592">
        <f>IF(O592=O591,T591+1,1)</f>
        <v>1</v>
      </c>
      <c r="U592">
        <f>IF(O592=O593,"",S592/T592)</f>
        <v>17199.921163999999</v>
      </c>
      <c r="V592" t="str">
        <f>IF(U592="","",IF(ABS(Q592-U592)&gt;V$1,"error",""))</f>
        <v/>
      </c>
    </row>
    <row r="593" spans="1:22" x14ac:dyDescent="0.55000000000000004">
      <c r="A593">
        <v>14349.25</v>
      </c>
      <c r="B593" s="1">
        <v>0.01</v>
      </c>
      <c r="C593" s="1">
        <v>0.01</v>
      </c>
      <c r="D593" s="2" t="s">
        <v>1515</v>
      </c>
      <c r="E593">
        <v>2</v>
      </c>
      <c r="F593" s="2" t="s">
        <v>1</v>
      </c>
      <c r="G593">
        <v>1</v>
      </c>
      <c r="H593">
        <v>26.5</v>
      </c>
      <c r="I593" s="2" t="s">
        <v>0</v>
      </c>
      <c r="J593">
        <v>2</v>
      </c>
      <c r="K593" s="2" t="s">
        <v>1</v>
      </c>
      <c r="L593">
        <v>1</v>
      </c>
      <c r="M593">
        <v>27.5</v>
      </c>
      <c r="N593" s="2" t="s">
        <v>1621</v>
      </c>
      <c r="O593" t="str">
        <f>D593&amp;"-"&amp;E593&amp;"-"&amp;F593&amp;"-"&amp;G593&amp;"-"&amp;H593</f>
        <v>B-2-f-1-26.5</v>
      </c>
      <c r="P593" t="str">
        <f>I593&amp;"-"&amp;J593&amp;"-"&amp;K593&amp;"-"&amp;L593&amp;"-"&amp;M593</f>
        <v>X-2-f-1-27.5</v>
      </c>
      <c r="Q593">
        <f>A593+R593</f>
        <v>18318.381038</v>
      </c>
      <c r="R593">
        <f>_xlfn.IFNA(VLOOKUP(P593,PGOPHER!A$2:G$181,7,FALSE),_xlfn.IFNA(VLOOKUP(P593,en!A$2:I$768,7,FALSE),-10000))</f>
        <v>3969.131038</v>
      </c>
      <c r="S593">
        <f>IF(O593=O592,Q592+S592,Q593)</f>
        <v>18318.381038</v>
      </c>
      <c r="T593">
        <f>IF(O593=O592,T592+1,1)</f>
        <v>1</v>
      </c>
      <c r="U593">
        <f>IF(O593=O594,"",S593/T593)</f>
        <v>18318.381038</v>
      </c>
      <c r="V593" t="str">
        <f>IF(U593="","",IF(ABS(Q593-U593)&gt;V$1,"error",""))</f>
        <v/>
      </c>
    </row>
    <row r="594" spans="1:22" x14ac:dyDescent="0.55000000000000004">
      <c r="A594">
        <v>14248.45</v>
      </c>
      <c r="B594" s="1">
        <v>6.5699999999999995E-2</v>
      </c>
      <c r="C594" s="1">
        <v>6.5699999999999995E-2</v>
      </c>
      <c r="D594" s="2" t="s">
        <v>1515</v>
      </c>
      <c r="E594">
        <v>1</v>
      </c>
      <c r="F594" s="2" t="s">
        <v>2</v>
      </c>
      <c r="G594">
        <v>0</v>
      </c>
      <c r="H594">
        <v>27.5</v>
      </c>
      <c r="I594" s="2" t="s">
        <v>0</v>
      </c>
      <c r="J594">
        <v>1</v>
      </c>
      <c r="K594" s="2" t="s">
        <v>2</v>
      </c>
      <c r="L594">
        <v>0</v>
      </c>
      <c r="M594">
        <v>28.5</v>
      </c>
      <c r="N594" s="2" t="s">
        <v>1693</v>
      </c>
      <c r="O594" t="str">
        <f>D594&amp;"-"&amp;E594&amp;"-"&amp;F594&amp;"-"&amp;G594&amp;"-"&amp;H594</f>
        <v>B-1-e-0-27.5</v>
      </c>
      <c r="P594" t="str">
        <f>I594&amp;"-"&amp;J594&amp;"-"&amp;K594&amp;"-"&amp;L594&amp;"-"&amp;M594</f>
        <v>X-1-e-0-28.5</v>
      </c>
      <c r="Q594">
        <f>A594+R594</f>
        <v>17113.024125</v>
      </c>
      <c r="R594">
        <f>_xlfn.IFNA(VLOOKUP(P594,PGOPHER!A$2:G$181,7,FALSE),_xlfn.IFNA(VLOOKUP(P594,en!A$2:I$768,7,FALSE),-10000))</f>
        <v>2864.5741250000001</v>
      </c>
      <c r="S594">
        <f>IF(O594=O593,Q593+S593,Q594)</f>
        <v>17113.024125</v>
      </c>
      <c r="T594">
        <f>IF(O594=O593,T593+1,1)</f>
        <v>1</v>
      </c>
      <c r="U594" t="str">
        <f>IF(O594=O595,"",S594/T594)</f>
        <v/>
      </c>
      <c r="V594" t="str">
        <f>IF(U594="","",IF(ABS(Q594-U594)&gt;V$1,"error",""))</f>
        <v/>
      </c>
    </row>
    <row r="595" spans="1:22" x14ac:dyDescent="0.55000000000000004">
      <c r="A595">
        <v>14626.48</v>
      </c>
      <c r="B595" s="1">
        <v>6.5699999999999995E-2</v>
      </c>
      <c r="C595" s="1">
        <v>6.5699999999999995E-2</v>
      </c>
      <c r="D595" s="2" t="s">
        <v>1515</v>
      </c>
      <c r="E595">
        <v>1</v>
      </c>
      <c r="F595" s="2" t="s">
        <v>2</v>
      </c>
      <c r="G595">
        <v>0</v>
      </c>
      <c r="H595">
        <v>27.5</v>
      </c>
      <c r="I595" s="2" t="s">
        <v>0</v>
      </c>
      <c r="J595">
        <v>1</v>
      </c>
      <c r="K595" s="2" t="s">
        <v>2</v>
      </c>
      <c r="L595">
        <v>0</v>
      </c>
      <c r="M595">
        <v>26.5</v>
      </c>
      <c r="N595" s="2" t="s">
        <v>1735</v>
      </c>
      <c r="O595" t="str">
        <f>D595&amp;"-"&amp;E595&amp;"-"&amp;F595&amp;"-"&amp;G595&amp;"-"&amp;H595</f>
        <v>B-1-e-0-27.5</v>
      </c>
      <c r="P595" t="str">
        <f>I595&amp;"-"&amp;J595&amp;"-"&amp;K595&amp;"-"&amp;L595&amp;"-"&amp;M595</f>
        <v>X-1-e-0-26.5</v>
      </c>
      <c r="Q595">
        <f>A595+R595</f>
        <v>17113.144215</v>
      </c>
      <c r="R595">
        <f>_xlfn.IFNA(VLOOKUP(P595,PGOPHER!A$2:G$181,7,FALSE),_xlfn.IFNA(VLOOKUP(P595,en!A$2:I$768,7,FALSE),-10000))</f>
        <v>2486.6642149999998</v>
      </c>
      <c r="S595">
        <f>IF(O595=O594,Q594+S594,Q595)</f>
        <v>34226.04825</v>
      </c>
      <c r="T595">
        <f>IF(O595=O594,T594+1,1)</f>
        <v>2</v>
      </c>
      <c r="U595">
        <f>IF(O595=O596,"",S595/T595)</f>
        <v>17113.024125</v>
      </c>
      <c r="V595" t="str">
        <f>IF(U595="","",IF(ABS(Q595-U595)&gt;V$1,"error",""))</f>
        <v/>
      </c>
    </row>
    <row r="596" spans="1:22" x14ac:dyDescent="0.55000000000000004">
      <c r="A596">
        <v>14266.08</v>
      </c>
      <c r="B596" s="1">
        <v>1.2969999999999999</v>
      </c>
      <c r="C596" s="1">
        <v>1.2969999999999999</v>
      </c>
      <c r="D596" s="2" t="s">
        <v>1515</v>
      </c>
      <c r="E596">
        <v>1</v>
      </c>
      <c r="F596" s="2" t="s">
        <v>2</v>
      </c>
      <c r="G596">
        <v>1</v>
      </c>
      <c r="H596">
        <v>27.5</v>
      </c>
      <c r="I596" s="2" t="s">
        <v>0</v>
      </c>
      <c r="J596">
        <v>1</v>
      </c>
      <c r="K596" s="2" t="s">
        <v>2</v>
      </c>
      <c r="L596">
        <v>1</v>
      </c>
      <c r="M596">
        <v>28.5</v>
      </c>
      <c r="N596" s="2" t="s">
        <v>1574</v>
      </c>
      <c r="O596" t="str">
        <f>D596&amp;"-"&amp;E596&amp;"-"&amp;F596&amp;"-"&amp;G596&amp;"-"&amp;H596</f>
        <v>B-1-e-1-27.5</v>
      </c>
      <c r="P596" t="str">
        <f>I596&amp;"-"&amp;J596&amp;"-"&amp;K596&amp;"-"&amp;L596&amp;"-"&amp;M596</f>
        <v>X-1-e-1-28.5</v>
      </c>
      <c r="Q596">
        <f>A596+R596</f>
        <v>18238.363573999999</v>
      </c>
      <c r="R596">
        <f>_xlfn.IFNA(VLOOKUP(P596,PGOPHER!A$2:G$181,7,FALSE),_xlfn.IFNA(VLOOKUP(P596,en!A$2:I$768,7,FALSE),-10000))</f>
        <v>3972.283574</v>
      </c>
      <c r="S596">
        <f>IF(O596=O595,Q595+S595,Q596)</f>
        <v>18238.363573999999</v>
      </c>
      <c r="T596">
        <f>IF(O596=O595,T595+1,1)</f>
        <v>1</v>
      </c>
      <c r="U596" t="str">
        <f>IF(O596=O597,"",S596/T596)</f>
        <v/>
      </c>
      <c r="V596" t="str">
        <f>IF(U596="","",IF(ABS(Q596-U596)&gt;V$1,"error",""))</f>
        <v/>
      </c>
    </row>
    <row r="597" spans="1:22" x14ac:dyDescent="0.55000000000000004">
      <c r="A597">
        <v>14632.82</v>
      </c>
      <c r="B597" s="1">
        <v>1.2969999999999999</v>
      </c>
      <c r="C597" s="1">
        <v>1.2969999999999999</v>
      </c>
      <c r="D597" s="2" t="s">
        <v>1515</v>
      </c>
      <c r="E597">
        <v>1</v>
      </c>
      <c r="F597" s="2" t="s">
        <v>2</v>
      </c>
      <c r="G597">
        <v>1</v>
      </c>
      <c r="H597">
        <v>27.5</v>
      </c>
      <c r="I597" s="2" t="s">
        <v>0</v>
      </c>
      <c r="J597">
        <v>1</v>
      </c>
      <c r="K597" s="2" t="s">
        <v>2</v>
      </c>
      <c r="L597">
        <v>1</v>
      </c>
      <c r="M597">
        <v>26.5</v>
      </c>
      <c r="N597" s="2" t="s">
        <v>1541</v>
      </c>
      <c r="O597" t="str">
        <f>D597&amp;"-"&amp;E597&amp;"-"&amp;F597&amp;"-"&amp;G597&amp;"-"&amp;H597</f>
        <v>B-1-e-1-27.5</v>
      </c>
      <c r="P597" t="str">
        <f>I597&amp;"-"&amp;J597&amp;"-"&amp;K597&amp;"-"&amp;L597&amp;"-"&amp;M597</f>
        <v>X-1-e-1-26.5</v>
      </c>
      <c r="Q597">
        <f>A597+R597</f>
        <v>18235.999295000001</v>
      </c>
      <c r="R597">
        <f>_xlfn.IFNA(VLOOKUP(P597,PGOPHER!A$2:G$181,7,FALSE),_xlfn.IFNA(VLOOKUP(P597,en!A$2:I$768,7,FALSE),-10000))</f>
        <v>3603.1792949999999</v>
      </c>
      <c r="S597">
        <f>IF(O597=O596,Q596+S596,Q597)</f>
        <v>36476.727147999998</v>
      </c>
      <c r="T597">
        <f>IF(O597=O596,T596+1,1)</f>
        <v>2</v>
      </c>
      <c r="U597">
        <f>IF(O597=O598,"",S597/T597)</f>
        <v>18238.363573999999</v>
      </c>
      <c r="V597" t="str">
        <f>IF(U597="","",IF(ABS(Q597-U597)&gt;V$1,"error",""))</f>
        <v>error</v>
      </c>
    </row>
    <row r="598" spans="1:22" x14ac:dyDescent="0.55000000000000004">
      <c r="A598">
        <v>14342.2</v>
      </c>
      <c r="B598" s="1">
        <v>0.01</v>
      </c>
      <c r="C598" s="1">
        <v>0.01</v>
      </c>
      <c r="D598" s="2" t="s">
        <v>1515</v>
      </c>
      <c r="E598">
        <v>2</v>
      </c>
      <c r="F598" s="2" t="s">
        <v>1</v>
      </c>
      <c r="G598">
        <v>0</v>
      </c>
      <c r="H598">
        <v>27.5</v>
      </c>
      <c r="I598" s="2" t="s">
        <v>0</v>
      </c>
      <c r="J598">
        <v>2</v>
      </c>
      <c r="K598" s="2" t="s">
        <v>1</v>
      </c>
      <c r="L598">
        <v>0</v>
      </c>
      <c r="M598">
        <v>28.5</v>
      </c>
      <c r="N598" s="2" t="s">
        <v>1764</v>
      </c>
      <c r="O598" t="str">
        <f>D598&amp;"-"&amp;E598&amp;"-"&amp;F598&amp;"-"&amp;G598&amp;"-"&amp;H598</f>
        <v>B-2-f-0-27.5</v>
      </c>
      <c r="P598" t="str">
        <f>I598&amp;"-"&amp;J598&amp;"-"&amp;K598&amp;"-"&amp;L598&amp;"-"&amp;M598</f>
        <v>X-2-f-0-28.5</v>
      </c>
      <c r="Q598">
        <f>A598+R598</f>
        <v>17401.437749000001</v>
      </c>
      <c r="R598">
        <f>_xlfn.IFNA(VLOOKUP(P598,PGOPHER!A$2:G$181,7,FALSE),_xlfn.IFNA(VLOOKUP(P598,en!A$2:I$768,7,FALSE),-10000))</f>
        <v>3059.2377489999999</v>
      </c>
      <c r="S598">
        <f>IF(O598=O597,Q597+S597,Q598)</f>
        <v>17401.437749000001</v>
      </c>
      <c r="T598">
        <f>IF(O598=O597,T597+1,1)</f>
        <v>1</v>
      </c>
      <c r="U598">
        <f>IF(O598=O599,"",S598/T598)</f>
        <v>17401.437749000001</v>
      </c>
      <c r="V598" t="str">
        <f>IF(U598="","",IF(ABS(Q598-U598)&gt;V$1,"error",""))</f>
        <v/>
      </c>
    </row>
    <row r="599" spans="1:22" x14ac:dyDescent="0.55000000000000004">
      <c r="A599">
        <v>14351.28</v>
      </c>
      <c r="B599" s="1">
        <v>0.01</v>
      </c>
      <c r="C599" s="1">
        <v>0.01</v>
      </c>
      <c r="D599" s="2" t="s">
        <v>1515</v>
      </c>
      <c r="E599">
        <v>2</v>
      </c>
      <c r="F599" s="2" t="s">
        <v>1</v>
      </c>
      <c r="G599">
        <v>1</v>
      </c>
      <c r="H599">
        <v>27.5</v>
      </c>
      <c r="I599" s="2" t="s">
        <v>0</v>
      </c>
      <c r="J599">
        <v>2</v>
      </c>
      <c r="K599" s="2" t="s">
        <v>1</v>
      </c>
      <c r="L599">
        <v>1</v>
      </c>
      <c r="M599">
        <v>28.5</v>
      </c>
      <c r="N599" s="2" t="s">
        <v>1622</v>
      </c>
      <c r="O599" t="str">
        <f>D599&amp;"-"&amp;E599&amp;"-"&amp;F599&amp;"-"&amp;G599&amp;"-"&amp;H599</f>
        <v>B-2-f-1-27.5</v>
      </c>
      <c r="P599" t="str">
        <f>I599&amp;"-"&amp;J599&amp;"-"&amp;K599&amp;"-"&amp;L599&amp;"-"&amp;M599</f>
        <v>X-2-f-1-28.5</v>
      </c>
      <c r="Q599">
        <f>A599+R599</f>
        <v>18513.695928000001</v>
      </c>
      <c r="R599">
        <f>_xlfn.IFNA(VLOOKUP(P599,PGOPHER!A$2:G$181,7,FALSE),_xlfn.IFNA(VLOOKUP(P599,en!A$2:I$768,7,FALSE),-10000))</f>
        <v>4162.4159280000003</v>
      </c>
      <c r="S599">
        <f>IF(O599=O598,Q598+S598,Q599)</f>
        <v>18513.695928000001</v>
      </c>
      <c r="T599">
        <f>IF(O599=O598,T598+1,1)</f>
        <v>1</v>
      </c>
      <c r="U599">
        <f>IF(O599=O600,"",S599/T599)</f>
        <v>18513.695928000001</v>
      </c>
      <c r="V599" t="str">
        <f>IF(U599="","",IF(ABS(Q599-U599)&gt;V$1,"error",""))</f>
        <v/>
      </c>
    </row>
    <row r="600" spans="1:22" x14ac:dyDescent="0.55000000000000004">
      <c r="A600">
        <v>14250.23</v>
      </c>
      <c r="B600" s="1">
        <v>0.3034</v>
      </c>
      <c r="C600" s="1">
        <v>0.3034</v>
      </c>
      <c r="D600" s="2" t="s">
        <v>1515</v>
      </c>
      <c r="E600">
        <v>1</v>
      </c>
      <c r="F600" s="2" t="s">
        <v>2</v>
      </c>
      <c r="G600">
        <v>0</v>
      </c>
      <c r="H600">
        <v>28.5</v>
      </c>
      <c r="I600" s="2" t="s">
        <v>0</v>
      </c>
      <c r="J600">
        <v>1</v>
      </c>
      <c r="K600" s="2" t="s">
        <v>2</v>
      </c>
      <c r="L600">
        <v>0</v>
      </c>
      <c r="M600">
        <v>29.5</v>
      </c>
      <c r="N600" s="2" t="s">
        <v>1694</v>
      </c>
      <c r="O600" t="str">
        <f>D600&amp;"-"&amp;E600&amp;"-"&amp;F600&amp;"-"&amp;G600&amp;"-"&amp;H600</f>
        <v>B-1-e-0-28.5</v>
      </c>
      <c r="P600" t="str">
        <f>I600&amp;"-"&amp;J600&amp;"-"&amp;K600&amp;"-"&amp;L600&amp;"-"&amp;M600</f>
        <v>X-1-e-0-29.5</v>
      </c>
      <c r="Q600">
        <f>A600+R600</f>
        <v>17312.835200000001</v>
      </c>
      <c r="R600">
        <f>_xlfn.IFNA(VLOOKUP(P600,PGOPHER!A$2:G$181,7,FALSE),_xlfn.IFNA(VLOOKUP(P600,en!A$2:I$768,7,FALSE),-10000))</f>
        <v>3062.6052</v>
      </c>
      <c r="S600">
        <f>IF(O600=O599,Q599+S599,Q600)</f>
        <v>17312.835200000001</v>
      </c>
      <c r="T600">
        <f>IF(O600=O599,T599+1,1)</f>
        <v>1</v>
      </c>
      <c r="U600" t="str">
        <f>IF(O600=O601,"",S600/T600)</f>
        <v/>
      </c>
      <c r="V600" t="str">
        <f>IF(U600="","",IF(ABS(Q600-U600)&gt;V$1,"error",""))</f>
        <v/>
      </c>
    </row>
    <row r="601" spans="1:22" x14ac:dyDescent="0.55000000000000004">
      <c r="A601">
        <v>14640.26</v>
      </c>
      <c r="B601" s="1">
        <v>0.3034</v>
      </c>
      <c r="C601" s="1">
        <v>0.3034</v>
      </c>
      <c r="D601" s="2" t="s">
        <v>1515</v>
      </c>
      <c r="E601">
        <v>1</v>
      </c>
      <c r="F601" s="2" t="s">
        <v>2</v>
      </c>
      <c r="G601">
        <v>0</v>
      </c>
      <c r="H601">
        <v>28.5</v>
      </c>
      <c r="I601" s="2" t="s">
        <v>0</v>
      </c>
      <c r="J601">
        <v>1</v>
      </c>
      <c r="K601" s="2" t="s">
        <v>2</v>
      </c>
      <c r="L601">
        <v>0</v>
      </c>
      <c r="M601">
        <v>27.5</v>
      </c>
      <c r="N601" s="2" t="s">
        <v>1736</v>
      </c>
      <c r="O601" t="str">
        <f>D601&amp;"-"&amp;E601&amp;"-"&amp;F601&amp;"-"&amp;G601&amp;"-"&amp;H601</f>
        <v>B-1-e-0-28.5</v>
      </c>
      <c r="P601" t="str">
        <f>I601&amp;"-"&amp;J601&amp;"-"&amp;K601&amp;"-"&amp;L601&amp;"-"&amp;M601</f>
        <v>X-1-e-0-27.5</v>
      </c>
      <c r="Q601">
        <f>A601+R601</f>
        <v>17312.829894000002</v>
      </c>
      <c r="R601">
        <f>_xlfn.IFNA(VLOOKUP(P601,PGOPHER!A$2:G$181,7,FALSE),_xlfn.IFNA(VLOOKUP(P601,en!A$2:I$768,7,FALSE),-10000))</f>
        <v>2672.5698940000002</v>
      </c>
      <c r="S601">
        <f>IF(O601=O600,Q600+S600,Q601)</f>
        <v>34625.670400000003</v>
      </c>
      <c r="T601">
        <f>IF(O601=O600,T600+1,1)</f>
        <v>2</v>
      </c>
      <c r="U601">
        <f>IF(O601=O602,"",S601/T601)</f>
        <v>17312.835200000001</v>
      </c>
      <c r="V601" t="str">
        <f>IF(U601="","",IF(ABS(Q601-U601)&gt;V$1,"error",""))</f>
        <v/>
      </c>
    </row>
    <row r="602" spans="1:22" x14ac:dyDescent="0.55000000000000004">
      <c r="A602">
        <v>14267.92</v>
      </c>
      <c r="B602" s="1">
        <v>1.7130000000000001</v>
      </c>
      <c r="C602" s="1">
        <v>1.7130000000000001</v>
      </c>
      <c r="D602" s="2" t="s">
        <v>1515</v>
      </c>
      <c r="E602">
        <v>1</v>
      </c>
      <c r="F602" s="2" t="s">
        <v>2</v>
      </c>
      <c r="G602">
        <v>1</v>
      </c>
      <c r="H602">
        <v>28.5</v>
      </c>
      <c r="I602" s="2" t="s">
        <v>0</v>
      </c>
      <c r="J602">
        <v>1</v>
      </c>
      <c r="K602" s="2" t="s">
        <v>2</v>
      </c>
      <c r="L602">
        <v>1</v>
      </c>
      <c r="M602">
        <v>29.5</v>
      </c>
      <c r="N602" s="2" t="s">
        <v>1575</v>
      </c>
      <c r="O602" t="str">
        <f>D602&amp;"-"&amp;E602&amp;"-"&amp;F602&amp;"-"&amp;G602&amp;"-"&amp;H602</f>
        <v>B-1-e-1-28.5</v>
      </c>
      <c r="P602" t="str">
        <f>I602&amp;"-"&amp;J602&amp;"-"&amp;K602&amp;"-"&amp;L602&amp;"-"&amp;M602</f>
        <v>X-1-e-1-29.5</v>
      </c>
      <c r="Q602">
        <f>A602+R602</f>
        <v>18433.586224999999</v>
      </c>
      <c r="R602">
        <f>_xlfn.IFNA(VLOOKUP(P602,PGOPHER!A$2:G$181,7,FALSE),_xlfn.IFNA(VLOOKUP(P602,en!A$2:I$768,7,FALSE),-10000))</f>
        <v>4165.6662249999999</v>
      </c>
      <c r="S602">
        <f>IF(O602=O601,Q601+S601,Q602)</f>
        <v>18433.586224999999</v>
      </c>
      <c r="T602">
        <f>IF(O602=O601,T601+1,1)</f>
        <v>1</v>
      </c>
      <c r="U602" t="str">
        <f>IF(O602=O603,"",S602/T602)</f>
        <v/>
      </c>
      <c r="V602" t="str">
        <f>IF(U602="","",IF(ABS(Q602-U602)&gt;V$1,"error",""))</f>
        <v/>
      </c>
    </row>
    <row r="603" spans="1:22" x14ac:dyDescent="0.55000000000000004">
      <c r="A603">
        <v>14645.68</v>
      </c>
      <c r="B603" s="1">
        <v>1.7130000000000001</v>
      </c>
      <c r="C603" s="1">
        <v>1.7130000000000001</v>
      </c>
      <c r="D603" s="2" t="s">
        <v>1515</v>
      </c>
      <c r="E603">
        <v>1</v>
      </c>
      <c r="F603" s="2" t="s">
        <v>2</v>
      </c>
      <c r="G603">
        <v>1</v>
      </c>
      <c r="H603">
        <v>28.5</v>
      </c>
      <c r="I603" s="2" t="s">
        <v>0</v>
      </c>
      <c r="J603">
        <v>1</v>
      </c>
      <c r="K603" s="2" t="s">
        <v>2</v>
      </c>
      <c r="L603">
        <v>1</v>
      </c>
      <c r="M603">
        <v>27.5</v>
      </c>
      <c r="N603" s="2" t="s">
        <v>1542</v>
      </c>
      <c r="O603" t="str">
        <f>D603&amp;"-"&amp;E603&amp;"-"&amp;F603&amp;"-"&amp;G603&amp;"-"&amp;H603</f>
        <v>B-1-e-1-28.5</v>
      </c>
      <c r="P603" t="str">
        <f>I603&amp;"-"&amp;J603&amp;"-"&amp;K603&amp;"-"&amp;L603&amp;"-"&amp;M603</f>
        <v>X-1-e-1-27.5</v>
      </c>
      <c r="Q603">
        <f>A603+R603</f>
        <v>18430.43981</v>
      </c>
      <c r="R603">
        <f>_xlfn.IFNA(VLOOKUP(P603,PGOPHER!A$2:G$181,7,FALSE),_xlfn.IFNA(VLOOKUP(P603,en!A$2:I$768,7,FALSE),-10000))</f>
        <v>3784.75981</v>
      </c>
      <c r="S603">
        <f>IF(O603=O602,Q602+S602,Q603)</f>
        <v>36867.172449999998</v>
      </c>
      <c r="T603">
        <f>IF(O603=O602,T602+1,1)</f>
        <v>2</v>
      </c>
      <c r="U603">
        <f>IF(O603=O604,"",S603/T603)</f>
        <v>18433.586224999999</v>
      </c>
      <c r="V603" t="str">
        <f>IF(U603="","",IF(ABS(Q603-U603)&gt;V$1,"error",""))</f>
        <v>error</v>
      </c>
    </row>
    <row r="604" spans="1:22" x14ac:dyDescent="0.55000000000000004">
      <c r="A604">
        <v>14346.03</v>
      </c>
      <c r="B604" s="1">
        <v>0.01</v>
      </c>
      <c r="C604" s="1">
        <v>0.01</v>
      </c>
      <c r="D604" s="2" t="s">
        <v>1515</v>
      </c>
      <c r="E604">
        <v>2</v>
      </c>
      <c r="F604" s="2" t="s">
        <v>1</v>
      </c>
      <c r="G604">
        <v>0</v>
      </c>
      <c r="H604">
        <v>28.5</v>
      </c>
      <c r="I604" s="2" t="s">
        <v>0</v>
      </c>
      <c r="J604">
        <v>2</v>
      </c>
      <c r="K604" s="2" t="s">
        <v>1</v>
      </c>
      <c r="L604">
        <v>0</v>
      </c>
      <c r="M604">
        <v>29.5</v>
      </c>
      <c r="N604" s="2" t="s">
        <v>1765</v>
      </c>
      <c r="O604" t="str">
        <f>D604&amp;"-"&amp;E604&amp;"-"&amp;F604&amp;"-"&amp;G604&amp;"-"&amp;H604</f>
        <v>B-2-f-0-28.5</v>
      </c>
      <c r="P604" t="str">
        <f>I604&amp;"-"&amp;J604&amp;"-"&amp;K604&amp;"-"&amp;L604&amp;"-"&amp;M604</f>
        <v>X-2-f-0-29.5</v>
      </c>
      <c r="Q604">
        <f>A604+R604</f>
        <v>17609.114298</v>
      </c>
      <c r="R604">
        <f>_xlfn.IFNA(VLOOKUP(P604,PGOPHER!A$2:G$181,7,FALSE),_xlfn.IFNA(VLOOKUP(P604,en!A$2:I$768,7,FALSE),-10000))</f>
        <v>3263.0842980000002</v>
      </c>
      <c r="S604">
        <f>IF(O604=O603,Q603+S603,Q604)</f>
        <v>17609.114298</v>
      </c>
      <c r="T604">
        <f>IF(O604=O603,T603+1,1)</f>
        <v>1</v>
      </c>
      <c r="U604">
        <f>IF(O604=O605,"",S604/T604)</f>
        <v>17609.114298</v>
      </c>
      <c r="V604" t="str">
        <f>IF(U604="","",IF(ABS(Q604-U604)&gt;V$1,"error",""))</f>
        <v/>
      </c>
    </row>
    <row r="605" spans="1:22" x14ac:dyDescent="0.55000000000000004">
      <c r="A605">
        <v>14353.8</v>
      </c>
      <c r="B605" s="1">
        <v>0.01</v>
      </c>
      <c r="C605" s="1">
        <v>0.01</v>
      </c>
      <c r="D605" s="2" t="s">
        <v>1515</v>
      </c>
      <c r="E605">
        <v>2</v>
      </c>
      <c r="F605" s="2" t="s">
        <v>1</v>
      </c>
      <c r="G605">
        <v>1</v>
      </c>
      <c r="H605">
        <v>28.5</v>
      </c>
      <c r="I605" s="2" t="s">
        <v>0</v>
      </c>
      <c r="J605">
        <v>2</v>
      </c>
      <c r="K605" s="2" t="s">
        <v>1</v>
      </c>
      <c r="L605">
        <v>1</v>
      </c>
      <c r="M605">
        <v>29.5</v>
      </c>
      <c r="N605" s="2" t="s">
        <v>1623</v>
      </c>
      <c r="O605" t="str">
        <f>D605&amp;"-"&amp;E605&amp;"-"&amp;F605&amp;"-"&amp;G605&amp;"-"&amp;H605</f>
        <v>B-2-f-1-28.5</v>
      </c>
      <c r="P605" t="str">
        <f>I605&amp;"-"&amp;J605&amp;"-"&amp;K605&amp;"-"&amp;L605&amp;"-"&amp;M605</f>
        <v>X-2-f-1-29.5</v>
      </c>
      <c r="Q605">
        <f>A605+R605</f>
        <v>18715.293534</v>
      </c>
      <c r="R605">
        <f>_xlfn.IFNA(VLOOKUP(P605,PGOPHER!A$2:G$181,7,FALSE),_xlfn.IFNA(VLOOKUP(P605,en!A$2:I$768,7,FALSE),-10000))</f>
        <v>4361.4935340000002</v>
      </c>
      <c r="S605">
        <f>IF(O605=O604,Q604+S604,Q605)</f>
        <v>18715.293534</v>
      </c>
      <c r="T605">
        <f>IF(O605=O604,T604+1,1)</f>
        <v>1</v>
      </c>
      <c r="U605">
        <f>IF(O605=O606,"",S605/T605)</f>
        <v>18715.293534</v>
      </c>
      <c r="V605" t="str">
        <f>IF(U605="","",IF(ABS(Q605-U605)&gt;V$1,"error",""))</f>
        <v/>
      </c>
    </row>
    <row r="606" spans="1:22" x14ac:dyDescent="0.55000000000000004">
      <c r="A606">
        <v>14654.21</v>
      </c>
      <c r="B606" s="1">
        <v>0.45540000000000003</v>
      </c>
      <c r="C606" s="1">
        <v>0.45540000000000003</v>
      </c>
      <c r="D606" s="2" t="s">
        <v>1515</v>
      </c>
      <c r="E606">
        <v>1</v>
      </c>
      <c r="F606" s="2" t="s">
        <v>2</v>
      </c>
      <c r="G606">
        <v>0</v>
      </c>
      <c r="H606">
        <v>29.5</v>
      </c>
      <c r="I606" s="2" t="s">
        <v>0</v>
      </c>
      <c r="J606">
        <v>1</v>
      </c>
      <c r="K606" s="2" t="s">
        <v>2</v>
      </c>
      <c r="L606">
        <v>0</v>
      </c>
      <c r="M606">
        <v>28.5</v>
      </c>
      <c r="N606" s="2" t="s">
        <v>1737</v>
      </c>
      <c r="O606" t="str">
        <f>D606&amp;"-"&amp;E606&amp;"-"&amp;F606&amp;"-"&amp;G606&amp;"-"&amp;H606</f>
        <v>B-1-e-0-29.5</v>
      </c>
      <c r="P606" t="str">
        <f>I606&amp;"-"&amp;J606&amp;"-"&amp;K606&amp;"-"&amp;L606&amp;"-"&amp;M606</f>
        <v>X-1-e-0-28.5</v>
      </c>
      <c r="Q606">
        <f>A606+R606</f>
        <v>17518.784124999998</v>
      </c>
      <c r="R606">
        <f>_xlfn.IFNA(VLOOKUP(P606,PGOPHER!A$2:G$181,7,FALSE),_xlfn.IFNA(VLOOKUP(P606,en!A$2:I$768,7,FALSE),-10000))</f>
        <v>2864.5741250000001</v>
      </c>
      <c r="S606">
        <f>IF(O606=O605,Q605+S605,Q606)</f>
        <v>17518.784124999998</v>
      </c>
      <c r="T606">
        <f>IF(O606=O605,T605+1,1)</f>
        <v>1</v>
      </c>
      <c r="U606" t="str">
        <f>IF(O606=O607,"",S606/T606)</f>
        <v/>
      </c>
      <c r="V606" t="str">
        <f>IF(U606="","",IF(ABS(Q606-U606)&gt;V$1,"error",""))</f>
        <v/>
      </c>
    </row>
    <row r="607" spans="1:22" x14ac:dyDescent="0.55000000000000004">
      <c r="A607">
        <v>14252.35</v>
      </c>
      <c r="B607" s="1">
        <v>0.45540000000000003</v>
      </c>
      <c r="C607" s="1">
        <v>0.45540000000000003</v>
      </c>
      <c r="D607" s="2" t="s">
        <v>1515</v>
      </c>
      <c r="E607">
        <v>1</v>
      </c>
      <c r="F607" s="2" t="s">
        <v>2</v>
      </c>
      <c r="G607">
        <v>0</v>
      </c>
      <c r="H607">
        <v>29.5</v>
      </c>
      <c r="I607" s="2" t="s">
        <v>0</v>
      </c>
      <c r="J607">
        <v>1</v>
      </c>
      <c r="K607" s="2" t="s">
        <v>2</v>
      </c>
      <c r="L607">
        <v>0</v>
      </c>
      <c r="M607">
        <v>30.5</v>
      </c>
      <c r="N607" s="2" t="s">
        <v>1695</v>
      </c>
      <c r="O607" t="str">
        <f>D607&amp;"-"&amp;E607&amp;"-"&amp;F607&amp;"-"&amp;G607&amp;"-"&amp;H607</f>
        <v>B-1-e-0-29.5</v>
      </c>
      <c r="P607" t="str">
        <f>I607&amp;"-"&amp;J607&amp;"-"&amp;K607&amp;"-"&amp;L607&amp;"-"&amp;M607</f>
        <v>X-1-e-0-30.5</v>
      </c>
      <c r="Q607">
        <f>A607+R607</f>
        <v>17518.824027999999</v>
      </c>
      <c r="R607">
        <f>_xlfn.IFNA(VLOOKUP(P607,PGOPHER!A$2:G$181,7,FALSE),_xlfn.IFNA(VLOOKUP(P607,en!A$2:I$768,7,FALSE),-10000))</f>
        <v>3266.4740280000001</v>
      </c>
      <c r="S607">
        <f>IF(O607=O606,Q606+S606,Q607)</f>
        <v>35037.568249999997</v>
      </c>
      <c r="T607">
        <f>IF(O607=O606,T606+1,1)</f>
        <v>2</v>
      </c>
      <c r="U607">
        <f>IF(O607=O608,"",S607/T607)</f>
        <v>17518.784124999998</v>
      </c>
      <c r="V607" t="str">
        <f>IF(U607="","",IF(ABS(Q607-U607)&gt;V$1,"error",""))</f>
        <v/>
      </c>
    </row>
    <row r="608" spans="1:22" x14ac:dyDescent="0.55000000000000004">
      <c r="A608">
        <v>14658.56</v>
      </c>
      <c r="B608" s="1">
        <v>2.3559999999999999</v>
      </c>
      <c r="C608" s="1">
        <v>2.3559999999999999</v>
      </c>
      <c r="D608" s="2" t="s">
        <v>1515</v>
      </c>
      <c r="E608">
        <v>1</v>
      </c>
      <c r="F608" s="2" t="s">
        <v>2</v>
      </c>
      <c r="G608">
        <v>1</v>
      </c>
      <c r="H608">
        <v>29.5</v>
      </c>
      <c r="I608" s="2" t="s">
        <v>0</v>
      </c>
      <c r="J608">
        <v>1</v>
      </c>
      <c r="K608" s="2" t="s">
        <v>2</v>
      </c>
      <c r="L608">
        <v>1</v>
      </c>
      <c r="M608">
        <v>28.5</v>
      </c>
      <c r="N608" s="2" t="s">
        <v>1543</v>
      </c>
      <c r="O608" t="str">
        <f>D608&amp;"-"&amp;E608&amp;"-"&amp;F608&amp;"-"&amp;G608&amp;"-"&amp;H608</f>
        <v>B-1-e-1-29.5</v>
      </c>
      <c r="P608" t="str">
        <f>I608&amp;"-"&amp;J608&amp;"-"&amp;K608&amp;"-"&amp;L608&amp;"-"&amp;M608</f>
        <v>X-1-e-1-28.5</v>
      </c>
      <c r="Q608">
        <f>A608+R608</f>
        <v>18630.843573999999</v>
      </c>
      <c r="R608">
        <f>_xlfn.IFNA(VLOOKUP(P608,PGOPHER!A$2:G$181,7,FALSE),_xlfn.IFNA(VLOOKUP(P608,en!A$2:I$768,7,FALSE),-10000))</f>
        <v>3972.283574</v>
      </c>
      <c r="S608">
        <f>IF(O608=O607,Q607+S607,Q608)</f>
        <v>18630.843573999999</v>
      </c>
      <c r="T608">
        <f>IF(O608=O607,T607+1,1)</f>
        <v>1</v>
      </c>
      <c r="U608" t="str">
        <f>IF(O608=O609,"",S608/T608)</f>
        <v/>
      </c>
      <c r="V608" t="str">
        <f>IF(U608="","",IF(ABS(Q608-U608)&gt;V$1,"error",""))</f>
        <v/>
      </c>
    </row>
    <row r="609" spans="1:22" x14ac:dyDescent="0.55000000000000004">
      <c r="A609">
        <v>14270.3</v>
      </c>
      <c r="B609" s="1">
        <v>2.3559999999999999</v>
      </c>
      <c r="C609" s="1">
        <v>2.3559999999999999</v>
      </c>
      <c r="D609" s="2" t="s">
        <v>1515</v>
      </c>
      <c r="E609">
        <v>1</v>
      </c>
      <c r="F609" s="2" t="s">
        <v>2</v>
      </c>
      <c r="G609">
        <v>1</v>
      </c>
      <c r="H609">
        <v>29.5</v>
      </c>
      <c r="I609" s="2" t="s">
        <v>0</v>
      </c>
      <c r="J609">
        <v>1</v>
      </c>
      <c r="K609" s="2" t="s">
        <v>2</v>
      </c>
      <c r="L609">
        <v>1</v>
      </c>
      <c r="M609">
        <v>30.5</v>
      </c>
      <c r="N609" s="2" t="s">
        <v>1576</v>
      </c>
      <c r="O609" t="str">
        <f>D609&amp;"-"&amp;E609&amp;"-"&amp;F609&amp;"-"&amp;G609&amp;"-"&amp;H609</f>
        <v>B-1-e-1-29.5</v>
      </c>
      <c r="P609" t="str">
        <f>I609&amp;"-"&amp;J609&amp;"-"&amp;K609&amp;"-"&amp;L609&amp;"-"&amp;M609</f>
        <v>X-1-e-1-30.5</v>
      </c>
      <c r="Q609">
        <f>A609+R609</f>
        <v>18635.132579999998</v>
      </c>
      <c r="R609">
        <f>_xlfn.IFNA(VLOOKUP(P609,PGOPHER!A$2:G$181,7,FALSE),_xlfn.IFNA(VLOOKUP(P609,en!A$2:I$768,7,FALSE),-10000))</f>
        <v>4364.8325800000002</v>
      </c>
      <c r="S609">
        <f>IF(O609=O608,Q608+S608,Q609)</f>
        <v>37261.687147999997</v>
      </c>
      <c r="T609">
        <f>IF(O609=O608,T608+1,1)</f>
        <v>2</v>
      </c>
      <c r="U609">
        <f>IF(O609=O610,"",S609/T609)</f>
        <v>18630.843573999999</v>
      </c>
      <c r="V609" t="str">
        <f>IF(U609="","",IF(ABS(Q609-U609)&gt;V$1,"error",""))</f>
        <v>error</v>
      </c>
    </row>
    <row r="610" spans="1:22" x14ac:dyDescent="0.55000000000000004">
      <c r="A610">
        <v>14350.2</v>
      </c>
      <c r="B610" s="1">
        <v>0.01</v>
      </c>
      <c r="C610" s="1">
        <v>0.01</v>
      </c>
      <c r="D610" s="2" t="s">
        <v>1515</v>
      </c>
      <c r="E610">
        <v>2</v>
      </c>
      <c r="F610" s="2" t="s">
        <v>1</v>
      </c>
      <c r="G610">
        <v>0</v>
      </c>
      <c r="H610">
        <v>29.5</v>
      </c>
      <c r="I610" s="2" t="s">
        <v>0</v>
      </c>
      <c r="J610">
        <v>2</v>
      </c>
      <c r="K610" s="2" t="s">
        <v>1</v>
      </c>
      <c r="L610">
        <v>0</v>
      </c>
      <c r="M610">
        <v>30.5</v>
      </c>
      <c r="N610" s="2" t="s">
        <v>1766</v>
      </c>
      <c r="O610" t="str">
        <f>D610&amp;"-"&amp;E610&amp;"-"&amp;F610&amp;"-"&amp;G610&amp;"-"&amp;H610</f>
        <v>B-2-f-0-29.5</v>
      </c>
      <c r="P610" t="str">
        <f>I610&amp;"-"&amp;J610&amp;"-"&amp;K610&amp;"-"&amp;L610&amp;"-"&amp;M610</f>
        <v>X-2-f-0-30.5</v>
      </c>
      <c r="Q610">
        <f>A610+R610</f>
        <v>17822.782844000001</v>
      </c>
      <c r="R610">
        <f>_xlfn.IFNA(VLOOKUP(P610,PGOPHER!A$2:G$181,7,FALSE),_xlfn.IFNA(VLOOKUP(P610,en!A$2:I$768,7,FALSE),-10000))</f>
        <v>3472.582844</v>
      </c>
      <c r="S610">
        <f>IF(O610=O609,Q609+S609,Q610)</f>
        <v>17822.782844000001</v>
      </c>
      <c r="T610">
        <f>IF(O610=O609,T609+1,1)</f>
        <v>1</v>
      </c>
      <c r="U610">
        <f>IF(O610=O611,"",S610/T610)</f>
        <v>17822.782844000001</v>
      </c>
      <c r="V610" t="str">
        <f>IF(U610="","",IF(ABS(Q610-U610)&gt;V$1,"error",""))</f>
        <v/>
      </c>
    </row>
    <row r="611" spans="1:22" x14ac:dyDescent="0.55000000000000004">
      <c r="A611">
        <v>14357.01</v>
      </c>
      <c r="B611" s="1">
        <v>0.01</v>
      </c>
      <c r="C611" s="1">
        <v>0.01</v>
      </c>
      <c r="D611" s="2" t="s">
        <v>1515</v>
      </c>
      <c r="E611">
        <v>2</v>
      </c>
      <c r="F611" s="2" t="s">
        <v>1</v>
      </c>
      <c r="G611">
        <v>1</v>
      </c>
      <c r="H611">
        <v>29.5</v>
      </c>
      <c r="I611" s="2" t="s">
        <v>0</v>
      </c>
      <c r="J611">
        <v>2</v>
      </c>
      <c r="K611" s="2" t="s">
        <v>1</v>
      </c>
      <c r="L611">
        <v>1</v>
      </c>
      <c r="M611">
        <v>30.5</v>
      </c>
      <c r="N611" s="2" t="s">
        <v>1624</v>
      </c>
      <c r="O611" t="str">
        <f>D611&amp;"-"&amp;E611&amp;"-"&amp;F611&amp;"-"&amp;G611&amp;"-"&amp;H611</f>
        <v>B-2-f-1-29.5</v>
      </c>
      <c r="P611" t="str">
        <f>I611&amp;"-"&amp;J611&amp;"-"&amp;K611&amp;"-"&amp;L611&amp;"-"&amp;M611</f>
        <v>X-2-f-1-30.5</v>
      </c>
      <c r="Q611">
        <f>A611+R611</f>
        <v>18923.247113000001</v>
      </c>
      <c r="R611">
        <f>_xlfn.IFNA(VLOOKUP(P611,PGOPHER!A$2:G$181,7,FALSE),_xlfn.IFNA(VLOOKUP(P611,en!A$2:I$768,7,FALSE),-10000))</f>
        <v>4566.2371130000001</v>
      </c>
      <c r="S611">
        <f>IF(O611=O610,Q610+S610,Q611)</f>
        <v>18923.247113000001</v>
      </c>
      <c r="T611">
        <f>IF(O611=O610,T610+1,1)</f>
        <v>1</v>
      </c>
      <c r="U611">
        <f>IF(O611=O612,"",S611/T611)</f>
        <v>18923.247113000001</v>
      </c>
      <c r="V611" t="str">
        <f>IF(U611="","",IF(ABS(Q611-U611)&gt;V$1,"error",""))</f>
        <v/>
      </c>
    </row>
    <row r="612" spans="1:22" x14ac:dyDescent="0.55000000000000004">
      <c r="A612">
        <v>14668.26</v>
      </c>
      <c r="B612" s="1">
        <v>1.141</v>
      </c>
      <c r="C612" s="1">
        <v>1.141</v>
      </c>
      <c r="D612" s="2" t="s">
        <v>1515</v>
      </c>
      <c r="E612">
        <v>1</v>
      </c>
      <c r="F612" s="2" t="s">
        <v>2</v>
      </c>
      <c r="G612">
        <v>0</v>
      </c>
      <c r="H612">
        <v>30.5</v>
      </c>
      <c r="I612" s="2" t="s">
        <v>0</v>
      </c>
      <c r="J612">
        <v>1</v>
      </c>
      <c r="K612" s="2" t="s">
        <v>2</v>
      </c>
      <c r="L612">
        <v>0</v>
      </c>
      <c r="M612">
        <v>29.5</v>
      </c>
      <c r="N612" s="2" t="s">
        <v>1738</v>
      </c>
      <c r="O612" t="str">
        <f>D612&amp;"-"&amp;E612&amp;"-"&amp;F612&amp;"-"&amp;G612&amp;"-"&amp;H612</f>
        <v>B-1-e-0-30.5</v>
      </c>
      <c r="P612" t="str">
        <f>I612&amp;"-"&amp;J612&amp;"-"&amp;K612&amp;"-"&amp;L612&amp;"-"&amp;M612</f>
        <v>X-1-e-0-29.5</v>
      </c>
      <c r="Q612">
        <f>A612+R612</f>
        <v>17730.8652</v>
      </c>
      <c r="R612">
        <f>_xlfn.IFNA(VLOOKUP(P612,PGOPHER!A$2:G$181,7,FALSE),_xlfn.IFNA(VLOOKUP(P612,en!A$2:I$768,7,FALSE),-10000))</f>
        <v>3062.6052</v>
      </c>
      <c r="S612">
        <f>IF(O612=O611,Q611+S611,Q612)</f>
        <v>17730.8652</v>
      </c>
      <c r="T612">
        <f>IF(O612=O611,T611+1,1)</f>
        <v>1</v>
      </c>
      <c r="U612" t="str">
        <f>IF(O612=O613,"",S612/T612)</f>
        <v/>
      </c>
      <c r="V612" t="str">
        <f>IF(U612="","",IF(ABS(Q612-U612)&gt;V$1,"error",""))</f>
        <v/>
      </c>
    </row>
    <row r="613" spans="1:22" x14ac:dyDescent="0.55000000000000004">
      <c r="A613">
        <v>14254.48</v>
      </c>
      <c r="B613" s="1">
        <v>1.141</v>
      </c>
      <c r="C613" s="1">
        <v>1.141</v>
      </c>
      <c r="D613" s="2" t="s">
        <v>1515</v>
      </c>
      <c r="E613">
        <v>1</v>
      </c>
      <c r="F613" s="2" t="s">
        <v>2</v>
      </c>
      <c r="G613">
        <v>0</v>
      </c>
      <c r="H613">
        <v>30.5</v>
      </c>
      <c r="I613" s="2" t="s">
        <v>0</v>
      </c>
      <c r="J613">
        <v>1</v>
      </c>
      <c r="K613" s="2" t="s">
        <v>2</v>
      </c>
      <c r="L613">
        <v>0</v>
      </c>
      <c r="M613">
        <v>31.5</v>
      </c>
      <c r="N613" s="2" t="s">
        <v>1696</v>
      </c>
      <c r="O613" t="str">
        <f>D613&amp;"-"&amp;E613&amp;"-"&amp;F613&amp;"-"&amp;G613&amp;"-"&amp;H613</f>
        <v>B-1-e-0-30.5</v>
      </c>
      <c r="P613" t="str">
        <f>I613&amp;"-"&amp;J613&amp;"-"&amp;K613&amp;"-"&amp;L613&amp;"-"&amp;M613</f>
        <v>X-1-e-0-31.5</v>
      </c>
      <c r="Q613">
        <f>A613+R613</f>
        <v>17730.541506000001</v>
      </c>
      <c r="R613">
        <f>_xlfn.IFNA(VLOOKUP(P613,PGOPHER!A$2:G$181,7,FALSE),_xlfn.IFNA(VLOOKUP(P613,en!A$2:I$768,7,FALSE),-10000))</f>
        <v>3476.061506</v>
      </c>
      <c r="S613">
        <f>IF(O613=O612,Q612+S612,Q613)</f>
        <v>35461.7304</v>
      </c>
      <c r="T613">
        <f>IF(O613=O612,T612+1,1)</f>
        <v>2</v>
      </c>
      <c r="U613">
        <f>IF(O613=O614,"",S613/T613)</f>
        <v>17730.8652</v>
      </c>
      <c r="V613" t="str">
        <f>IF(U613="","",IF(ABS(Q613-U613)&gt;V$1,"error",""))</f>
        <v/>
      </c>
    </row>
    <row r="614" spans="1:22" x14ac:dyDescent="0.55000000000000004">
      <c r="A614">
        <v>14671.5</v>
      </c>
      <c r="B614" s="1">
        <v>2.7010000000000001</v>
      </c>
      <c r="C614" s="1">
        <v>2.7010000000000001</v>
      </c>
      <c r="D614" s="2" t="s">
        <v>1515</v>
      </c>
      <c r="E614">
        <v>1</v>
      </c>
      <c r="F614" s="2" t="s">
        <v>2</v>
      </c>
      <c r="G614">
        <v>1</v>
      </c>
      <c r="H614">
        <v>30.5</v>
      </c>
      <c r="I614" s="2" t="s">
        <v>0</v>
      </c>
      <c r="J614">
        <v>1</v>
      </c>
      <c r="K614" s="2" t="s">
        <v>2</v>
      </c>
      <c r="L614">
        <v>1</v>
      </c>
      <c r="M614">
        <v>29.5</v>
      </c>
      <c r="N614" s="2" t="s">
        <v>1544</v>
      </c>
      <c r="O614" t="str">
        <f>D614&amp;"-"&amp;E614&amp;"-"&amp;F614&amp;"-"&amp;G614&amp;"-"&amp;H614</f>
        <v>B-1-e-1-30.5</v>
      </c>
      <c r="P614" t="str">
        <f>I614&amp;"-"&amp;J614&amp;"-"&amp;K614&amp;"-"&amp;L614&amp;"-"&amp;M614</f>
        <v>X-1-e-1-29.5</v>
      </c>
      <c r="Q614">
        <f>A614+R614</f>
        <v>18837.166225000001</v>
      </c>
      <c r="R614">
        <f>_xlfn.IFNA(VLOOKUP(P614,PGOPHER!A$2:G$181,7,FALSE),_xlfn.IFNA(VLOOKUP(P614,en!A$2:I$768,7,FALSE),-10000))</f>
        <v>4165.6662249999999</v>
      </c>
      <c r="S614">
        <f>IF(O614=O613,Q613+S613,Q614)</f>
        <v>18837.166225000001</v>
      </c>
      <c r="T614">
        <f>IF(O614=O613,T613+1,1)</f>
        <v>1</v>
      </c>
      <c r="U614" t="str">
        <f>IF(O614=O615,"",S614/T614)</f>
        <v/>
      </c>
      <c r="V614" t="str">
        <f>IF(U614="","",IF(ABS(Q614-U614)&gt;V$1,"error",""))</f>
        <v/>
      </c>
    </row>
    <row r="615" spans="1:22" x14ac:dyDescent="0.55000000000000004">
      <c r="A615">
        <v>14272.5</v>
      </c>
      <c r="B615" s="1">
        <v>2.7010000000000001</v>
      </c>
      <c r="C615" s="1">
        <v>2.7010000000000001</v>
      </c>
      <c r="D615" s="2" t="s">
        <v>1515</v>
      </c>
      <c r="E615">
        <v>1</v>
      </c>
      <c r="F615" s="2" t="s">
        <v>2</v>
      </c>
      <c r="G615">
        <v>1</v>
      </c>
      <c r="H615">
        <v>30.5</v>
      </c>
      <c r="I615" s="2" t="s">
        <v>0</v>
      </c>
      <c r="J615">
        <v>1</v>
      </c>
      <c r="K615" s="2" t="s">
        <v>2</v>
      </c>
      <c r="L615">
        <v>1</v>
      </c>
      <c r="M615">
        <v>31.5</v>
      </c>
      <c r="N615" s="2" t="s">
        <v>1577</v>
      </c>
      <c r="O615" t="str">
        <f>D615&amp;"-"&amp;E615&amp;"-"&amp;F615&amp;"-"&amp;G615&amp;"-"&amp;H615</f>
        <v>B-1-e-1-30.5</v>
      </c>
      <c r="P615" t="str">
        <f>I615&amp;"-"&amp;J615&amp;"-"&amp;K615&amp;"-"&amp;L615&amp;"-"&amp;M615</f>
        <v>X-1-e-1-31.5</v>
      </c>
      <c r="Q615">
        <f>A615+R615</f>
        <v>18842.092737999999</v>
      </c>
      <c r="R615">
        <f>_xlfn.IFNA(VLOOKUP(P615,PGOPHER!A$2:G$181,7,FALSE),_xlfn.IFNA(VLOOKUP(P615,en!A$2:I$768,7,FALSE),-10000))</f>
        <v>4569.5927380000003</v>
      </c>
      <c r="S615">
        <f>IF(O615=O614,Q614+S614,Q615)</f>
        <v>37674.332450000002</v>
      </c>
      <c r="T615">
        <f>IF(O615=O614,T614+1,1)</f>
        <v>2</v>
      </c>
      <c r="U615">
        <f>IF(O615=O616,"",S615/T615)</f>
        <v>18837.166225000001</v>
      </c>
      <c r="V615" t="str">
        <f>IF(U615="","",IF(ABS(Q615-U615)&gt;V$1,"error",""))</f>
        <v>error</v>
      </c>
    </row>
    <row r="616" spans="1:22" x14ac:dyDescent="0.55000000000000004">
      <c r="A616">
        <v>14354.58</v>
      </c>
      <c r="B616" s="1">
        <v>0.01</v>
      </c>
      <c r="C616" s="1">
        <v>0.01</v>
      </c>
      <c r="D616" s="2" t="s">
        <v>1515</v>
      </c>
      <c r="E616">
        <v>2</v>
      </c>
      <c r="F616" s="2" t="s">
        <v>1</v>
      </c>
      <c r="G616">
        <v>0</v>
      </c>
      <c r="H616">
        <v>30.5</v>
      </c>
      <c r="I616" s="2" t="s">
        <v>0</v>
      </c>
      <c r="J616">
        <v>2</v>
      </c>
      <c r="K616" s="2" t="s">
        <v>1</v>
      </c>
      <c r="L616">
        <v>0</v>
      </c>
      <c r="M616">
        <v>31.5</v>
      </c>
      <c r="N616" s="2" t="s">
        <v>1767</v>
      </c>
      <c r="O616" t="str">
        <f>D616&amp;"-"&amp;E616&amp;"-"&amp;F616&amp;"-"&amp;G616&amp;"-"&amp;H616</f>
        <v>B-2-f-0-30.5</v>
      </c>
      <c r="P616" t="str">
        <f>I616&amp;"-"&amp;J616&amp;"-"&amp;K616&amp;"-"&amp;L616&amp;"-"&amp;M616</f>
        <v>X-2-f-0-31.5</v>
      </c>
      <c r="Q616">
        <f>A616+R616</f>
        <v>18039.393808000001</v>
      </c>
      <c r="R616">
        <f>_xlfn.IFNA(VLOOKUP(P616,PGOPHER!A$2:G$181,7,FALSE),_xlfn.IFNA(VLOOKUP(P616,en!A$2:I$768,7,FALSE),-10000))</f>
        <v>3684.8138079999999</v>
      </c>
      <c r="S616">
        <f>IF(O616=O615,Q615+S615,Q616)</f>
        <v>18039.393808000001</v>
      </c>
      <c r="T616">
        <f>IF(O616=O615,T615+1,1)</f>
        <v>1</v>
      </c>
      <c r="U616">
        <f>IF(O616=O617,"",S616/T616)</f>
        <v>18039.393808000001</v>
      </c>
      <c r="V616" t="str">
        <f>IF(U616="","",IF(ABS(Q616-U616)&gt;V$1,"error",""))</f>
        <v/>
      </c>
    </row>
    <row r="617" spans="1:22" x14ac:dyDescent="0.55000000000000004">
      <c r="A617">
        <v>14360.24</v>
      </c>
      <c r="B617" s="1">
        <v>0.01</v>
      </c>
      <c r="C617" s="1">
        <v>0.01</v>
      </c>
      <c r="D617" s="2" t="s">
        <v>1515</v>
      </c>
      <c r="E617">
        <v>2</v>
      </c>
      <c r="F617" s="2" t="s">
        <v>1</v>
      </c>
      <c r="G617">
        <v>1</v>
      </c>
      <c r="H617">
        <v>30.5</v>
      </c>
      <c r="I617" s="2" t="s">
        <v>0</v>
      </c>
      <c r="J617">
        <v>2</v>
      </c>
      <c r="K617" s="2" t="s">
        <v>1</v>
      </c>
      <c r="L617">
        <v>1</v>
      </c>
      <c r="M617">
        <v>31.5</v>
      </c>
      <c r="N617" s="2" t="s">
        <v>1625</v>
      </c>
      <c r="O617" t="str">
        <f>D617&amp;"-"&amp;E617&amp;"-"&amp;F617&amp;"-"&amp;G617&amp;"-"&amp;H617</f>
        <v>B-2-f-1-30.5</v>
      </c>
      <c r="P617" t="str">
        <f>I617&amp;"-"&amp;J617&amp;"-"&amp;K617&amp;"-"&amp;L617&amp;"-"&amp;M617</f>
        <v>X-2-f-1-31.5</v>
      </c>
      <c r="Q617">
        <f>A617+R617</f>
        <v>19136.622628999998</v>
      </c>
      <c r="R617">
        <f>_xlfn.IFNA(VLOOKUP(P617,PGOPHER!A$2:G$181,7,FALSE),_xlfn.IFNA(VLOOKUP(P617,en!A$2:I$768,7,FALSE),-10000))</f>
        <v>4776.3826289999997</v>
      </c>
      <c r="S617">
        <f>IF(O617=O616,Q616+S616,Q617)</f>
        <v>19136.622628999998</v>
      </c>
      <c r="T617">
        <f>IF(O617=O616,T616+1,1)</f>
        <v>1</v>
      </c>
      <c r="U617">
        <f>IF(O617=O618,"",S617/T617)</f>
        <v>19136.622628999998</v>
      </c>
      <c r="V617" t="str">
        <f>IF(U617="","",IF(ABS(Q617-U617)&gt;V$1,"error",""))</f>
        <v/>
      </c>
    </row>
    <row r="618" spans="1:22" x14ac:dyDescent="0.55000000000000004">
      <c r="A618">
        <v>14257.02</v>
      </c>
      <c r="B618" s="1">
        <v>0.01</v>
      </c>
      <c r="C618" s="1">
        <v>0.01</v>
      </c>
      <c r="D618" s="2" t="s">
        <v>1515</v>
      </c>
      <c r="E618">
        <v>1</v>
      </c>
      <c r="F618" s="2" t="s">
        <v>2</v>
      </c>
      <c r="G618">
        <v>0</v>
      </c>
      <c r="H618">
        <v>31.5</v>
      </c>
      <c r="I618" s="2" t="s">
        <v>0</v>
      </c>
      <c r="J618">
        <v>1</v>
      </c>
      <c r="K618" s="2" t="s">
        <v>2</v>
      </c>
      <c r="L618">
        <v>0</v>
      </c>
      <c r="M618">
        <v>32.5</v>
      </c>
      <c r="N618" s="2" t="s">
        <v>1697</v>
      </c>
      <c r="O618" t="str">
        <f>D618&amp;"-"&amp;E618&amp;"-"&amp;F618&amp;"-"&amp;G618&amp;"-"&amp;H618</f>
        <v>B-1-e-0-31.5</v>
      </c>
      <c r="P618" t="str">
        <f>I618&amp;"-"&amp;J618&amp;"-"&amp;K618&amp;"-"&amp;L618&amp;"-"&amp;M618</f>
        <v>X-1-e-0-32.5</v>
      </c>
      <c r="Q618">
        <f>A618+R618</f>
        <v>17945.379163000001</v>
      </c>
      <c r="R618">
        <f>_xlfn.IFNA(VLOOKUP(P618,PGOPHER!A$2:G$181,7,FALSE),_xlfn.IFNA(VLOOKUP(P618,en!A$2:I$768,7,FALSE),-10000))</f>
        <v>3688.3591630000001</v>
      </c>
      <c r="S618">
        <f>IF(O618=O617,Q617+S617,Q618)</f>
        <v>17945.379163000001</v>
      </c>
      <c r="T618">
        <f>IF(O618=O617,T617+1,1)</f>
        <v>1</v>
      </c>
      <c r="U618">
        <f>IF(O618=O619,"",S618/T618)</f>
        <v>17945.379163000001</v>
      </c>
      <c r="V618" t="str">
        <f>IF(U618="","",IF(ABS(Q618-U618)&gt;V$1,"error",""))</f>
        <v/>
      </c>
    </row>
    <row r="619" spans="1:22" x14ac:dyDescent="0.55000000000000004">
      <c r="A619">
        <v>14684.47</v>
      </c>
      <c r="B619" s="1">
        <v>2.8159999999999998</v>
      </c>
      <c r="C619" s="1">
        <v>2.8159999999999998</v>
      </c>
      <c r="D619" s="2" t="s">
        <v>1515</v>
      </c>
      <c r="E619">
        <v>1</v>
      </c>
      <c r="F619" s="2" t="s">
        <v>2</v>
      </c>
      <c r="G619">
        <v>1</v>
      </c>
      <c r="H619">
        <v>31.5</v>
      </c>
      <c r="I619" s="2" t="s">
        <v>0</v>
      </c>
      <c r="J619">
        <v>1</v>
      </c>
      <c r="K619" s="2" t="s">
        <v>2</v>
      </c>
      <c r="L619">
        <v>1</v>
      </c>
      <c r="M619">
        <v>30.5</v>
      </c>
      <c r="N619" s="2" t="s">
        <v>1545</v>
      </c>
      <c r="O619" t="str">
        <f>D619&amp;"-"&amp;E619&amp;"-"&amp;F619&amp;"-"&amp;G619&amp;"-"&amp;H619</f>
        <v>B-1-e-1-31.5</v>
      </c>
      <c r="P619" t="str">
        <f>I619&amp;"-"&amp;J619&amp;"-"&amp;K619&amp;"-"&amp;L619&amp;"-"&amp;M619</f>
        <v>X-1-e-1-30.5</v>
      </c>
      <c r="Q619">
        <f>A619+R619</f>
        <v>19049.30258</v>
      </c>
      <c r="R619">
        <f>_xlfn.IFNA(VLOOKUP(P619,PGOPHER!A$2:G$181,7,FALSE),_xlfn.IFNA(VLOOKUP(P619,en!A$2:I$768,7,FALSE),-10000))</f>
        <v>4364.8325800000002</v>
      </c>
      <c r="S619">
        <f>IF(O619=O618,Q618+S618,Q619)</f>
        <v>19049.30258</v>
      </c>
      <c r="T619">
        <f>IF(O619=O618,T618+1,1)</f>
        <v>1</v>
      </c>
      <c r="U619" t="str">
        <f>IF(O619=O620,"",S619/T619)</f>
        <v/>
      </c>
      <c r="V619" t="str">
        <f>IF(U619="","",IF(ABS(Q619-U619)&gt;V$1,"error",""))</f>
        <v/>
      </c>
    </row>
    <row r="620" spans="1:22" x14ac:dyDescent="0.55000000000000004">
      <c r="A620">
        <v>14274.89</v>
      </c>
      <c r="B620" s="1">
        <v>2.8159999999999998</v>
      </c>
      <c r="C620" s="1">
        <v>2.8159999999999998</v>
      </c>
      <c r="D620" s="2" t="s">
        <v>1515</v>
      </c>
      <c r="E620">
        <v>1</v>
      </c>
      <c r="F620" s="2" t="s">
        <v>2</v>
      </c>
      <c r="G620">
        <v>1</v>
      </c>
      <c r="H620">
        <v>31.5</v>
      </c>
      <c r="I620" s="2" t="s">
        <v>0</v>
      </c>
      <c r="J620">
        <v>1</v>
      </c>
      <c r="K620" s="2" t="s">
        <v>2</v>
      </c>
      <c r="L620">
        <v>1</v>
      </c>
      <c r="M620">
        <v>32.5</v>
      </c>
      <c r="N620" s="2" t="s">
        <v>1578</v>
      </c>
      <c r="O620" t="str">
        <f>D620&amp;"-"&amp;E620&amp;"-"&amp;F620&amp;"-"&amp;G620&amp;"-"&amp;H620</f>
        <v>B-1-e-1-31.5</v>
      </c>
      <c r="P620" t="str">
        <f>I620&amp;"-"&amp;J620&amp;"-"&amp;K620&amp;"-"&amp;L620&amp;"-"&amp;M620</f>
        <v>X-1-e-1-32.5</v>
      </c>
      <c r="Q620">
        <f>A620+R620</f>
        <v>19054.710798</v>
      </c>
      <c r="R620">
        <f>_xlfn.IFNA(VLOOKUP(P620,PGOPHER!A$2:G$181,7,FALSE),_xlfn.IFNA(VLOOKUP(P620,en!A$2:I$768,7,FALSE),-10000))</f>
        <v>4779.8207979999997</v>
      </c>
      <c r="S620">
        <f>IF(O620=O619,Q619+S619,Q620)</f>
        <v>38098.605159999999</v>
      </c>
      <c r="T620">
        <f>IF(O620=O619,T619+1,1)</f>
        <v>2</v>
      </c>
      <c r="U620">
        <f>IF(O620=O621,"",S620/T620)</f>
        <v>19049.30258</v>
      </c>
      <c r="V620" t="str">
        <f>IF(U620="","",IF(ABS(Q620-U620)&gt;V$1,"error",""))</f>
        <v>error</v>
      </c>
    </row>
    <row r="621" spans="1:22" x14ac:dyDescent="0.55000000000000004">
      <c r="A621">
        <v>14359.02</v>
      </c>
      <c r="B621" s="1">
        <v>0.01</v>
      </c>
      <c r="C621" s="1">
        <v>0.01</v>
      </c>
      <c r="D621" s="2" t="s">
        <v>1515</v>
      </c>
      <c r="E621">
        <v>2</v>
      </c>
      <c r="F621" s="2" t="s">
        <v>1</v>
      </c>
      <c r="G621">
        <v>0</v>
      </c>
      <c r="H621">
        <v>31.5</v>
      </c>
      <c r="I621" s="2" t="s">
        <v>0</v>
      </c>
      <c r="J621">
        <v>2</v>
      </c>
      <c r="K621" s="2" t="s">
        <v>1</v>
      </c>
      <c r="L621">
        <v>0</v>
      </c>
      <c r="M621">
        <v>32.5</v>
      </c>
      <c r="N621" s="2" t="s">
        <v>1768</v>
      </c>
      <c r="O621" t="str">
        <f>D621&amp;"-"&amp;E621&amp;"-"&amp;F621&amp;"-"&amp;G621&amp;"-"&amp;H621</f>
        <v>B-2-f-0-31.5</v>
      </c>
      <c r="P621" t="str">
        <f>I621&amp;"-"&amp;J621&amp;"-"&amp;K621&amp;"-"&amp;L621&amp;"-"&amp;M621</f>
        <v>X-2-f-0-32.5</v>
      </c>
      <c r="Q621">
        <f>A621+R621</f>
        <v>18268.201506000001</v>
      </c>
      <c r="R621">
        <f>_xlfn.IFNA(VLOOKUP(P621,PGOPHER!A$2:G$181,7,FALSE),_xlfn.IFNA(VLOOKUP(P621,en!A$2:I$768,7,FALSE),-10000))</f>
        <v>3909.1815059999999</v>
      </c>
      <c r="S621">
        <f>IF(O621=O620,Q620+S620,Q621)</f>
        <v>18268.201506000001</v>
      </c>
      <c r="T621">
        <f>IF(O621=O620,T620+1,1)</f>
        <v>1</v>
      </c>
      <c r="U621">
        <f>IF(O621=O622,"",S621/T621)</f>
        <v>18268.201506000001</v>
      </c>
      <c r="V621" t="str">
        <f>IF(U621="","",IF(ABS(Q621-U621)&gt;V$1,"error",""))</f>
        <v/>
      </c>
    </row>
    <row r="622" spans="1:22" x14ac:dyDescent="0.55000000000000004">
      <c r="A622">
        <v>14363.75</v>
      </c>
      <c r="B622" s="1">
        <v>0.01</v>
      </c>
      <c r="C622" s="1">
        <v>0.01</v>
      </c>
      <c r="D622" s="2" t="s">
        <v>1515</v>
      </c>
      <c r="E622">
        <v>2</v>
      </c>
      <c r="F622" s="2" t="s">
        <v>1</v>
      </c>
      <c r="G622">
        <v>1</v>
      </c>
      <c r="H622">
        <v>31.5</v>
      </c>
      <c r="I622" s="2" t="s">
        <v>0</v>
      </c>
      <c r="J622">
        <v>2</v>
      </c>
      <c r="K622" s="2" t="s">
        <v>1</v>
      </c>
      <c r="L622">
        <v>1</v>
      </c>
      <c r="M622">
        <v>32.5</v>
      </c>
      <c r="N622" s="2" t="s">
        <v>1626</v>
      </c>
      <c r="O622" t="str">
        <f>D622&amp;"-"&amp;E622&amp;"-"&amp;F622&amp;"-"&amp;G622&amp;"-"&amp;H622</f>
        <v>B-2-f-1-31.5</v>
      </c>
      <c r="P622" t="str">
        <f>I622&amp;"-"&amp;J622&amp;"-"&amp;K622&amp;"-"&amp;L622&amp;"-"&amp;M622</f>
        <v>X-2-f-1-32.5</v>
      </c>
      <c r="Q622">
        <f>A622+R622</f>
        <v>19352.764092999998</v>
      </c>
      <c r="R622">
        <f>_xlfn.IFNA(VLOOKUP(P622,PGOPHER!A$2:G$181,7,FALSE),_xlfn.IFNA(VLOOKUP(P622,en!A$2:I$768,7,FALSE),-10000))</f>
        <v>4989.0140929999998</v>
      </c>
      <c r="S622">
        <f>IF(O622=O621,Q621+S621,Q622)</f>
        <v>19352.764092999998</v>
      </c>
      <c r="T622">
        <f>IF(O622=O621,T621+1,1)</f>
        <v>1</v>
      </c>
      <c r="U622">
        <f>IF(O622=O623,"",S622/T622)</f>
        <v>19352.764092999998</v>
      </c>
      <c r="V622" t="str">
        <f>IF(U622="","",IF(ABS(Q622-U622)&gt;V$1,"error",""))</f>
        <v/>
      </c>
    </row>
    <row r="623" spans="1:22" x14ac:dyDescent="0.55000000000000004">
      <c r="A623">
        <v>14259.86</v>
      </c>
      <c r="B623" s="1">
        <v>0.01</v>
      </c>
      <c r="C623" s="1">
        <v>0.01</v>
      </c>
      <c r="D623" s="2" t="s">
        <v>1515</v>
      </c>
      <c r="E623">
        <v>1</v>
      </c>
      <c r="F623" s="2" t="s">
        <v>2</v>
      </c>
      <c r="G623">
        <v>0</v>
      </c>
      <c r="H623">
        <v>32.5</v>
      </c>
      <c r="I623" s="2" t="s">
        <v>0</v>
      </c>
      <c r="J623">
        <v>1</v>
      </c>
      <c r="K623" s="2" t="s">
        <v>2</v>
      </c>
      <c r="L623">
        <v>0</v>
      </c>
      <c r="M623">
        <v>33.5</v>
      </c>
      <c r="N623" s="2" t="s">
        <v>1698</v>
      </c>
      <c r="O623" t="str">
        <f>D623&amp;"-"&amp;E623&amp;"-"&amp;F623&amp;"-"&amp;G623&amp;"-"&amp;H623</f>
        <v>B-1-e-0-32.5</v>
      </c>
      <c r="P623" t="str">
        <f>I623&amp;"-"&amp;J623&amp;"-"&amp;K623&amp;"-"&amp;L623&amp;"-"&amp;M623</f>
        <v>X-1-e-0-33.5</v>
      </c>
      <c r="Q623">
        <f>A623+R623</f>
        <v>18172.801206</v>
      </c>
      <c r="R623">
        <f>_xlfn.IFNA(VLOOKUP(P623,PGOPHER!A$2:G$181,7,FALSE),_xlfn.IFNA(VLOOKUP(P623,en!A$2:I$768,7,FALSE),-10000))</f>
        <v>3912.941206</v>
      </c>
      <c r="S623">
        <f>IF(O623=O622,Q622+S622,Q623)</f>
        <v>18172.801206</v>
      </c>
      <c r="T623">
        <f>IF(O623=O622,T622+1,1)</f>
        <v>1</v>
      </c>
      <c r="U623">
        <f>IF(O623=O624,"",S623/T623)</f>
        <v>18172.801206</v>
      </c>
      <c r="V623" t="str">
        <f>IF(U623="","",IF(ABS(Q623-U623)&gt;V$1,"error",""))</f>
        <v/>
      </c>
    </row>
    <row r="624" spans="1:22" x14ac:dyDescent="0.55000000000000004">
      <c r="A624">
        <v>14697.55</v>
      </c>
      <c r="B624" s="1">
        <v>1.8620000000000001</v>
      </c>
      <c r="C624" s="1">
        <v>1.8620000000000001</v>
      </c>
      <c r="D624" s="2" t="s">
        <v>1515</v>
      </c>
      <c r="E624">
        <v>1</v>
      </c>
      <c r="F624" s="2" t="s">
        <v>2</v>
      </c>
      <c r="G624">
        <v>1</v>
      </c>
      <c r="H624">
        <v>32.5</v>
      </c>
      <c r="I624" s="2" t="s">
        <v>0</v>
      </c>
      <c r="J624">
        <v>1</v>
      </c>
      <c r="K624" s="2" t="s">
        <v>2</v>
      </c>
      <c r="L624">
        <v>1</v>
      </c>
      <c r="M624">
        <v>31.5</v>
      </c>
      <c r="N624" s="2" t="s">
        <v>1546</v>
      </c>
      <c r="O624" t="str">
        <f>D624&amp;"-"&amp;E624&amp;"-"&amp;F624&amp;"-"&amp;G624&amp;"-"&amp;H624</f>
        <v>B-1-e-1-32.5</v>
      </c>
      <c r="P624" t="str">
        <f>I624&amp;"-"&amp;J624&amp;"-"&amp;K624&amp;"-"&amp;L624&amp;"-"&amp;M624</f>
        <v>X-1-e-1-31.5</v>
      </c>
      <c r="Q624">
        <f>A624+R624</f>
        <v>19267.142737999999</v>
      </c>
      <c r="R624">
        <f>_xlfn.IFNA(VLOOKUP(P624,PGOPHER!A$2:G$181,7,FALSE),_xlfn.IFNA(VLOOKUP(P624,en!A$2:I$768,7,FALSE),-10000))</f>
        <v>4569.5927380000003</v>
      </c>
      <c r="S624">
        <f>IF(O624=O623,Q623+S623,Q624)</f>
        <v>19267.142737999999</v>
      </c>
      <c r="T624">
        <f>IF(O624=O623,T623+1,1)</f>
        <v>1</v>
      </c>
      <c r="U624" t="str">
        <f>IF(O624=O625,"",S624/T624)</f>
        <v/>
      </c>
      <c r="V624" t="str">
        <f>IF(U624="","",IF(ABS(Q624-U624)&gt;V$1,"error",""))</f>
        <v/>
      </c>
    </row>
    <row r="625" spans="1:22" x14ac:dyDescent="0.55000000000000004">
      <c r="A625">
        <v>14278.03</v>
      </c>
      <c r="B625" s="1">
        <v>1.8620000000000001</v>
      </c>
      <c r="C625" s="1">
        <v>1.8620000000000001</v>
      </c>
      <c r="D625" s="2" t="s">
        <v>1515</v>
      </c>
      <c r="E625">
        <v>1</v>
      </c>
      <c r="F625" s="2" t="s">
        <v>2</v>
      </c>
      <c r="G625">
        <v>1</v>
      </c>
      <c r="H625">
        <v>32.5</v>
      </c>
      <c r="I625" s="2" t="s">
        <v>0</v>
      </c>
      <c r="J625">
        <v>1</v>
      </c>
      <c r="K625" s="2" t="s">
        <v>2</v>
      </c>
      <c r="L625">
        <v>1</v>
      </c>
      <c r="M625">
        <v>33.5</v>
      </c>
      <c r="N625" s="2" t="s">
        <v>1579</v>
      </c>
      <c r="O625" t="str">
        <f>D625&amp;"-"&amp;E625&amp;"-"&amp;F625&amp;"-"&amp;G625&amp;"-"&amp;H625</f>
        <v>B-1-e-1-32.5</v>
      </c>
      <c r="P625" t="str">
        <f>I625&amp;"-"&amp;J625&amp;"-"&amp;K625&amp;"-"&amp;L625&amp;"-"&amp;M625</f>
        <v>X-1-e-1-33.5</v>
      </c>
      <c r="Q625">
        <f>A625+R625</f>
        <v>19270.542972000003</v>
      </c>
      <c r="R625">
        <f>_xlfn.IFNA(VLOOKUP(P625,PGOPHER!A$2:G$181,7,FALSE),_xlfn.IFNA(VLOOKUP(P625,en!A$2:I$768,7,FALSE),-10000))</f>
        <v>4992.5129720000004</v>
      </c>
      <c r="S625">
        <f>IF(O625=O624,Q624+S624,Q625)</f>
        <v>38534.285475999997</v>
      </c>
      <c r="T625">
        <f>IF(O625=O624,T624+1,1)</f>
        <v>2</v>
      </c>
      <c r="U625">
        <f>IF(O625=O626,"",S625/T625)</f>
        <v>19267.142737999999</v>
      </c>
      <c r="V625" t="str">
        <f>IF(U625="","",IF(ABS(Q625-U625)&gt;V$1,"error",""))</f>
        <v>error</v>
      </c>
    </row>
    <row r="626" spans="1:22" x14ac:dyDescent="0.55000000000000004">
      <c r="A626">
        <v>14363.79</v>
      </c>
      <c r="B626" s="1">
        <v>0.01</v>
      </c>
      <c r="C626" s="1">
        <v>0.01</v>
      </c>
      <c r="D626" s="2" t="s">
        <v>1515</v>
      </c>
      <c r="E626">
        <v>2</v>
      </c>
      <c r="F626" s="2" t="s">
        <v>1</v>
      </c>
      <c r="G626">
        <v>0</v>
      </c>
      <c r="H626">
        <v>32.5</v>
      </c>
      <c r="I626" s="2" t="s">
        <v>0</v>
      </c>
      <c r="J626">
        <v>2</v>
      </c>
      <c r="K626" s="2" t="s">
        <v>1</v>
      </c>
      <c r="L626">
        <v>0</v>
      </c>
      <c r="M626">
        <v>33.5</v>
      </c>
      <c r="N626" s="2" t="s">
        <v>1769</v>
      </c>
      <c r="O626" t="str">
        <f>D626&amp;"-"&amp;E626&amp;"-"&amp;F626&amp;"-"&amp;G626&amp;"-"&amp;H626</f>
        <v>B-2-f-0-32.5</v>
      </c>
      <c r="P626" t="str">
        <f>I626&amp;"-"&amp;J626&amp;"-"&amp;K626&amp;"-"&amp;L626&amp;"-"&amp;M626</f>
        <v>X-2-f-0-33.5</v>
      </c>
      <c r="Q626">
        <f>A626+R626</f>
        <v>18496.409163</v>
      </c>
      <c r="R626">
        <f>_xlfn.IFNA(VLOOKUP(P626,PGOPHER!A$2:G$181,7,FALSE),_xlfn.IFNA(VLOOKUP(P626,en!A$2:I$768,7,FALSE),-10000))</f>
        <v>4132.6191630000003</v>
      </c>
      <c r="S626">
        <f>IF(O626=O625,Q625+S625,Q626)</f>
        <v>18496.409163</v>
      </c>
      <c r="T626">
        <f>IF(O626=O625,T625+1,1)</f>
        <v>1</v>
      </c>
      <c r="U626">
        <f>IF(O626=O627,"",S626/T626)</f>
        <v>18496.409163</v>
      </c>
      <c r="V626" t="str">
        <f>IF(U626="","",IF(ABS(Q626-U626)&gt;V$1,"error",""))</f>
        <v/>
      </c>
    </row>
    <row r="627" spans="1:22" x14ac:dyDescent="0.55000000000000004">
      <c r="A627">
        <v>14262.85</v>
      </c>
      <c r="B627" s="1">
        <v>0.01</v>
      </c>
      <c r="C627" s="1">
        <v>0.01</v>
      </c>
      <c r="D627" s="2" t="s">
        <v>1515</v>
      </c>
      <c r="E627">
        <v>1</v>
      </c>
      <c r="F627" s="2" t="s">
        <v>2</v>
      </c>
      <c r="G627">
        <v>0</v>
      </c>
      <c r="H627">
        <v>33.5</v>
      </c>
      <c r="I627" s="2" t="s">
        <v>0</v>
      </c>
      <c r="J627">
        <v>1</v>
      </c>
      <c r="K627" s="2" t="s">
        <v>2</v>
      </c>
      <c r="L627">
        <v>0</v>
      </c>
      <c r="M627">
        <v>34.5</v>
      </c>
      <c r="N627" s="2" t="s">
        <v>1699</v>
      </c>
      <c r="O627" t="str">
        <f>D627&amp;"-"&amp;E627&amp;"-"&amp;F627&amp;"-"&amp;G627&amp;"-"&amp;H627</f>
        <v>B-1-e-0-33.5</v>
      </c>
      <c r="P627" t="str">
        <f>I627&amp;"-"&amp;J627&amp;"-"&amp;K627&amp;"-"&amp;L627&amp;"-"&amp;M627</f>
        <v>X-1-e-0-34.5</v>
      </c>
      <c r="Q627">
        <f>A627+R627</f>
        <v>18399.259472999998</v>
      </c>
      <c r="R627">
        <f>_xlfn.IFNA(VLOOKUP(P627,PGOPHER!A$2:G$181,7,FALSE),_xlfn.IFNA(VLOOKUP(P627,en!A$2:I$768,7,FALSE),-10000))</f>
        <v>4136.4094729999997</v>
      </c>
      <c r="S627">
        <f>IF(O627=O626,Q626+S626,Q627)</f>
        <v>18399.259472999998</v>
      </c>
      <c r="T627">
        <f>IF(O627=O626,T626+1,1)</f>
        <v>1</v>
      </c>
      <c r="U627">
        <f>IF(O627=O628,"",S627/T627)</f>
        <v>18399.259472999998</v>
      </c>
      <c r="V627" t="str">
        <f>IF(U627="","",IF(ABS(Q627-U627)&gt;V$1,"error",""))</f>
        <v/>
      </c>
    </row>
    <row r="628" spans="1:22" x14ac:dyDescent="0.55000000000000004">
      <c r="A628">
        <v>14711.04</v>
      </c>
      <c r="B628" s="1">
        <v>0.01</v>
      </c>
      <c r="C628" s="1">
        <v>0.01</v>
      </c>
      <c r="D628" s="2" t="s">
        <v>1515</v>
      </c>
      <c r="E628">
        <v>1</v>
      </c>
      <c r="F628" s="2" t="s">
        <v>2</v>
      </c>
      <c r="G628">
        <v>1</v>
      </c>
      <c r="H628">
        <v>33.5</v>
      </c>
      <c r="I628" s="2" t="s">
        <v>0</v>
      </c>
      <c r="J628">
        <v>1</v>
      </c>
      <c r="K628" s="2" t="s">
        <v>2</v>
      </c>
      <c r="L628">
        <v>1</v>
      </c>
      <c r="M628">
        <v>32.5</v>
      </c>
      <c r="N628" s="2" t="s">
        <v>1547</v>
      </c>
      <c r="O628" t="str">
        <f>D628&amp;"-"&amp;E628&amp;"-"&amp;F628&amp;"-"&amp;G628&amp;"-"&amp;H628</f>
        <v>B-1-e-1-33.5</v>
      </c>
      <c r="P628" t="str">
        <f>I628&amp;"-"&amp;J628&amp;"-"&amp;K628&amp;"-"&amp;L628&amp;"-"&amp;M628</f>
        <v>X-1-e-1-32.5</v>
      </c>
      <c r="Q628">
        <f>A628+R628</f>
        <v>19490.860798000002</v>
      </c>
      <c r="R628">
        <f>_xlfn.IFNA(VLOOKUP(P628,PGOPHER!A$2:G$181,7,FALSE),_xlfn.IFNA(VLOOKUP(P628,en!A$2:I$768,7,FALSE),-10000))</f>
        <v>4779.8207979999997</v>
      </c>
      <c r="S628">
        <f>IF(O628=O627,Q627+S627,Q628)</f>
        <v>19490.860798000002</v>
      </c>
      <c r="T628">
        <f>IF(O628=O627,T627+1,1)</f>
        <v>1</v>
      </c>
      <c r="U628">
        <f>IF(O628=O629,"",S628/T628)</f>
        <v>19490.860798000002</v>
      </c>
      <c r="V628" t="str">
        <f>IF(U628="","",IF(ABS(Q628-U628)&gt;V$1,"error",""))</f>
        <v/>
      </c>
    </row>
    <row r="629" spans="1:22" x14ac:dyDescent="0.55000000000000004">
      <c r="A629">
        <v>14368.66</v>
      </c>
      <c r="B629" s="1">
        <v>0.01</v>
      </c>
      <c r="C629" s="1">
        <v>0.01</v>
      </c>
      <c r="D629" s="2" t="s">
        <v>1515</v>
      </c>
      <c r="E629">
        <v>2</v>
      </c>
      <c r="F629" s="2" t="s">
        <v>1</v>
      </c>
      <c r="G629">
        <v>0</v>
      </c>
      <c r="H629">
        <v>33.5</v>
      </c>
      <c r="I629" s="2" t="s">
        <v>0</v>
      </c>
      <c r="J629">
        <v>2</v>
      </c>
      <c r="K629" s="2" t="s">
        <v>1</v>
      </c>
      <c r="L629">
        <v>0</v>
      </c>
      <c r="M629">
        <v>34.5</v>
      </c>
      <c r="N629" s="2" t="s">
        <v>1770</v>
      </c>
      <c r="O629" t="str">
        <f>D629&amp;"-"&amp;E629&amp;"-"&amp;F629&amp;"-"&amp;G629&amp;"-"&amp;H629</f>
        <v>B-2-f-0-33.5</v>
      </c>
      <c r="P629" t="str">
        <f>I629&amp;"-"&amp;J629&amp;"-"&amp;K629&amp;"-"&amp;L629&amp;"-"&amp;M629</f>
        <v>X-2-f-0-34.5</v>
      </c>
      <c r="Q629">
        <f>A629+R629</f>
        <v>18736.701205999998</v>
      </c>
      <c r="R629">
        <f>_xlfn.IFNA(VLOOKUP(P629,PGOPHER!A$2:G$181,7,FALSE),_xlfn.IFNA(VLOOKUP(P629,en!A$2:I$768,7,FALSE),-10000))</f>
        <v>4368.0412059999999</v>
      </c>
      <c r="S629">
        <f>IF(O629=O628,Q628+S628,Q629)</f>
        <v>18736.701205999998</v>
      </c>
      <c r="T629">
        <f>IF(O629=O628,T628+1,1)</f>
        <v>1</v>
      </c>
      <c r="U629">
        <f>IF(O629=O630,"",S629/T629)</f>
        <v>18736.701205999998</v>
      </c>
      <c r="V629" t="str">
        <f>IF(U629="","",IF(ABS(Q629-U629)&gt;V$1,"error",""))</f>
        <v/>
      </c>
    </row>
    <row r="630" spans="1:22" x14ac:dyDescent="0.55000000000000004">
      <c r="A630">
        <v>14266.04</v>
      </c>
      <c r="B630" s="1">
        <v>0.01</v>
      </c>
      <c r="C630" s="1">
        <v>0.01</v>
      </c>
      <c r="D630" s="2" t="s">
        <v>1515</v>
      </c>
      <c r="E630">
        <v>1</v>
      </c>
      <c r="F630" s="2" t="s">
        <v>2</v>
      </c>
      <c r="G630">
        <v>0</v>
      </c>
      <c r="H630">
        <v>34.5</v>
      </c>
      <c r="I630" s="2" t="s">
        <v>0</v>
      </c>
      <c r="J630">
        <v>1</v>
      </c>
      <c r="K630" s="2" t="s">
        <v>2</v>
      </c>
      <c r="L630">
        <v>0</v>
      </c>
      <c r="M630">
        <v>35.5</v>
      </c>
      <c r="N630" s="2" t="s">
        <v>1700</v>
      </c>
      <c r="O630" t="str">
        <f>D630&amp;"-"&amp;E630&amp;"-"&amp;F630&amp;"-"&amp;G630&amp;"-"&amp;H630</f>
        <v>B-1-e-0-34.5</v>
      </c>
      <c r="P630" t="str">
        <f>I630&amp;"-"&amp;J630&amp;"-"&amp;K630&amp;"-"&amp;L630&amp;"-"&amp;M630</f>
        <v>X-1-e-0-35.5</v>
      </c>
      <c r="Q630">
        <f>A630+R630</f>
        <v>18637.977566000001</v>
      </c>
      <c r="R630">
        <f>_xlfn.IFNA(VLOOKUP(P630,PGOPHER!A$2:G$181,7,FALSE),_xlfn.IFNA(VLOOKUP(P630,en!A$2:I$768,7,FALSE),-10000))</f>
        <v>4371.9375659999996</v>
      </c>
      <c r="S630">
        <f>IF(O630=O629,Q629+S629,Q630)</f>
        <v>18637.977566000001</v>
      </c>
      <c r="T630">
        <f>IF(O630=O629,T629+1,1)</f>
        <v>1</v>
      </c>
      <c r="U630">
        <f>IF(O630=O631,"",S630/T630)</f>
        <v>18637.977566000001</v>
      </c>
      <c r="V630" t="str">
        <f>IF(U630="","",IF(ABS(Q630-U630)&gt;V$1,"error",""))</f>
        <v/>
      </c>
    </row>
    <row r="631" spans="1:22" x14ac:dyDescent="0.55000000000000004">
      <c r="A631">
        <v>14373.71</v>
      </c>
      <c r="B631" s="1">
        <v>0.01</v>
      </c>
      <c r="C631" s="1">
        <v>0.01</v>
      </c>
      <c r="D631" s="2" t="s">
        <v>1515</v>
      </c>
      <c r="E631">
        <v>2</v>
      </c>
      <c r="F631" s="2" t="s">
        <v>1</v>
      </c>
      <c r="G631">
        <v>0</v>
      </c>
      <c r="H631">
        <v>34.5</v>
      </c>
      <c r="I631" s="2" t="s">
        <v>0</v>
      </c>
      <c r="J631">
        <v>2</v>
      </c>
      <c r="K631" s="2" t="s">
        <v>1</v>
      </c>
      <c r="L631">
        <v>0</v>
      </c>
      <c r="M631">
        <v>35.5</v>
      </c>
      <c r="N631" s="2" t="s">
        <v>1771</v>
      </c>
      <c r="O631" t="str">
        <f>D631&amp;"-"&amp;E631&amp;"-"&amp;F631&amp;"-"&amp;G631&amp;"-"&amp;H631</f>
        <v>B-2-f-0-34.5</v>
      </c>
      <c r="P631" t="str">
        <f>I631&amp;"-"&amp;J631&amp;"-"&amp;K631&amp;"-"&amp;L631&amp;"-"&amp;M631</f>
        <v>X-2-f-0-35.5</v>
      </c>
      <c r="Q631">
        <f>A631+R631</f>
        <v>18975.989472999998</v>
      </c>
      <c r="R631">
        <f>_xlfn.IFNA(VLOOKUP(P631,PGOPHER!A$2:G$181,7,FALSE),_xlfn.IFNA(VLOOKUP(P631,en!A$2:I$768,7,FALSE),-10000))</f>
        <v>4602.2794729999996</v>
      </c>
      <c r="S631">
        <f>IF(O631=O630,Q630+S630,Q631)</f>
        <v>18975.989472999998</v>
      </c>
      <c r="T631">
        <f>IF(O631=O630,T630+1,1)</f>
        <v>1</v>
      </c>
      <c r="U631">
        <f>IF(O631=O632,"",S631/T631)</f>
        <v>18975.989472999998</v>
      </c>
      <c r="V631" t="str">
        <f>IF(U631="","",IF(ABS(Q631-U631)&gt;V$1,"error",""))</f>
        <v/>
      </c>
    </row>
    <row r="632" spans="1:22" x14ac:dyDescent="0.55000000000000004">
      <c r="A632">
        <v>14269.63</v>
      </c>
      <c r="B632" s="1">
        <v>0.01</v>
      </c>
      <c r="C632" s="1">
        <v>0.01</v>
      </c>
      <c r="D632" s="2" t="s">
        <v>1515</v>
      </c>
      <c r="E632">
        <v>1</v>
      </c>
      <c r="F632" s="2" t="s">
        <v>2</v>
      </c>
      <c r="G632">
        <v>0</v>
      </c>
      <c r="H632">
        <v>35.5</v>
      </c>
      <c r="I632" s="2" t="s">
        <v>0</v>
      </c>
      <c r="J632">
        <v>1</v>
      </c>
      <c r="K632" s="2" t="s">
        <v>2</v>
      </c>
      <c r="L632">
        <v>0</v>
      </c>
      <c r="M632">
        <v>36.5</v>
      </c>
      <c r="N632" s="2" t="s">
        <v>1701</v>
      </c>
      <c r="O632" t="str">
        <f>D632&amp;"-"&amp;E632&amp;"-"&amp;F632&amp;"-"&amp;G632&amp;"-"&amp;H632</f>
        <v>B-1-e-0-35.5</v>
      </c>
      <c r="P632" t="str">
        <f>I632&amp;"-"&amp;J632&amp;"-"&amp;K632&amp;"-"&amp;L632&amp;"-"&amp;M632</f>
        <v>X-1-e-0-36.5</v>
      </c>
      <c r="Q632">
        <f>A632+R632</f>
        <v>18875.864473000001</v>
      </c>
      <c r="R632">
        <f>_xlfn.IFNA(VLOOKUP(P632,PGOPHER!A$2:G$181,7,FALSE),_xlfn.IFNA(VLOOKUP(P632,en!A$2:I$768,7,FALSE),-10000))</f>
        <v>4606.2344730000004</v>
      </c>
      <c r="S632">
        <f>IF(O632=O631,Q631+S631,Q632)</f>
        <v>18875.864473000001</v>
      </c>
      <c r="T632">
        <f>IF(O632=O631,T631+1,1)</f>
        <v>1</v>
      </c>
      <c r="U632">
        <f>IF(O632=O633,"",S632/T632)</f>
        <v>18875.864473000001</v>
      </c>
      <c r="V632" t="str">
        <f>IF(U632="","",IF(ABS(Q632-U632)&gt;V$1,"error",""))</f>
        <v/>
      </c>
    </row>
    <row r="633" spans="1:22" x14ac:dyDescent="0.55000000000000004">
      <c r="A633">
        <v>14378.9</v>
      </c>
      <c r="B633" s="1">
        <v>0.01</v>
      </c>
      <c r="C633" s="1">
        <v>0.01</v>
      </c>
      <c r="D633" s="2" t="s">
        <v>1515</v>
      </c>
      <c r="E633">
        <v>2</v>
      </c>
      <c r="F633" s="2" t="s">
        <v>1</v>
      </c>
      <c r="G633">
        <v>0</v>
      </c>
      <c r="H633">
        <v>35.5</v>
      </c>
      <c r="I633" s="2" t="s">
        <v>0</v>
      </c>
      <c r="J633">
        <v>2</v>
      </c>
      <c r="K633" s="2" t="s">
        <v>1</v>
      </c>
      <c r="L633">
        <v>0</v>
      </c>
      <c r="M633">
        <v>36.5</v>
      </c>
      <c r="N633" s="2" t="s">
        <v>1772</v>
      </c>
      <c r="O633" t="str">
        <f>D633&amp;"-"&amp;E633&amp;"-"&amp;F633&amp;"-"&amp;G633&amp;"-"&amp;H633</f>
        <v>B-2-f-0-35.5</v>
      </c>
      <c r="P633" t="str">
        <f>I633&amp;"-"&amp;J633&amp;"-"&amp;K633&amp;"-"&amp;L633&amp;"-"&amp;M633</f>
        <v>X-2-f-0-36.5</v>
      </c>
      <c r="Q633">
        <f>A633+R633</f>
        <v>19227.217565999999</v>
      </c>
      <c r="R633">
        <f>_xlfn.IFNA(VLOOKUP(P633,PGOPHER!A$2:G$181,7,FALSE),_xlfn.IFNA(VLOOKUP(P633,en!A$2:I$768,7,FALSE),-10000))</f>
        <v>4848.3175659999997</v>
      </c>
      <c r="S633">
        <f>IF(O633=O632,Q632+S632,Q633)</f>
        <v>19227.217565999999</v>
      </c>
      <c r="T633">
        <f>IF(O633=O632,T632+1,1)</f>
        <v>1</v>
      </c>
      <c r="U633">
        <f>IF(O633=O634,"",S633/T633)</f>
        <v>19227.217565999999</v>
      </c>
      <c r="V633" t="str">
        <f>IF(U633="","",IF(ABS(Q633-U633)&gt;V$1,"error",""))</f>
        <v/>
      </c>
    </row>
    <row r="634" spans="1:22" x14ac:dyDescent="0.55000000000000004">
      <c r="A634">
        <v>14273.34</v>
      </c>
      <c r="B634" s="1">
        <v>0.01</v>
      </c>
      <c r="C634" s="1">
        <v>0.01</v>
      </c>
      <c r="D634" s="2" t="s">
        <v>1515</v>
      </c>
      <c r="E634">
        <v>1</v>
      </c>
      <c r="F634" s="2" t="s">
        <v>2</v>
      </c>
      <c r="G634">
        <v>0</v>
      </c>
      <c r="H634">
        <v>36.5</v>
      </c>
      <c r="I634" s="2" t="s">
        <v>0</v>
      </c>
      <c r="J634">
        <v>1</v>
      </c>
      <c r="K634" s="2" t="s">
        <v>2</v>
      </c>
      <c r="L634">
        <v>0</v>
      </c>
      <c r="M634">
        <v>37.5</v>
      </c>
      <c r="N634" s="2" t="s">
        <v>1702</v>
      </c>
      <c r="O634" t="str">
        <f>D634&amp;"-"&amp;E634&amp;"-"&amp;F634&amp;"-"&amp;G634&amp;"-"&amp;H634</f>
        <v>B-1-e-0-36.5</v>
      </c>
      <c r="P634" t="str">
        <f>I634&amp;"-"&amp;J634&amp;"-"&amp;K634&amp;"-"&amp;L634&amp;"-"&amp;M634</f>
        <v>X-1-e-0-37.5</v>
      </c>
      <c r="Q634">
        <f>A634+R634</f>
        <v>19125.637566000001</v>
      </c>
      <c r="R634">
        <f>_xlfn.IFNA(VLOOKUP(P634,PGOPHER!A$2:G$181,7,FALSE),_xlfn.IFNA(VLOOKUP(P634,en!A$2:I$768,7,FALSE),-10000))</f>
        <v>4852.2975660000002</v>
      </c>
      <c r="S634">
        <f>IF(O634=O633,Q633+S633,Q634)</f>
        <v>19125.637566000001</v>
      </c>
      <c r="T634">
        <f>IF(O634=O633,T633+1,1)</f>
        <v>1</v>
      </c>
      <c r="U634">
        <f>IF(O634=O635,"",S634/T634)</f>
        <v>19125.637566000001</v>
      </c>
      <c r="V634" t="str">
        <f>IF(U634="","",IF(ABS(Q634-U634)&gt;V$1,"error",""))</f>
        <v/>
      </c>
    </row>
    <row r="635" spans="1:22" x14ac:dyDescent="0.55000000000000004">
      <c r="A635">
        <v>14384.2</v>
      </c>
      <c r="B635" s="1">
        <v>0.01</v>
      </c>
      <c r="C635" s="1">
        <v>0.01</v>
      </c>
      <c r="D635" s="2" t="s">
        <v>1515</v>
      </c>
      <c r="E635">
        <v>2</v>
      </c>
      <c r="F635" s="2" t="s">
        <v>1</v>
      </c>
      <c r="G635">
        <v>0</v>
      </c>
      <c r="H635">
        <v>36.5</v>
      </c>
      <c r="I635" s="2" t="s">
        <v>0</v>
      </c>
      <c r="J635">
        <v>2</v>
      </c>
      <c r="K635" s="2" t="s">
        <v>1</v>
      </c>
      <c r="L635">
        <v>0</v>
      </c>
      <c r="M635">
        <v>37.5</v>
      </c>
      <c r="N635" s="2" t="s">
        <v>1773</v>
      </c>
      <c r="O635" t="str">
        <f>D635&amp;"-"&amp;E635&amp;"-"&amp;F635&amp;"-"&amp;G635&amp;"-"&amp;H635</f>
        <v>B-2-f-0-36.5</v>
      </c>
      <c r="P635" t="str">
        <f>I635&amp;"-"&amp;J635&amp;"-"&amp;K635&amp;"-"&amp;L635&amp;"-"&amp;M635</f>
        <v>X-2-f-0-37.5</v>
      </c>
      <c r="Q635">
        <f>A635+R635</f>
        <v>4384.2000000000007</v>
      </c>
      <c r="R635">
        <f>_xlfn.IFNA(VLOOKUP(P635,PGOPHER!A$2:G$181,7,FALSE),_xlfn.IFNA(VLOOKUP(P635,en!A$2:I$768,7,FALSE),-10000))</f>
        <v>-10000</v>
      </c>
      <c r="S635">
        <f>IF(O635=O634,Q634+S634,Q635)</f>
        <v>4384.2000000000007</v>
      </c>
      <c r="T635">
        <f>IF(O635=O634,T634+1,1)</f>
        <v>1</v>
      </c>
      <c r="U635">
        <f>IF(O635=O636,"",S635/T635)</f>
        <v>4384.2000000000007</v>
      </c>
      <c r="V635" t="str">
        <f>IF(U635="","",IF(ABS(Q635-U635)&gt;V$1,"error",""))</f>
        <v/>
      </c>
    </row>
    <row r="636" spans="1:22" x14ac:dyDescent="0.55000000000000004">
      <c r="A636">
        <v>14277.33</v>
      </c>
      <c r="B636" s="1">
        <v>0.01</v>
      </c>
      <c r="C636" s="1">
        <v>0.01</v>
      </c>
      <c r="D636" s="2" t="s">
        <v>1515</v>
      </c>
      <c r="E636">
        <v>1</v>
      </c>
      <c r="F636" s="2" t="s">
        <v>2</v>
      </c>
      <c r="G636">
        <v>0</v>
      </c>
      <c r="H636">
        <v>37.5</v>
      </c>
      <c r="I636" s="2" t="s">
        <v>0</v>
      </c>
      <c r="J636">
        <v>1</v>
      </c>
      <c r="K636" s="2" t="s">
        <v>2</v>
      </c>
      <c r="L636">
        <v>0</v>
      </c>
      <c r="M636">
        <v>38.5</v>
      </c>
      <c r="N636" s="2" t="s">
        <v>1703</v>
      </c>
      <c r="O636" t="str">
        <f>D636&amp;"-"&amp;E636&amp;"-"&amp;F636&amp;"-"&amp;G636&amp;"-"&amp;H636</f>
        <v>B-1-e-0-37.5</v>
      </c>
      <c r="P636" t="str">
        <f>I636&amp;"-"&amp;J636&amp;"-"&amp;K636&amp;"-"&amp;L636&amp;"-"&amp;M636</f>
        <v>X-1-e-0-38.5</v>
      </c>
      <c r="Q636">
        <f>A636+R636</f>
        <v>4277.33</v>
      </c>
      <c r="R636">
        <f>_xlfn.IFNA(VLOOKUP(P636,PGOPHER!A$2:G$181,7,FALSE),_xlfn.IFNA(VLOOKUP(P636,en!A$2:I$768,7,FALSE),-10000))</f>
        <v>-10000</v>
      </c>
      <c r="S636">
        <f>IF(O636=O635,Q635+S635,Q636)</f>
        <v>4277.33</v>
      </c>
      <c r="T636">
        <f>IF(O636=O635,T635+1,1)</f>
        <v>1</v>
      </c>
      <c r="U636">
        <f>IF(O636=O637,"",S636/T636)</f>
        <v>4277.33</v>
      </c>
      <c r="V636" t="str">
        <f>IF(U636="","",IF(ABS(Q636-U636)&gt;V$1,"error",""))</f>
        <v/>
      </c>
    </row>
    <row r="637" spans="1:22" x14ac:dyDescent="0.55000000000000004">
      <c r="A637">
        <v>14389.55</v>
      </c>
      <c r="B637" s="1">
        <v>0.01</v>
      </c>
      <c r="C637" s="1">
        <v>0.01</v>
      </c>
      <c r="D637" s="2" t="s">
        <v>1515</v>
      </c>
      <c r="E637">
        <v>2</v>
      </c>
      <c r="F637" s="2" t="s">
        <v>1</v>
      </c>
      <c r="G637">
        <v>0</v>
      </c>
      <c r="H637">
        <v>37.5</v>
      </c>
      <c r="I637" s="2" t="s">
        <v>0</v>
      </c>
      <c r="J637">
        <v>2</v>
      </c>
      <c r="K637" s="2" t="s">
        <v>1</v>
      </c>
      <c r="L637">
        <v>0</v>
      </c>
      <c r="M637">
        <v>38.5</v>
      </c>
      <c r="N637" s="2" t="s">
        <v>1774</v>
      </c>
      <c r="O637" t="str">
        <f>D637&amp;"-"&amp;E637&amp;"-"&amp;F637&amp;"-"&amp;G637&amp;"-"&amp;H637</f>
        <v>B-2-f-0-37.5</v>
      </c>
      <c r="P637" t="str">
        <f>I637&amp;"-"&amp;J637&amp;"-"&amp;K637&amp;"-"&amp;L637&amp;"-"&amp;M637</f>
        <v>X-2-f-0-38.5</v>
      </c>
      <c r="Q637">
        <f>A637+R637</f>
        <v>4389.5499999999993</v>
      </c>
      <c r="R637">
        <f>_xlfn.IFNA(VLOOKUP(P637,PGOPHER!A$2:G$181,7,FALSE),_xlfn.IFNA(VLOOKUP(P637,en!A$2:I$768,7,FALSE),-10000))</f>
        <v>-10000</v>
      </c>
      <c r="S637">
        <f>IF(O637=O636,Q636+S636,Q637)</f>
        <v>4389.5499999999993</v>
      </c>
      <c r="T637">
        <f>IF(O637=O636,T636+1,1)</f>
        <v>1</v>
      </c>
      <c r="U637">
        <f>IF(O637=O638,"",S637/T637)</f>
        <v>4389.5499999999993</v>
      </c>
      <c r="V637" t="str">
        <f>IF(U637="","",IF(ABS(Q637-U637)&gt;V$1,"error",""))</f>
        <v/>
      </c>
    </row>
    <row r="638" spans="1:22" x14ac:dyDescent="0.55000000000000004">
      <c r="A638">
        <v>14281.41</v>
      </c>
      <c r="B638" s="1">
        <v>0.01</v>
      </c>
      <c r="C638" s="1">
        <v>0.01</v>
      </c>
      <c r="D638" s="2" t="s">
        <v>1515</v>
      </c>
      <c r="E638">
        <v>1</v>
      </c>
      <c r="F638" s="2" t="s">
        <v>2</v>
      </c>
      <c r="G638">
        <v>0</v>
      </c>
      <c r="H638">
        <v>38.5</v>
      </c>
      <c r="I638" s="2" t="s">
        <v>0</v>
      </c>
      <c r="J638">
        <v>1</v>
      </c>
      <c r="K638" s="2" t="s">
        <v>2</v>
      </c>
      <c r="L638">
        <v>0</v>
      </c>
      <c r="M638">
        <v>39.5</v>
      </c>
      <c r="N638" s="2" t="s">
        <v>1704</v>
      </c>
      <c r="O638" t="str">
        <f>D638&amp;"-"&amp;E638&amp;"-"&amp;F638&amp;"-"&amp;G638&amp;"-"&amp;H638</f>
        <v>B-1-e-0-38.5</v>
      </c>
      <c r="P638" t="str">
        <f>I638&amp;"-"&amp;J638&amp;"-"&amp;K638&amp;"-"&amp;L638&amp;"-"&amp;M638</f>
        <v>X-1-e-0-39.5</v>
      </c>
      <c r="Q638">
        <f>A638+R638</f>
        <v>4281.41</v>
      </c>
      <c r="R638">
        <f>_xlfn.IFNA(VLOOKUP(P638,PGOPHER!A$2:G$181,7,FALSE),_xlfn.IFNA(VLOOKUP(P638,en!A$2:I$768,7,FALSE),-10000))</f>
        <v>-10000</v>
      </c>
      <c r="S638">
        <f>IF(O638=O637,Q637+S637,Q638)</f>
        <v>4281.41</v>
      </c>
      <c r="T638">
        <f>IF(O638=O637,T637+1,1)</f>
        <v>1</v>
      </c>
      <c r="U638">
        <f>IF(O638=O639,"",S638/T638)</f>
        <v>4281.41</v>
      </c>
      <c r="V638" t="str">
        <f>IF(U638="","",IF(ABS(Q638-U638)&gt;V$1,"error",""))</f>
        <v/>
      </c>
    </row>
    <row r="639" spans="1:22" x14ac:dyDescent="0.55000000000000004">
      <c r="A639">
        <v>14395</v>
      </c>
      <c r="B639" s="1">
        <v>0.01</v>
      </c>
      <c r="C639" s="1">
        <v>0.01</v>
      </c>
      <c r="D639" s="2" t="s">
        <v>1515</v>
      </c>
      <c r="E639">
        <v>2</v>
      </c>
      <c r="F639" s="2" t="s">
        <v>1</v>
      </c>
      <c r="G639">
        <v>0</v>
      </c>
      <c r="H639">
        <v>38.5</v>
      </c>
      <c r="I639" s="2" t="s">
        <v>0</v>
      </c>
      <c r="J639">
        <v>2</v>
      </c>
      <c r="K639" s="2" t="s">
        <v>1</v>
      </c>
      <c r="L639">
        <v>0</v>
      </c>
      <c r="M639">
        <v>39.5</v>
      </c>
      <c r="N639" s="2" t="s">
        <v>1775</v>
      </c>
      <c r="O639" t="str">
        <f>D639&amp;"-"&amp;E639&amp;"-"&amp;F639&amp;"-"&amp;G639&amp;"-"&amp;H639</f>
        <v>B-2-f-0-38.5</v>
      </c>
      <c r="P639" t="str">
        <f>I639&amp;"-"&amp;J639&amp;"-"&amp;K639&amp;"-"&amp;L639&amp;"-"&amp;M639</f>
        <v>X-2-f-0-39.5</v>
      </c>
      <c r="Q639">
        <f>A639+R639</f>
        <v>4395</v>
      </c>
      <c r="R639">
        <f>_xlfn.IFNA(VLOOKUP(P639,PGOPHER!A$2:G$181,7,FALSE),_xlfn.IFNA(VLOOKUP(P639,en!A$2:I$768,7,FALSE),-10000))</f>
        <v>-10000</v>
      </c>
      <c r="S639">
        <f>IF(O639=O638,Q638+S638,Q639)</f>
        <v>4395</v>
      </c>
      <c r="T639">
        <f>IF(O639=O638,T638+1,1)</f>
        <v>1</v>
      </c>
      <c r="U639">
        <f>IF(O639=O640,"",S639/T639)</f>
        <v>4395</v>
      </c>
      <c r="V639" t="str">
        <f>IF(U639="","",IF(ABS(Q639-U639)&gt;V$1,"error",""))</f>
        <v/>
      </c>
    </row>
    <row r="640" spans="1:22" x14ac:dyDescent="0.55000000000000004">
      <c r="A640">
        <v>14285.71</v>
      </c>
      <c r="B640" s="1">
        <v>0.01</v>
      </c>
      <c r="C640" s="1">
        <v>0.01</v>
      </c>
      <c r="D640" s="2" t="s">
        <v>1515</v>
      </c>
      <c r="E640">
        <v>1</v>
      </c>
      <c r="F640" s="2" t="s">
        <v>2</v>
      </c>
      <c r="G640">
        <v>0</v>
      </c>
      <c r="H640">
        <v>39.5</v>
      </c>
      <c r="I640" s="2" t="s">
        <v>0</v>
      </c>
      <c r="J640">
        <v>1</v>
      </c>
      <c r="K640" s="2" t="s">
        <v>2</v>
      </c>
      <c r="L640">
        <v>0</v>
      </c>
      <c r="M640">
        <v>40.5</v>
      </c>
      <c r="N640" s="2" t="s">
        <v>1705</v>
      </c>
      <c r="O640" t="str">
        <f>D640&amp;"-"&amp;E640&amp;"-"&amp;F640&amp;"-"&amp;G640&amp;"-"&amp;H640</f>
        <v>B-1-e-0-39.5</v>
      </c>
      <c r="P640" t="str">
        <f>I640&amp;"-"&amp;J640&amp;"-"&amp;K640&amp;"-"&amp;L640&amp;"-"&amp;M640</f>
        <v>X-1-e-0-40.5</v>
      </c>
      <c r="Q640">
        <f>A640+R640</f>
        <v>4285.7099999999991</v>
      </c>
      <c r="R640">
        <f>_xlfn.IFNA(VLOOKUP(P640,PGOPHER!A$2:G$181,7,FALSE),_xlfn.IFNA(VLOOKUP(P640,en!A$2:I$768,7,FALSE),-10000))</f>
        <v>-10000</v>
      </c>
      <c r="S640">
        <f>IF(O640=O639,Q639+S639,Q640)</f>
        <v>4285.7099999999991</v>
      </c>
      <c r="T640">
        <f>IF(O640=O639,T639+1,1)</f>
        <v>1</v>
      </c>
      <c r="U640">
        <f>IF(O640=O641,"",S640/T640)</f>
        <v>4285.7099999999991</v>
      </c>
      <c r="V640" t="str">
        <f>IF(U640="","",IF(ABS(Q640-U640)&gt;V$1,"error",""))</f>
        <v/>
      </c>
    </row>
    <row r="641" spans="1:22" x14ac:dyDescent="0.55000000000000004">
      <c r="A641">
        <v>14400.5</v>
      </c>
      <c r="B641" s="1">
        <v>0.01</v>
      </c>
      <c r="C641" s="1">
        <v>0.01</v>
      </c>
      <c r="D641" s="2" t="s">
        <v>1515</v>
      </c>
      <c r="E641">
        <v>2</v>
      </c>
      <c r="F641" s="2" t="s">
        <v>1</v>
      </c>
      <c r="G641">
        <v>0</v>
      </c>
      <c r="H641">
        <v>39.5</v>
      </c>
      <c r="I641" s="2" t="s">
        <v>0</v>
      </c>
      <c r="J641">
        <v>2</v>
      </c>
      <c r="K641" s="2" t="s">
        <v>1</v>
      </c>
      <c r="L641">
        <v>0</v>
      </c>
      <c r="M641">
        <v>40.5</v>
      </c>
      <c r="N641" s="2" t="s">
        <v>1776</v>
      </c>
      <c r="O641" t="str">
        <f>D641&amp;"-"&amp;E641&amp;"-"&amp;F641&amp;"-"&amp;G641&amp;"-"&amp;H641</f>
        <v>B-2-f-0-39.5</v>
      </c>
      <c r="P641" t="str">
        <f>I641&amp;"-"&amp;J641&amp;"-"&amp;K641&amp;"-"&amp;L641&amp;"-"&amp;M641</f>
        <v>X-2-f-0-40.5</v>
      </c>
      <c r="Q641">
        <f>A641+R641</f>
        <v>4400.5</v>
      </c>
      <c r="R641">
        <f>_xlfn.IFNA(VLOOKUP(P641,PGOPHER!A$2:G$181,7,FALSE),_xlfn.IFNA(VLOOKUP(P641,en!A$2:I$768,7,FALSE),-10000))</f>
        <v>-10000</v>
      </c>
      <c r="S641">
        <f>IF(O641=O640,Q640+S640,Q641)</f>
        <v>4400.5</v>
      </c>
      <c r="T641">
        <f>IF(O641=O640,T640+1,1)</f>
        <v>1</v>
      </c>
      <c r="U641">
        <f>IF(O641=O642,"",S641/T641)</f>
        <v>4400.5</v>
      </c>
      <c r="V641" t="str">
        <f>IF(U641="","",IF(ABS(Q641-U641)&gt;V$1,"error",""))</f>
        <v/>
      </c>
    </row>
    <row r="642" spans="1:22" x14ac:dyDescent="0.55000000000000004">
      <c r="A642">
        <v>14290.09</v>
      </c>
      <c r="B642" s="1">
        <v>0.01</v>
      </c>
      <c r="C642" s="1">
        <v>0.01</v>
      </c>
      <c r="D642" s="2" t="s">
        <v>1515</v>
      </c>
      <c r="E642">
        <v>1</v>
      </c>
      <c r="F642" s="2" t="s">
        <v>2</v>
      </c>
      <c r="G642">
        <v>0</v>
      </c>
      <c r="H642">
        <v>40.5</v>
      </c>
      <c r="I642" s="2" t="s">
        <v>0</v>
      </c>
      <c r="J642">
        <v>1</v>
      </c>
      <c r="K642" s="2" t="s">
        <v>2</v>
      </c>
      <c r="L642">
        <v>0</v>
      </c>
      <c r="M642">
        <v>41.5</v>
      </c>
      <c r="N642" s="2" t="s">
        <v>1706</v>
      </c>
      <c r="O642" t="str">
        <f>D642&amp;"-"&amp;E642&amp;"-"&amp;F642&amp;"-"&amp;G642&amp;"-"&amp;H642</f>
        <v>B-1-e-0-40.5</v>
      </c>
      <c r="P642" t="str">
        <f>I642&amp;"-"&amp;J642&amp;"-"&amp;K642&amp;"-"&amp;L642&amp;"-"&amp;M642</f>
        <v>X-1-e-0-41.5</v>
      </c>
      <c r="Q642">
        <f>A642+R642</f>
        <v>4290.09</v>
      </c>
      <c r="R642">
        <f>_xlfn.IFNA(VLOOKUP(P642,PGOPHER!A$2:G$181,7,FALSE),_xlfn.IFNA(VLOOKUP(P642,en!A$2:I$768,7,FALSE),-10000))</f>
        <v>-10000</v>
      </c>
      <c r="S642">
        <f>IF(O642=O641,Q641+S641,Q642)</f>
        <v>4290.09</v>
      </c>
      <c r="T642">
        <f>IF(O642=O641,T641+1,1)</f>
        <v>1</v>
      </c>
      <c r="U642">
        <f>IF(O642=O643,"",S642/T642)</f>
        <v>4290.09</v>
      </c>
      <c r="V642" t="str">
        <f>IF(U642="","",IF(ABS(Q642-U642)&gt;V$1,"error",""))</f>
        <v/>
      </c>
    </row>
    <row r="643" spans="1:22" x14ac:dyDescent="0.55000000000000004">
      <c r="A643">
        <v>14406.3</v>
      </c>
      <c r="B643" s="1">
        <v>0.01</v>
      </c>
      <c r="C643" s="1">
        <v>0.01</v>
      </c>
      <c r="D643" s="2" t="s">
        <v>1515</v>
      </c>
      <c r="E643">
        <v>2</v>
      </c>
      <c r="F643" s="2" t="s">
        <v>1</v>
      </c>
      <c r="G643">
        <v>0</v>
      </c>
      <c r="H643">
        <v>40.5</v>
      </c>
      <c r="I643" s="2" t="s">
        <v>0</v>
      </c>
      <c r="J643">
        <v>2</v>
      </c>
      <c r="K643" s="2" t="s">
        <v>1</v>
      </c>
      <c r="L643">
        <v>0</v>
      </c>
      <c r="M643">
        <v>41.5</v>
      </c>
      <c r="N643" s="2" t="s">
        <v>1777</v>
      </c>
      <c r="O643" t="str">
        <f>D643&amp;"-"&amp;E643&amp;"-"&amp;F643&amp;"-"&amp;G643&amp;"-"&amp;H643</f>
        <v>B-2-f-0-40.5</v>
      </c>
      <c r="P643" t="str">
        <f>I643&amp;"-"&amp;J643&amp;"-"&amp;K643&amp;"-"&amp;L643&amp;"-"&amp;M643</f>
        <v>X-2-f-0-41.5</v>
      </c>
      <c r="Q643">
        <f>A643+R643</f>
        <v>4406.2999999999993</v>
      </c>
      <c r="R643">
        <f>_xlfn.IFNA(VLOOKUP(P643,PGOPHER!A$2:G$181,7,FALSE),_xlfn.IFNA(VLOOKUP(P643,en!A$2:I$768,7,FALSE),-10000))</f>
        <v>-10000</v>
      </c>
      <c r="S643">
        <f>IF(O643=O642,Q642+S642,Q643)</f>
        <v>4406.2999999999993</v>
      </c>
      <c r="T643">
        <f>IF(O643=O642,T642+1,1)</f>
        <v>1</v>
      </c>
      <c r="U643">
        <f>IF(O643=O644,"",S643/T643)</f>
        <v>4406.2999999999993</v>
      </c>
      <c r="V643" t="str">
        <f>IF(U643="","",IF(ABS(Q643-U643)&gt;V$1,"error",""))</f>
        <v/>
      </c>
    </row>
    <row r="644" spans="1:22" x14ac:dyDescent="0.55000000000000004">
      <c r="A644">
        <v>14294.46</v>
      </c>
      <c r="B644" s="1">
        <v>0.01</v>
      </c>
      <c r="C644" s="1">
        <v>0.01</v>
      </c>
      <c r="D644" s="2" t="s">
        <v>1515</v>
      </c>
      <c r="E644">
        <v>1</v>
      </c>
      <c r="F644" s="2" t="s">
        <v>2</v>
      </c>
      <c r="G644">
        <v>0</v>
      </c>
      <c r="H644">
        <v>41.5</v>
      </c>
      <c r="I644" s="2" t="s">
        <v>0</v>
      </c>
      <c r="J644">
        <v>1</v>
      </c>
      <c r="K644" s="2" t="s">
        <v>2</v>
      </c>
      <c r="L644">
        <v>0</v>
      </c>
      <c r="M644">
        <v>42.5</v>
      </c>
      <c r="N644" s="2" t="s">
        <v>1707</v>
      </c>
      <c r="O644" t="str">
        <f>D644&amp;"-"&amp;E644&amp;"-"&amp;F644&amp;"-"&amp;G644&amp;"-"&amp;H644</f>
        <v>B-1-e-0-41.5</v>
      </c>
      <c r="P644" t="str">
        <f>I644&amp;"-"&amp;J644&amp;"-"&amp;K644&amp;"-"&amp;L644&amp;"-"&amp;M644</f>
        <v>X-1-e-0-42.5</v>
      </c>
      <c r="Q644">
        <f>A644+R644</f>
        <v>4294.4599999999991</v>
      </c>
      <c r="R644">
        <f>_xlfn.IFNA(VLOOKUP(P644,PGOPHER!A$2:G$181,7,FALSE),_xlfn.IFNA(VLOOKUP(P644,en!A$2:I$768,7,FALSE),-10000))</f>
        <v>-10000</v>
      </c>
      <c r="S644">
        <f>IF(O644=O643,Q643+S643,Q644)</f>
        <v>4294.4599999999991</v>
      </c>
      <c r="T644">
        <f>IF(O644=O643,T643+1,1)</f>
        <v>1</v>
      </c>
      <c r="U644">
        <f>IF(O644=O645,"",S644/T644)</f>
        <v>4294.4599999999991</v>
      </c>
      <c r="V644" t="str">
        <f>IF(U644="","",IF(ABS(Q644-U644)&gt;V$1,"error",""))</f>
        <v/>
      </c>
    </row>
    <row r="645" spans="1:22" x14ac:dyDescent="0.55000000000000004">
      <c r="A645">
        <v>14412.17</v>
      </c>
      <c r="B645" s="1">
        <v>0.01</v>
      </c>
      <c r="C645" s="1">
        <v>0.01</v>
      </c>
      <c r="D645" s="2" t="s">
        <v>1515</v>
      </c>
      <c r="E645">
        <v>2</v>
      </c>
      <c r="F645" s="2" t="s">
        <v>1</v>
      </c>
      <c r="G645">
        <v>0</v>
      </c>
      <c r="H645">
        <v>41.5</v>
      </c>
      <c r="I645" s="2" t="s">
        <v>0</v>
      </c>
      <c r="J645">
        <v>2</v>
      </c>
      <c r="K645" s="2" t="s">
        <v>1</v>
      </c>
      <c r="L645">
        <v>0</v>
      </c>
      <c r="M645">
        <v>42.5</v>
      </c>
      <c r="N645" s="2" t="s">
        <v>1778</v>
      </c>
      <c r="O645" t="str">
        <f>D645&amp;"-"&amp;E645&amp;"-"&amp;F645&amp;"-"&amp;G645&amp;"-"&amp;H645</f>
        <v>B-2-f-0-41.5</v>
      </c>
      <c r="P645" t="str">
        <f>I645&amp;"-"&amp;J645&amp;"-"&amp;K645&amp;"-"&amp;L645&amp;"-"&amp;M645</f>
        <v>X-2-f-0-42.5</v>
      </c>
      <c r="Q645">
        <f>A645+R645</f>
        <v>4412.17</v>
      </c>
      <c r="R645">
        <f>_xlfn.IFNA(VLOOKUP(P645,PGOPHER!A$2:G$181,7,FALSE),_xlfn.IFNA(VLOOKUP(P645,en!A$2:I$768,7,FALSE),-10000))</f>
        <v>-10000</v>
      </c>
      <c r="S645">
        <f>IF(O645=O644,Q644+S644,Q645)</f>
        <v>4412.17</v>
      </c>
      <c r="T645">
        <f>IF(O645=O644,T644+1,1)</f>
        <v>1</v>
      </c>
      <c r="U645">
        <f>IF(O645=O646,"",S645/T645)</f>
        <v>4412.17</v>
      </c>
      <c r="V645" t="str">
        <f>IF(U645="","",IF(ABS(Q645-U645)&gt;V$1,"error",""))</f>
        <v/>
      </c>
    </row>
    <row r="646" spans="1:22" x14ac:dyDescent="0.55000000000000004">
      <c r="A646">
        <v>14299.18</v>
      </c>
      <c r="B646" s="1">
        <v>0.01</v>
      </c>
      <c r="C646" s="1">
        <v>0.01</v>
      </c>
      <c r="D646" s="2" t="s">
        <v>1515</v>
      </c>
      <c r="E646">
        <v>1</v>
      </c>
      <c r="F646" s="2" t="s">
        <v>2</v>
      </c>
      <c r="G646">
        <v>0</v>
      </c>
      <c r="H646">
        <v>42.5</v>
      </c>
      <c r="I646" s="2" t="s">
        <v>0</v>
      </c>
      <c r="J646">
        <v>1</v>
      </c>
      <c r="K646" s="2" t="s">
        <v>2</v>
      </c>
      <c r="L646">
        <v>0</v>
      </c>
      <c r="M646">
        <v>43.5</v>
      </c>
      <c r="N646" s="2" t="s">
        <v>1708</v>
      </c>
      <c r="O646" t="str">
        <f>D646&amp;"-"&amp;E646&amp;"-"&amp;F646&amp;"-"&amp;G646&amp;"-"&amp;H646</f>
        <v>B-1-e-0-42.5</v>
      </c>
      <c r="P646" t="str">
        <f>I646&amp;"-"&amp;J646&amp;"-"&amp;K646&amp;"-"&amp;L646&amp;"-"&amp;M646</f>
        <v>X-1-e-0-43.5</v>
      </c>
      <c r="Q646">
        <f>A646+R646</f>
        <v>4299.18</v>
      </c>
      <c r="R646">
        <f>_xlfn.IFNA(VLOOKUP(P646,PGOPHER!A$2:G$181,7,FALSE),_xlfn.IFNA(VLOOKUP(P646,en!A$2:I$768,7,FALSE),-10000))</f>
        <v>-10000</v>
      </c>
      <c r="S646">
        <f>IF(O646=O645,Q645+S645,Q646)</f>
        <v>4299.18</v>
      </c>
      <c r="T646">
        <f>IF(O646=O645,T645+1,1)</f>
        <v>1</v>
      </c>
      <c r="U646">
        <f>IF(O646=O647,"",S646/T646)</f>
        <v>4299.18</v>
      </c>
      <c r="V646" t="str">
        <f>IF(U646="","",IF(ABS(Q646-U646)&gt;V$1,"error",""))</f>
        <v/>
      </c>
    </row>
    <row r="647" spans="1:22" x14ac:dyDescent="0.55000000000000004">
      <c r="A647">
        <v>14412.17</v>
      </c>
      <c r="B647" s="1">
        <v>0.01</v>
      </c>
      <c r="C647" s="1">
        <v>0.01</v>
      </c>
      <c r="D647" s="2" t="s">
        <v>1515</v>
      </c>
      <c r="E647">
        <v>2</v>
      </c>
      <c r="F647" s="2" t="s">
        <v>1</v>
      </c>
      <c r="G647">
        <v>0</v>
      </c>
      <c r="H647">
        <v>42.5</v>
      </c>
      <c r="I647" s="2" t="s">
        <v>0</v>
      </c>
      <c r="J647">
        <v>2</v>
      </c>
      <c r="K647" s="2" t="s">
        <v>1</v>
      </c>
      <c r="L647">
        <v>0</v>
      </c>
      <c r="M647">
        <v>43.5</v>
      </c>
      <c r="N647" s="2" t="s">
        <v>1779</v>
      </c>
      <c r="O647" t="str">
        <f>D647&amp;"-"&amp;E647&amp;"-"&amp;F647&amp;"-"&amp;G647&amp;"-"&amp;H647</f>
        <v>B-2-f-0-42.5</v>
      </c>
      <c r="P647" t="str">
        <f>I647&amp;"-"&amp;J647&amp;"-"&amp;K647&amp;"-"&amp;L647&amp;"-"&amp;M647</f>
        <v>X-2-f-0-43.5</v>
      </c>
      <c r="Q647">
        <f>A647+R647</f>
        <v>4412.17</v>
      </c>
      <c r="R647">
        <f>_xlfn.IFNA(VLOOKUP(P647,PGOPHER!A$2:G$181,7,FALSE),_xlfn.IFNA(VLOOKUP(P647,en!A$2:I$768,7,FALSE),-10000))</f>
        <v>-10000</v>
      </c>
      <c r="S647">
        <f>IF(O647=O646,Q646+S646,Q647)</f>
        <v>4412.17</v>
      </c>
      <c r="T647">
        <f>IF(O647=O646,T646+1,1)</f>
        <v>1</v>
      </c>
      <c r="U647">
        <f>IF(O647=O648,"",S647/T647)</f>
        <v>4412.17</v>
      </c>
      <c r="V647" t="str">
        <f>IF(U647="","",IF(ABS(Q647-U647)&gt;V$1,"error",""))</f>
        <v/>
      </c>
    </row>
    <row r="648" spans="1:22" x14ac:dyDescent="0.55000000000000004">
      <c r="A648">
        <v>18857.215749999999</v>
      </c>
      <c r="B648" s="1">
        <v>5.0000000000000001E-3</v>
      </c>
      <c r="C648" s="1">
        <v>5.0000000000000001E-3</v>
      </c>
      <c r="D648" s="2" t="s">
        <v>680</v>
      </c>
      <c r="E648">
        <v>1</v>
      </c>
      <c r="F648" s="2" t="s">
        <v>2</v>
      </c>
      <c r="G648">
        <v>0</v>
      </c>
      <c r="H648">
        <v>0.5</v>
      </c>
      <c r="I648" s="2" t="s">
        <v>0</v>
      </c>
      <c r="J648">
        <v>2</v>
      </c>
      <c r="K648" s="2" t="s">
        <v>1</v>
      </c>
      <c r="L648">
        <v>0</v>
      </c>
      <c r="M648">
        <v>0.5</v>
      </c>
      <c r="N648" s="2" t="s">
        <v>682</v>
      </c>
      <c r="O648" t="str">
        <f>D648&amp;"-"&amp;E648&amp;"-"&amp;F648&amp;"-"&amp;G648&amp;"-"&amp;H648</f>
        <v>E-1-e-0-0.5</v>
      </c>
      <c r="P648" t="str">
        <f>I648&amp;"-"&amp;J648&amp;"-"&amp;K648&amp;"-"&amp;L648&amp;"-"&amp;M648</f>
        <v>X-2-f-0-0.5</v>
      </c>
      <c r="Q648">
        <f>A648+R648</f>
        <v>18864.358128</v>
      </c>
      <c r="R648">
        <f>_xlfn.IFNA(VLOOKUP(P648,PGOPHER!A$2:G$181,7,FALSE),_xlfn.IFNA(VLOOKUP(P648,en!A$2:I$768,7,FALSE),-10000))</f>
        <v>7.1423779999999999</v>
      </c>
      <c r="S648">
        <f>IF(O648=O647,Q647+S647,Q648)</f>
        <v>18864.358128</v>
      </c>
      <c r="T648">
        <f>IF(O648=O647,T647+1,1)</f>
        <v>1</v>
      </c>
      <c r="U648" t="str">
        <f>IF(O648=O649,"",S648/T648)</f>
        <v/>
      </c>
      <c r="V648" t="str">
        <f>IF(U648="","",IF(ABS(Q648-U648)&gt;V$1,"error",""))</f>
        <v/>
      </c>
    </row>
    <row r="649" spans="1:22" x14ac:dyDescent="0.55000000000000004">
      <c r="A649">
        <v>18857.028190000001</v>
      </c>
      <c r="B649" s="1">
        <v>5.0000000000000001E-3</v>
      </c>
      <c r="C649" s="1">
        <v>5.0000000000000001E-3</v>
      </c>
      <c r="D649" s="2" t="s">
        <v>680</v>
      </c>
      <c r="E649">
        <v>1</v>
      </c>
      <c r="F649" s="2" t="s">
        <v>2</v>
      </c>
      <c r="G649">
        <v>0</v>
      </c>
      <c r="H649">
        <v>0.5</v>
      </c>
      <c r="I649" s="2" t="s">
        <v>0</v>
      </c>
      <c r="J649">
        <v>1</v>
      </c>
      <c r="K649" s="2" t="s">
        <v>2</v>
      </c>
      <c r="L649">
        <v>0</v>
      </c>
      <c r="M649">
        <v>1.5</v>
      </c>
      <c r="N649" s="2" t="s">
        <v>681</v>
      </c>
      <c r="O649" t="str">
        <f>D649&amp;"-"&amp;E649&amp;"-"&amp;F649&amp;"-"&amp;G649&amp;"-"&amp;H649</f>
        <v>E-1-e-0-0.5</v>
      </c>
      <c r="P649" t="str">
        <f>I649&amp;"-"&amp;J649&amp;"-"&amp;K649&amp;"-"&amp;L649&amp;"-"&amp;M649</f>
        <v>X-1-e-0-1.5</v>
      </c>
      <c r="Q649">
        <f>A649+R649</f>
        <v>18864.356519000001</v>
      </c>
      <c r="R649">
        <f>_xlfn.IFNA(VLOOKUP(P649,PGOPHER!A$2:G$181,7,FALSE),_xlfn.IFNA(VLOOKUP(P649,en!A$2:I$768,7,FALSE),-10000))</f>
        <v>7.3283290000000001</v>
      </c>
      <c r="S649">
        <f>IF(O649=O648,Q648+S648,Q649)</f>
        <v>37728.716256</v>
      </c>
      <c r="T649">
        <f>IF(O649=O648,T648+1,1)</f>
        <v>2</v>
      </c>
      <c r="U649">
        <f>IF(O649=O650,"",S649/T649)</f>
        <v>18864.358128</v>
      </c>
      <c r="V649" t="str">
        <f>IF(U649="","",IF(ABS(Q649-U649)&gt;V$1,"error",""))</f>
        <v/>
      </c>
    </row>
    <row r="650" spans="1:22" x14ac:dyDescent="0.55000000000000004">
      <c r="A650">
        <v>18864.44699</v>
      </c>
      <c r="B650" s="1">
        <v>5.0000000000000001E-3</v>
      </c>
      <c r="C650" s="1">
        <v>5.0000000000000001E-3</v>
      </c>
      <c r="D650" s="2" t="s">
        <v>680</v>
      </c>
      <c r="E650">
        <v>1</v>
      </c>
      <c r="F650" s="2" t="s">
        <v>1</v>
      </c>
      <c r="G650">
        <v>0</v>
      </c>
      <c r="H650">
        <v>0.5</v>
      </c>
      <c r="I650" s="2" t="s">
        <v>0</v>
      </c>
      <c r="J650">
        <v>1</v>
      </c>
      <c r="K650" s="2" t="s">
        <v>2</v>
      </c>
      <c r="L650">
        <v>0</v>
      </c>
      <c r="M650">
        <v>0.5</v>
      </c>
      <c r="N650" s="2" t="s">
        <v>684</v>
      </c>
      <c r="O650" t="str">
        <f>D650&amp;"-"&amp;E650&amp;"-"&amp;F650&amp;"-"&amp;G650&amp;"-"&amp;H650</f>
        <v>E-1-f-0-0.5</v>
      </c>
      <c r="P650" t="str">
        <f>I650&amp;"-"&amp;J650&amp;"-"&amp;K650&amp;"-"&amp;L650&amp;"-"&amp;M650</f>
        <v>X-1-e-0-0.5</v>
      </c>
      <c r="Q650">
        <f>A650+R650</f>
        <v>18864.44699</v>
      </c>
      <c r="R650">
        <f>_xlfn.IFNA(VLOOKUP(P650,PGOPHER!A$2:G$181,7,FALSE),_xlfn.IFNA(VLOOKUP(P650,en!A$2:I$768,7,FALSE),-10000))</f>
        <v>0</v>
      </c>
      <c r="S650">
        <f>IF(O650=O649,Q649+S649,Q650)</f>
        <v>18864.44699</v>
      </c>
      <c r="T650">
        <f>IF(O650=O649,T649+1,1)</f>
        <v>1</v>
      </c>
      <c r="U650" t="str">
        <f>IF(O650=O651,"",S650/T650)</f>
        <v/>
      </c>
      <c r="V650" t="str">
        <f>IF(U650="","",IF(ABS(Q650-U650)&gt;V$1,"error",""))</f>
        <v/>
      </c>
    </row>
    <row r="651" spans="1:22" x14ac:dyDescent="0.55000000000000004">
      <c r="A651">
        <v>18842.838739999999</v>
      </c>
      <c r="B651" s="1">
        <v>5.0000000000000001E-3</v>
      </c>
      <c r="C651" s="1">
        <v>5.0000000000000001E-3</v>
      </c>
      <c r="D651" s="2" t="s">
        <v>680</v>
      </c>
      <c r="E651">
        <v>1</v>
      </c>
      <c r="F651" s="2" t="s">
        <v>1</v>
      </c>
      <c r="G651">
        <v>0</v>
      </c>
      <c r="H651">
        <v>0.5</v>
      </c>
      <c r="I651" s="2" t="s">
        <v>0</v>
      </c>
      <c r="J651">
        <v>2</v>
      </c>
      <c r="K651" s="2" t="s">
        <v>1</v>
      </c>
      <c r="L651">
        <v>0</v>
      </c>
      <c r="M651">
        <v>1.5</v>
      </c>
      <c r="N651" s="2" t="s">
        <v>683</v>
      </c>
      <c r="O651" t="str">
        <f>D651&amp;"-"&amp;E651&amp;"-"&amp;F651&amp;"-"&amp;G651&amp;"-"&amp;H651</f>
        <v>E-1-f-0-0.5</v>
      </c>
      <c r="P651" t="str">
        <f>I651&amp;"-"&amp;J651&amp;"-"&amp;K651&amp;"-"&amp;L651&amp;"-"&amp;M651</f>
        <v>X-2-f-0-1.5</v>
      </c>
      <c r="Q651">
        <f>A651+R651</f>
        <v>18864.448636000001</v>
      </c>
      <c r="R651">
        <f>_xlfn.IFNA(VLOOKUP(P651,PGOPHER!A$2:G$181,7,FALSE),_xlfn.IFNA(VLOOKUP(P651,en!A$2:I$768,7,FALSE),-10000))</f>
        <v>21.609895999999999</v>
      </c>
      <c r="S651">
        <f>IF(O651=O650,Q650+S650,Q651)</f>
        <v>37728.893980000001</v>
      </c>
      <c r="T651">
        <f>IF(O651=O650,T650+1,1)</f>
        <v>2</v>
      </c>
      <c r="U651">
        <f>IF(O651=O652,"",S651/T651)</f>
        <v>18864.44699</v>
      </c>
      <c r="V651" t="str">
        <f>IF(U651="","",IF(ABS(Q651-U651)&gt;V$1,"error",""))</f>
        <v/>
      </c>
    </row>
    <row r="652" spans="1:22" x14ac:dyDescent="0.55000000000000004">
      <c r="A652">
        <v>18855.724839999999</v>
      </c>
      <c r="B652" s="1">
        <v>5.0000000000000001E-3</v>
      </c>
      <c r="C652" s="1">
        <v>5.0000000000000001E-3</v>
      </c>
      <c r="D652" s="2" t="s">
        <v>680</v>
      </c>
      <c r="E652">
        <v>1</v>
      </c>
      <c r="F652" s="2" t="s">
        <v>1</v>
      </c>
      <c r="G652">
        <v>1</v>
      </c>
      <c r="H652">
        <v>0.5</v>
      </c>
      <c r="I652" s="2" t="s">
        <v>0</v>
      </c>
      <c r="J652">
        <v>1</v>
      </c>
      <c r="K652" s="2" t="s">
        <v>2</v>
      </c>
      <c r="L652">
        <v>1</v>
      </c>
      <c r="M652">
        <v>0.5</v>
      </c>
      <c r="N652" s="2" t="s">
        <v>946</v>
      </c>
      <c r="O652" t="str">
        <f>D652&amp;"-"&amp;E652&amp;"-"&amp;F652&amp;"-"&amp;G652&amp;"-"&amp;H652</f>
        <v>E-1-f-1-0.5</v>
      </c>
      <c r="P652" t="str">
        <f>I652&amp;"-"&amp;J652&amp;"-"&amp;K652&amp;"-"&amp;L652&amp;"-"&amp;M652</f>
        <v>X-1-e-1-0.5</v>
      </c>
      <c r="Q652">
        <f>A652+R652</f>
        <v>20028.529880999999</v>
      </c>
      <c r="R652">
        <f>_xlfn.IFNA(VLOOKUP(P652,PGOPHER!A$2:G$181,7,FALSE),_xlfn.IFNA(VLOOKUP(P652,en!A$2:I$768,7,FALSE),-10000))</f>
        <v>1172.8050410000001</v>
      </c>
      <c r="S652">
        <f>IF(O652=O651,Q651+S651,Q652)</f>
        <v>20028.529880999999</v>
      </c>
      <c r="T652">
        <f>IF(O652=O651,T651+1,1)</f>
        <v>1</v>
      </c>
      <c r="U652">
        <f>IF(O652=O653,"",S652/T652)</f>
        <v>20028.529880999999</v>
      </c>
      <c r="V652" t="str">
        <f>IF(U652="","",IF(ABS(Q652-U652)&gt;V$1,"error",""))</f>
        <v/>
      </c>
    </row>
    <row r="653" spans="1:22" x14ac:dyDescent="0.55000000000000004">
      <c r="A653">
        <v>18853.51196</v>
      </c>
      <c r="B653" s="1">
        <v>5.0000000000000001E-3</v>
      </c>
      <c r="C653" s="1">
        <v>5.0000000000000001E-3</v>
      </c>
      <c r="D653" s="2" t="s">
        <v>680</v>
      </c>
      <c r="E653">
        <v>1</v>
      </c>
      <c r="F653" s="2" t="s">
        <v>2</v>
      </c>
      <c r="G653">
        <v>0</v>
      </c>
      <c r="H653">
        <v>1.5</v>
      </c>
      <c r="I653" s="2" t="s">
        <v>0</v>
      </c>
      <c r="J653">
        <v>2</v>
      </c>
      <c r="K653" s="2" t="s">
        <v>1</v>
      </c>
      <c r="L653">
        <v>0</v>
      </c>
      <c r="M653">
        <v>1.5</v>
      </c>
      <c r="N653" s="2" t="s">
        <v>686</v>
      </c>
      <c r="O653" t="str">
        <f>D653&amp;"-"&amp;E653&amp;"-"&amp;F653&amp;"-"&amp;G653&amp;"-"&amp;H653</f>
        <v>E-1-e-0-1.5</v>
      </c>
      <c r="P653" t="str">
        <f>I653&amp;"-"&amp;J653&amp;"-"&amp;K653&amp;"-"&amp;L653&amp;"-"&amp;M653</f>
        <v>X-2-f-0-1.5</v>
      </c>
      <c r="Q653">
        <f>A653+R653</f>
        <v>18875.121856000002</v>
      </c>
      <c r="R653">
        <f>_xlfn.IFNA(VLOOKUP(P653,PGOPHER!A$2:G$181,7,FALSE),_xlfn.IFNA(VLOOKUP(P653,en!A$2:I$768,7,FALSE),-10000))</f>
        <v>21.609895999999999</v>
      </c>
      <c r="S653">
        <f>IF(O653=O652,Q652+S652,Q653)</f>
        <v>18875.121856000002</v>
      </c>
      <c r="T653">
        <f>IF(O653=O652,T652+1,1)</f>
        <v>1</v>
      </c>
      <c r="U653" t="str">
        <f>IF(O653=O654,"",S653/T653)</f>
        <v/>
      </c>
      <c r="V653" t="str">
        <f>IF(U653="","",IF(ABS(Q653-U653)&gt;V$1,"error",""))</f>
        <v/>
      </c>
    </row>
    <row r="654" spans="1:22" x14ac:dyDescent="0.55000000000000004">
      <c r="A654">
        <v>18853.200769999999</v>
      </c>
      <c r="B654" s="1">
        <v>5.0000000000000001E-3</v>
      </c>
      <c r="C654" s="1">
        <v>5.0000000000000001E-3</v>
      </c>
      <c r="D654" s="2" t="s">
        <v>680</v>
      </c>
      <c r="E654">
        <v>1</v>
      </c>
      <c r="F654" s="2" t="s">
        <v>2</v>
      </c>
      <c r="G654">
        <v>0</v>
      </c>
      <c r="H654">
        <v>1.5</v>
      </c>
      <c r="I654" s="2" t="s">
        <v>0</v>
      </c>
      <c r="J654">
        <v>1</v>
      </c>
      <c r="K654" s="2" t="s">
        <v>2</v>
      </c>
      <c r="L654">
        <v>0</v>
      </c>
      <c r="M654">
        <v>2.5</v>
      </c>
      <c r="N654" s="2" t="s">
        <v>685</v>
      </c>
      <c r="O654" t="str">
        <f>D654&amp;"-"&amp;E654&amp;"-"&amp;F654&amp;"-"&amp;G654&amp;"-"&amp;H654</f>
        <v>E-1-e-0-1.5</v>
      </c>
      <c r="P654" t="str">
        <f>I654&amp;"-"&amp;J654&amp;"-"&amp;K654&amp;"-"&amp;L654&amp;"-"&amp;M654</f>
        <v>X-1-e-0-2.5</v>
      </c>
      <c r="Q654">
        <f>A654+R654</f>
        <v>18875.120469999998</v>
      </c>
      <c r="R654">
        <f>_xlfn.IFNA(VLOOKUP(P654,PGOPHER!A$2:G$181,7,FALSE),_xlfn.IFNA(VLOOKUP(P654,en!A$2:I$768,7,FALSE),-10000))</f>
        <v>21.919699999999999</v>
      </c>
      <c r="S654">
        <f>IF(O654=O653,Q653+S653,Q654)</f>
        <v>37750.243712000003</v>
      </c>
      <c r="T654">
        <f>IF(O654=O653,T653+1,1)</f>
        <v>2</v>
      </c>
      <c r="U654">
        <f>IF(O654=O655,"",S654/T654)</f>
        <v>18875.121856000002</v>
      </c>
      <c r="V654" t="str">
        <f>IF(U654="","",IF(ABS(Q654-U654)&gt;V$1,"error",""))</f>
        <v/>
      </c>
    </row>
    <row r="655" spans="1:22" x14ac:dyDescent="0.55000000000000004">
      <c r="A655">
        <v>18844.72234</v>
      </c>
      <c r="B655" s="1">
        <v>1.8200000000000001E-2</v>
      </c>
      <c r="C655" s="1">
        <v>1.8200000000000001E-2</v>
      </c>
      <c r="D655" s="2" t="s">
        <v>680</v>
      </c>
      <c r="E655">
        <v>1</v>
      </c>
      <c r="F655" s="2" t="s">
        <v>2</v>
      </c>
      <c r="G655">
        <v>1</v>
      </c>
      <c r="H655">
        <v>1.5</v>
      </c>
      <c r="I655" s="2" t="s">
        <v>0</v>
      </c>
      <c r="J655">
        <v>1</v>
      </c>
      <c r="K655" s="2" t="s">
        <v>2</v>
      </c>
      <c r="L655">
        <v>1</v>
      </c>
      <c r="M655">
        <v>2.5</v>
      </c>
      <c r="N655" s="2" t="s">
        <v>947</v>
      </c>
      <c r="O655" t="str">
        <f>D655&amp;"-"&amp;E655&amp;"-"&amp;F655&amp;"-"&amp;G655&amp;"-"&amp;H655</f>
        <v>E-1-e-1-1.5</v>
      </c>
      <c r="P655" t="str">
        <f>I655&amp;"-"&amp;J655&amp;"-"&amp;K655&amp;"-"&amp;L655&amp;"-"&amp;M655</f>
        <v>X-1-e-1-2.5</v>
      </c>
      <c r="Q655">
        <f>A655+R655</f>
        <v>20038.959159999999</v>
      </c>
      <c r="R655">
        <f>_xlfn.IFNA(VLOOKUP(P655,PGOPHER!A$2:G$181,7,FALSE),_xlfn.IFNA(VLOOKUP(P655,en!A$2:I$768,7,FALSE),-10000))</f>
        <v>1194.2368200000001</v>
      </c>
      <c r="S655">
        <f>IF(O655=O654,Q654+S654,Q655)</f>
        <v>20038.959159999999</v>
      </c>
      <c r="T655">
        <f>IF(O655=O654,T654+1,1)</f>
        <v>1</v>
      </c>
      <c r="U655" t="str">
        <f>IF(O655=O656,"",S655/T655)</f>
        <v/>
      </c>
      <c r="V655" t="str">
        <f>IF(U655="","",IF(ABS(Q655-U655)&gt;V$1,"error",""))</f>
        <v/>
      </c>
    </row>
    <row r="656" spans="1:22" x14ac:dyDescent="0.55000000000000004">
      <c r="A656">
        <v>18866.171009999998</v>
      </c>
      <c r="B656" s="1">
        <v>5.0000000000000001E-3</v>
      </c>
      <c r="C656" s="1">
        <v>5.0000000000000001E-3</v>
      </c>
      <c r="D656" s="2" t="s">
        <v>680</v>
      </c>
      <c r="E656">
        <v>1</v>
      </c>
      <c r="F656" s="2" t="s">
        <v>2</v>
      </c>
      <c r="G656">
        <v>1</v>
      </c>
      <c r="H656">
        <v>1.5</v>
      </c>
      <c r="I656" s="2" t="s">
        <v>0</v>
      </c>
      <c r="J656">
        <v>1</v>
      </c>
      <c r="K656" s="2" t="s">
        <v>2</v>
      </c>
      <c r="L656">
        <v>1</v>
      </c>
      <c r="M656">
        <v>0.5</v>
      </c>
      <c r="N656" s="2" t="s">
        <v>948</v>
      </c>
      <c r="O656" t="str">
        <f>D656&amp;"-"&amp;E656&amp;"-"&amp;F656&amp;"-"&amp;G656&amp;"-"&amp;H656</f>
        <v>E-1-e-1-1.5</v>
      </c>
      <c r="P656" t="str">
        <f>I656&amp;"-"&amp;J656&amp;"-"&amp;K656&amp;"-"&amp;L656&amp;"-"&amp;M656</f>
        <v>X-1-e-1-0.5</v>
      </c>
      <c r="Q656">
        <f>A656+R656</f>
        <v>20038.976050999998</v>
      </c>
      <c r="R656">
        <f>_xlfn.IFNA(VLOOKUP(P656,PGOPHER!A$2:G$181,7,FALSE),_xlfn.IFNA(VLOOKUP(P656,en!A$2:I$768,7,FALSE),-10000))</f>
        <v>1172.8050410000001</v>
      </c>
      <c r="S656">
        <f>IF(O656=O655,Q655+S655,Q656)</f>
        <v>40077.918319999997</v>
      </c>
      <c r="T656">
        <f>IF(O656=O655,T655+1,1)</f>
        <v>2</v>
      </c>
      <c r="U656" t="str">
        <f>IF(O656=O657,"",S656/T656)</f>
        <v/>
      </c>
      <c r="V656" t="str">
        <f>IF(U656="","",IF(ABS(Q656-U656)&gt;V$1,"error",""))</f>
        <v/>
      </c>
    </row>
    <row r="657" spans="1:22" x14ac:dyDescent="0.55000000000000004">
      <c r="A657">
        <v>18845.024649999999</v>
      </c>
      <c r="B657" s="1">
        <v>1.4999999999999999E-2</v>
      </c>
      <c r="C657" s="1">
        <v>1.4999999999999999E-2</v>
      </c>
      <c r="D657" s="2" t="s">
        <v>680</v>
      </c>
      <c r="E657">
        <v>1</v>
      </c>
      <c r="F657" s="2" t="s">
        <v>2</v>
      </c>
      <c r="G657">
        <v>1</v>
      </c>
      <c r="H657">
        <v>1.5</v>
      </c>
      <c r="I657" s="2" t="s">
        <v>0</v>
      </c>
      <c r="J657">
        <v>2</v>
      </c>
      <c r="K657" s="2" t="s">
        <v>1</v>
      </c>
      <c r="L657">
        <v>1</v>
      </c>
      <c r="M657">
        <v>1.5</v>
      </c>
      <c r="N657" s="2" t="s">
        <v>949</v>
      </c>
      <c r="O657" t="str">
        <f>D657&amp;"-"&amp;E657&amp;"-"&amp;F657&amp;"-"&amp;G657&amp;"-"&amp;H657</f>
        <v>E-1-e-1-1.5</v>
      </c>
      <c r="P657" t="str">
        <f>I657&amp;"-"&amp;J657&amp;"-"&amp;K657&amp;"-"&amp;L657&amp;"-"&amp;M657</f>
        <v>X-2-f-1-1.5</v>
      </c>
      <c r="Q657">
        <f>A657+R657</f>
        <v>20038.961775</v>
      </c>
      <c r="R657">
        <f>_xlfn.IFNA(VLOOKUP(P657,PGOPHER!A$2:G$181,7,FALSE),_xlfn.IFNA(VLOOKUP(P657,en!A$2:I$768,7,FALSE),-10000))</f>
        <v>1193.9371249999999</v>
      </c>
      <c r="S657">
        <f>IF(O657=O656,Q656+S656,Q657)</f>
        <v>60116.894370999995</v>
      </c>
      <c r="T657">
        <f>IF(O657=O656,T656+1,1)</f>
        <v>3</v>
      </c>
      <c r="U657">
        <f>IF(O657=O658,"",S657/T657)</f>
        <v>20038.964790333332</v>
      </c>
      <c r="V657" t="str">
        <f>IF(U657="","",IF(ABS(Q657-U657)&gt;V$1,"error",""))</f>
        <v/>
      </c>
    </row>
    <row r="658" spans="1:22" x14ac:dyDescent="0.55000000000000004">
      <c r="A658">
        <v>18831.961439999999</v>
      </c>
      <c r="B658" s="1">
        <v>5.0000000000000001E-3</v>
      </c>
      <c r="C658" s="1">
        <v>5.0000000000000001E-3</v>
      </c>
      <c r="D658" s="2" t="s">
        <v>680</v>
      </c>
      <c r="E658">
        <v>1</v>
      </c>
      <c r="F658" s="2" t="s">
        <v>1</v>
      </c>
      <c r="G658">
        <v>0</v>
      </c>
      <c r="H658">
        <v>1.5</v>
      </c>
      <c r="I658" s="2" t="s">
        <v>0</v>
      </c>
      <c r="J658">
        <v>2</v>
      </c>
      <c r="K658" s="2" t="s">
        <v>1</v>
      </c>
      <c r="L658">
        <v>0</v>
      </c>
      <c r="M658">
        <v>2.5</v>
      </c>
      <c r="N658" s="2" t="s">
        <v>687</v>
      </c>
      <c r="O658" t="str">
        <f>D658&amp;"-"&amp;E658&amp;"-"&amp;F658&amp;"-"&amp;G658&amp;"-"&amp;H658</f>
        <v>E-1-f-0-1.5</v>
      </c>
      <c r="P658" t="str">
        <f>I658&amp;"-"&amp;J658&amp;"-"&amp;K658&amp;"-"&amp;L658&amp;"-"&amp;M658</f>
        <v>X-2-f-0-2.5</v>
      </c>
      <c r="Q658">
        <f>A658+R658</f>
        <v>18875.294932999997</v>
      </c>
      <c r="R658">
        <f>_xlfn.IFNA(VLOOKUP(P658,PGOPHER!A$2:G$181,7,FALSE),_xlfn.IFNA(VLOOKUP(P658,en!A$2:I$768,7,FALSE),-10000))</f>
        <v>43.333492999999997</v>
      </c>
      <c r="S658">
        <f>IF(O658=O657,Q657+S657,Q658)</f>
        <v>18875.294932999997</v>
      </c>
      <c r="T658">
        <f>IF(O658=O657,T657+1,1)</f>
        <v>1</v>
      </c>
      <c r="U658" t="str">
        <f>IF(O658=O659,"",S658/T658)</f>
        <v/>
      </c>
      <c r="V658" t="str">
        <f>IF(U658="","",IF(ABS(Q658-U658)&gt;V$1,"error",""))</f>
        <v/>
      </c>
    </row>
    <row r="659" spans="1:22" x14ac:dyDescent="0.55000000000000004">
      <c r="A659">
        <v>18868.148130000001</v>
      </c>
      <c r="B659" s="1">
        <v>0.01</v>
      </c>
      <c r="C659" s="1">
        <v>0.01</v>
      </c>
      <c r="D659" s="2" t="s">
        <v>680</v>
      </c>
      <c r="E659">
        <v>1</v>
      </c>
      <c r="F659" s="2" t="s">
        <v>1</v>
      </c>
      <c r="G659">
        <v>0</v>
      </c>
      <c r="H659">
        <v>1.5</v>
      </c>
      <c r="I659" s="2" t="s">
        <v>0</v>
      </c>
      <c r="J659">
        <v>2</v>
      </c>
      <c r="K659" s="2" t="s">
        <v>1</v>
      </c>
      <c r="L659">
        <v>0</v>
      </c>
      <c r="M659">
        <v>0.5</v>
      </c>
      <c r="N659" s="2" t="s">
        <v>688</v>
      </c>
      <c r="O659" t="str">
        <f>D659&amp;"-"&amp;E659&amp;"-"&amp;F659&amp;"-"&amp;G659&amp;"-"&amp;H659</f>
        <v>E-1-f-0-1.5</v>
      </c>
      <c r="P659" t="str">
        <f>I659&amp;"-"&amp;J659&amp;"-"&amp;K659&amp;"-"&amp;L659&amp;"-"&amp;M659</f>
        <v>X-2-f-0-0.5</v>
      </c>
      <c r="Q659">
        <f>A659+R659</f>
        <v>18875.290508000002</v>
      </c>
      <c r="R659">
        <f>_xlfn.IFNA(VLOOKUP(P659,PGOPHER!A$2:G$181,7,FALSE),_xlfn.IFNA(VLOOKUP(P659,en!A$2:I$768,7,FALSE),-10000))</f>
        <v>7.1423779999999999</v>
      </c>
      <c r="S659">
        <f>IF(O659=O658,Q658+S658,Q659)</f>
        <v>37750.589865999995</v>
      </c>
      <c r="T659">
        <f>IF(O659=O658,T658+1,1)</f>
        <v>2</v>
      </c>
      <c r="U659" t="str">
        <f>IF(O659=O660,"",S659/T659)</f>
        <v/>
      </c>
      <c r="V659" t="str">
        <f>IF(U659="","",IF(ABS(Q659-U659)&gt;V$1,"error",""))</f>
        <v/>
      </c>
    </row>
    <row r="660" spans="1:22" x14ac:dyDescent="0.55000000000000004">
      <c r="A660">
        <v>18867.967049999999</v>
      </c>
      <c r="B660" s="1">
        <v>5.0000000000000001E-3</v>
      </c>
      <c r="C660" s="1">
        <v>5.0000000000000001E-3</v>
      </c>
      <c r="D660" s="2" t="s">
        <v>680</v>
      </c>
      <c r="E660">
        <v>1</v>
      </c>
      <c r="F660" s="2" t="s">
        <v>1</v>
      </c>
      <c r="G660">
        <v>0</v>
      </c>
      <c r="H660">
        <v>1.5</v>
      </c>
      <c r="I660" s="2" t="s">
        <v>0</v>
      </c>
      <c r="J660">
        <v>1</v>
      </c>
      <c r="K660" s="2" t="s">
        <v>2</v>
      </c>
      <c r="L660">
        <v>0</v>
      </c>
      <c r="M660">
        <v>1.5</v>
      </c>
      <c r="N660" s="2" t="s">
        <v>689</v>
      </c>
      <c r="O660" t="str">
        <f>D660&amp;"-"&amp;E660&amp;"-"&amp;F660&amp;"-"&amp;G660&amp;"-"&amp;H660</f>
        <v>E-1-f-0-1.5</v>
      </c>
      <c r="P660" t="str">
        <f>I660&amp;"-"&amp;J660&amp;"-"&amp;K660&amp;"-"&amp;L660&amp;"-"&amp;M660</f>
        <v>X-1-e-0-1.5</v>
      </c>
      <c r="Q660">
        <f>A660+R660</f>
        <v>18875.295378999999</v>
      </c>
      <c r="R660">
        <f>_xlfn.IFNA(VLOOKUP(P660,PGOPHER!A$2:G$181,7,FALSE),_xlfn.IFNA(VLOOKUP(P660,en!A$2:I$768,7,FALSE),-10000))</f>
        <v>7.3283290000000001</v>
      </c>
      <c r="S660">
        <f>IF(O660=O659,Q659+S659,Q660)</f>
        <v>56625.880374</v>
      </c>
      <c r="T660">
        <f>IF(O660=O659,T659+1,1)</f>
        <v>3</v>
      </c>
      <c r="U660">
        <f>IF(O660=O661,"",S660/T660)</f>
        <v>18875.293458</v>
      </c>
      <c r="V660" t="str">
        <f>IF(U660="","",IF(ABS(Q660-U660)&gt;V$1,"error",""))</f>
        <v/>
      </c>
    </row>
    <row r="661" spans="1:22" x14ac:dyDescent="0.55000000000000004">
      <c r="A661">
        <v>18859.143169999999</v>
      </c>
      <c r="B661" s="1">
        <v>5.0000000000000001E-3</v>
      </c>
      <c r="C661" s="1">
        <v>5.0000000000000001E-3</v>
      </c>
      <c r="D661" s="2" t="s">
        <v>680</v>
      </c>
      <c r="E661">
        <v>1</v>
      </c>
      <c r="F661" s="2" t="s">
        <v>1</v>
      </c>
      <c r="G661">
        <v>1</v>
      </c>
      <c r="H661">
        <v>1.5</v>
      </c>
      <c r="I661" s="2" t="s">
        <v>0</v>
      </c>
      <c r="J661">
        <v>1</v>
      </c>
      <c r="K661" s="2" t="s">
        <v>2</v>
      </c>
      <c r="L661">
        <v>1</v>
      </c>
      <c r="M661">
        <v>1.5</v>
      </c>
      <c r="N661" s="2" t="s">
        <v>950</v>
      </c>
      <c r="O661" t="str">
        <f>D661&amp;"-"&amp;E661&amp;"-"&amp;F661&amp;"-"&amp;G661&amp;"-"&amp;H661</f>
        <v>E-1-f-1-1.5</v>
      </c>
      <c r="P661" t="str">
        <f>I661&amp;"-"&amp;J661&amp;"-"&amp;K661&amp;"-"&amp;L661&amp;"-"&amp;M661</f>
        <v>X-1-e-1-1.5</v>
      </c>
      <c r="Q661">
        <f>A661+R661</f>
        <v>20039.111704999999</v>
      </c>
      <c r="R661">
        <f>_xlfn.IFNA(VLOOKUP(P661,PGOPHER!A$2:G$181,7,FALSE),_xlfn.IFNA(VLOOKUP(P661,en!A$2:I$768,7,FALSE),-10000))</f>
        <v>1179.968535</v>
      </c>
      <c r="S661">
        <f>IF(O661=O660,Q660+S660,Q661)</f>
        <v>20039.111704999999</v>
      </c>
      <c r="T661">
        <f>IF(O661=O660,T660+1,1)</f>
        <v>1</v>
      </c>
      <c r="U661">
        <f>IF(O661=O662,"",S661/T661)</f>
        <v>20039.111704999999</v>
      </c>
      <c r="V661" t="str">
        <f>IF(U661="","",IF(ABS(Q661-U661)&gt;V$1,"error",""))</f>
        <v/>
      </c>
    </row>
    <row r="662" spans="1:22" x14ac:dyDescent="0.55000000000000004">
      <c r="A662">
        <v>18979.62815</v>
      </c>
      <c r="B662" s="1">
        <v>2.5000000000000001E-2</v>
      </c>
      <c r="C662" s="1">
        <v>2.5000000000000001E-2</v>
      </c>
      <c r="D662" s="2" t="s">
        <v>680</v>
      </c>
      <c r="E662">
        <v>2</v>
      </c>
      <c r="F662" s="2" t="s">
        <v>2</v>
      </c>
      <c r="G662">
        <v>0</v>
      </c>
      <c r="H662">
        <v>1.5</v>
      </c>
      <c r="I662" s="2" t="s">
        <v>0</v>
      </c>
      <c r="J662">
        <v>1</v>
      </c>
      <c r="K662" s="2" t="s">
        <v>2</v>
      </c>
      <c r="L662">
        <v>0</v>
      </c>
      <c r="M662">
        <v>0.5</v>
      </c>
      <c r="N662" s="2" t="s">
        <v>690</v>
      </c>
      <c r="O662" t="str">
        <f>D662&amp;"-"&amp;E662&amp;"-"&amp;F662&amp;"-"&amp;G662&amp;"-"&amp;H662</f>
        <v>E-2-e-0-1.5</v>
      </c>
      <c r="P662" t="str">
        <f>I662&amp;"-"&amp;J662&amp;"-"&amp;K662&amp;"-"&amp;L662&amp;"-"&amp;M662</f>
        <v>X-1-e-0-0.5</v>
      </c>
      <c r="Q662">
        <f>A662+R662</f>
        <v>18979.62815</v>
      </c>
      <c r="R662">
        <f>_xlfn.IFNA(VLOOKUP(P662,PGOPHER!A$2:G$181,7,FALSE),_xlfn.IFNA(VLOOKUP(P662,en!A$2:I$768,7,FALSE),-10000))</f>
        <v>0</v>
      </c>
      <c r="S662">
        <f>IF(O662=O661,Q661+S661,Q662)</f>
        <v>18979.62815</v>
      </c>
      <c r="T662">
        <f>IF(O662=O661,T661+1,1)</f>
        <v>1</v>
      </c>
      <c r="U662" t="str">
        <f>IF(O662=O663,"",S662/T662)</f>
        <v/>
      </c>
      <c r="V662" t="str">
        <f>IF(U662="","",IF(ABS(Q662-U662)&gt;V$1,"error",""))</f>
        <v/>
      </c>
    </row>
    <row r="663" spans="1:22" x14ac:dyDescent="0.55000000000000004">
      <c r="A663">
        <v>18957.725740000002</v>
      </c>
      <c r="B663" s="1">
        <v>5.0000000000000001E-3</v>
      </c>
      <c r="C663" s="1">
        <v>5.0000000000000001E-3</v>
      </c>
      <c r="D663" s="2" t="s">
        <v>680</v>
      </c>
      <c r="E663">
        <v>2</v>
      </c>
      <c r="F663" s="2" t="s">
        <v>2</v>
      </c>
      <c r="G663">
        <v>0</v>
      </c>
      <c r="H663">
        <v>1.5</v>
      </c>
      <c r="I663" s="2" t="s">
        <v>0</v>
      </c>
      <c r="J663">
        <v>1</v>
      </c>
      <c r="K663" s="2" t="s">
        <v>2</v>
      </c>
      <c r="L663">
        <v>0</v>
      </c>
      <c r="M663">
        <v>2.5</v>
      </c>
      <c r="N663" s="2" t="s">
        <v>691</v>
      </c>
      <c r="O663" t="str">
        <f>D663&amp;"-"&amp;E663&amp;"-"&amp;F663&amp;"-"&amp;G663&amp;"-"&amp;H663</f>
        <v>E-2-e-0-1.5</v>
      </c>
      <c r="P663" t="str">
        <f>I663&amp;"-"&amp;J663&amp;"-"&amp;K663&amp;"-"&amp;L663&amp;"-"&amp;M663</f>
        <v>X-1-e-0-2.5</v>
      </c>
      <c r="Q663">
        <f>A663+R663</f>
        <v>18979.64544</v>
      </c>
      <c r="R663">
        <f>_xlfn.IFNA(VLOOKUP(P663,PGOPHER!A$2:G$181,7,FALSE),_xlfn.IFNA(VLOOKUP(P663,en!A$2:I$768,7,FALSE),-10000))</f>
        <v>21.919699999999999</v>
      </c>
      <c r="S663">
        <f>IF(O663=O662,Q662+S662,Q663)</f>
        <v>37959.256300000001</v>
      </c>
      <c r="T663">
        <f>IF(O663=O662,T662+1,1)</f>
        <v>2</v>
      </c>
      <c r="U663" t="str">
        <f>IF(O663=O664,"",S663/T663)</f>
        <v/>
      </c>
      <c r="V663" t="str">
        <f>IF(U663="","",IF(ABS(Q663-U663)&gt;V$1,"error",""))</f>
        <v/>
      </c>
    </row>
    <row r="664" spans="1:22" x14ac:dyDescent="0.55000000000000004">
      <c r="A664">
        <v>18958.03314</v>
      </c>
      <c r="B664" s="1">
        <v>5.0000000000000001E-3</v>
      </c>
      <c r="C664" s="1">
        <v>5.0000000000000001E-3</v>
      </c>
      <c r="D664" s="2" t="s">
        <v>680</v>
      </c>
      <c r="E664">
        <v>2</v>
      </c>
      <c r="F664" s="2" t="s">
        <v>2</v>
      </c>
      <c r="G664">
        <v>0</v>
      </c>
      <c r="H664">
        <v>1.5</v>
      </c>
      <c r="I664" s="2" t="s">
        <v>0</v>
      </c>
      <c r="J664">
        <v>2</v>
      </c>
      <c r="K664" s="2" t="s">
        <v>1</v>
      </c>
      <c r="L664">
        <v>0</v>
      </c>
      <c r="M664">
        <v>1.5</v>
      </c>
      <c r="N664" s="2" t="s">
        <v>692</v>
      </c>
      <c r="O664" t="str">
        <f>D664&amp;"-"&amp;E664&amp;"-"&amp;F664&amp;"-"&amp;G664&amp;"-"&amp;H664</f>
        <v>E-2-e-0-1.5</v>
      </c>
      <c r="P664" t="str">
        <f>I664&amp;"-"&amp;J664&amp;"-"&amp;K664&amp;"-"&amp;L664&amp;"-"&amp;M664</f>
        <v>X-2-f-0-1.5</v>
      </c>
      <c r="Q664">
        <f>A664+R664</f>
        <v>18979.643036000001</v>
      </c>
      <c r="R664">
        <f>_xlfn.IFNA(VLOOKUP(P664,PGOPHER!A$2:G$181,7,FALSE),_xlfn.IFNA(VLOOKUP(P664,en!A$2:I$768,7,FALSE),-10000))</f>
        <v>21.609895999999999</v>
      </c>
      <c r="S664">
        <f>IF(O664=O663,Q663+S663,Q664)</f>
        <v>56938.901740000001</v>
      </c>
      <c r="T664">
        <f>IF(O664=O663,T663+1,1)</f>
        <v>3</v>
      </c>
      <c r="U664">
        <f>IF(O664=O665,"",S664/T664)</f>
        <v>18979.633913333335</v>
      </c>
      <c r="V664" t="str">
        <f>IF(U664="","",IF(ABS(Q664-U664)&gt;V$1,"error",""))</f>
        <v/>
      </c>
    </row>
    <row r="665" spans="1:22" x14ac:dyDescent="0.55000000000000004">
      <c r="A665">
        <v>18953.29782</v>
      </c>
      <c r="B665" s="1">
        <v>5.0000000000000001E-3</v>
      </c>
      <c r="C665" s="1">
        <v>5.0000000000000001E-3</v>
      </c>
      <c r="D665" s="2" t="s">
        <v>680</v>
      </c>
      <c r="E665">
        <v>2</v>
      </c>
      <c r="F665" s="2" t="s">
        <v>2</v>
      </c>
      <c r="G665">
        <v>1</v>
      </c>
      <c r="H665">
        <v>1.5</v>
      </c>
      <c r="I665" s="2" t="s">
        <v>0</v>
      </c>
      <c r="J665">
        <v>2</v>
      </c>
      <c r="K665" s="2" t="s">
        <v>1</v>
      </c>
      <c r="L665">
        <v>1</v>
      </c>
      <c r="M665">
        <v>1.5</v>
      </c>
      <c r="N665" s="2" t="s">
        <v>951</v>
      </c>
      <c r="O665" t="str">
        <f>D665&amp;"-"&amp;E665&amp;"-"&amp;F665&amp;"-"&amp;G665&amp;"-"&amp;H665</f>
        <v>E-2-e-1-1.5</v>
      </c>
      <c r="P665" t="str">
        <f>I665&amp;"-"&amp;J665&amp;"-"&amp;K665&amp;"-"&amp;L665&amp;"-"&amp;M665</f>
        <v>X-2-f-1-1.5</v>
      </c>
      <c r="Q665">
        <f>A665+R665</f>
        <v>20147.234945</v>
      </c>
      <c r="R665">
        <f>_xlfn.IFNA(VLOOKUP(P665,PGOPHER!A$2:G$181,7,FALSE),_xlfn.IFNA(VLOOKUP(P665,en!A$2:I$768,7,FALSE),-10000))</f>
        <v>1193.9371249999999</v>
      </c>
      <c r="S665">
        <f>IF(O665=O664,Q664+S664,Q665)</f>
        <v>20147.234945</v>
      </c>
      <c r="T665">
        <f>IF(O665=O664,T664+1,1)</f>
        <v>1</v>
      </c>
      <c r="U665">
        <f>IF(O665=O666,"",S665/T665)</f>
        <v>20147.234945</v>
      </c>
      <c r="V665" t="str">
        <f>IF(U665="","",IF(ABS(Q665-U665)&gt;V$1,"error",""))</f>
        <v/>
      </c>
    </row>
    <row r="666" spans="1:22" x14ac:dyDescent="0.55000000000000004">
      <c r="A666">
        <v>18936.301360000001</v>
      </c>
      <c r="B666" s="1">
        <v>1.4999999999999999E-2</v>
      </c>
      <c r="C666" s="1">
        <v>1.4999999999999999E-2</v>
      </c>
      <c r="D666" s="2" t="s">
        <v>680</v>
      </c>
      <c r="E666">
        <v>2</v>
      </c>
      <c r="F666" s="2" t="s">
        <v>1</v>
      </c>
      <c r="G666">
        <v>0</v>
      </c>
      <c r="H666">
        <v>1.5</v>
      </c>
      <c r="I666" s="2" t="s">
        <v>0</v>
      </c>
      <c r="J666">
        <v>2</v>
      </c>
      <c r="K666" s="2" t="s">
        <v>1</v>
      </c>
      <c r="L666">
        <v>0</v>
      </c>
      <c r="M666">
        <v>2.5</v>
      </c>
      <c r="N666" s="2" t="s">
        <v>694</v>
      </c>
      <c r="O666" t="str">
        <f>D666&amp;"-"&amp;E666&amp;"-"&amp;F666&amp;"-"&amp;G666&amp;"-"&amp;H666</f>
        <v>E-2-f-0-1.5</v>
      </c>
      <c r="P666" t="str">
        <f>I666&amp;"-"&amp;J666&amp;"-"&amp;K666&amp;"-"&amp;L666&amp;"-"&amp;M666</f>
        <v>X-2-f-0-2.5</v>
      </c>
      <c r="Q666">
        <f>A666+R666</f>
        <v>18979.634853</v>
      </c>
      <c r="R666">
        <f>_xlfn.IFNA(VLOOKUP(P666,PGOPHER!A$2:G$181,7,FALSE),_xlfn.IFNA(VLOOKUP(P666,en!A$2:I$768,7,FALSE),-10000))</f>
        <v>43.333492999999997</v>
      </c>
      <c r="S666">
        <f>IF(O666=O665,Q665+S665,Q666)</f>
        <v>18979.634853</v>
      </c>
      <c r="T666">
        <f>IF(O666=O665,T665+1,1)</f>
        <v>1</v>
      </c>
      <c r="U666" t="str">
        <f>IF(O666=O667,"",S666/T666)</f>
        <v/>
      </c>
      <c r="V666" t="str">
        <f>IF(U666="","",IF(ABS(Q666-U666)&gt;V$1,"error",""))</f>
        <v/>
      </c>
    </row>
    <row r="667" spans="1:22" x14ac:dyDescent="0.55000000000000004">
      <c r="A667">
        <v>18972.495510000001</v>
      </c>
      <c r="B667" s="1">
        <v>1.4999999999999999E-2</v>
      </c>
      <c r="C667" s="1">
        <v>1.4999999999999999E-2</v>
      </c>
      <c r="D667" s="2" t="s">
        <v>680</v>
      </c>
      <c r="E667">
        <v>2</v>
      </c>
      <c r="F667" s="2" t="s">
        <v>1</v>
      </c>
      <c r="G667">
        <v>0</v>
      </c>
      <c r="H667">
        <v>1.5</v>
      </c>
      <c r="I667" s="2" t="s">
        <v>0</v>
      </c>
      <c r="J667">
        <v>2</v>
      </c>
      <c r="K667" s="2" t="s">
        <v>1</v>
      </c>
      <c r="L667">
        <v>0</v>
      </c>
      <c r="M667">
        <v>0.5</v>
      </c>
      <c r="N667" s="2" t="s">
        <v>693</v>
      </c>
      <c r="O667" t="str">
        <f>D667&amp;"-"&amp;E667&amp;"-"&amp;F667&amp;"-"&amp;G667&amp;"-"&amp;H667</f>
        <v>E-2-f-0-1.5</v>
      </c>
      <c r="P667" t="str">
        <f>I667&amp;"-"&amp;J667&amp;"-"&amp;K667&amp;"-"&amp;L667&amp;"-"&amp;M667</f>
        <v>X-2-f-0-0.5</v>
      </c>
      <c r="Q667">
        <f>A667+R667</f>
        <v>18979.637888000001</v>
      </c>
      <c r="R667">
        <f>_xlfn.IFNA(VLOOKUP(P667,PGOPHER!A$2:G$181,7,FALSE),_xlfn.IFNA(VLOOKUP(P667,en!A$2:I$768,7,FALSE),-10000))</f>
        <v>7.1423779999999999</v>
      </c>
      <c r="S667">
        <f>IF(O667=O666,Q666+S666,Q667)</f>
        <v>37959.269705999999</v>
      </c>
      <c r="T667">
        <f>IF(O667=O666,T666+1,1)</f>
        <v>2</v>
      </c>
      <c r="U667">
        <f>IF(O667=O668,"",S667/T667)</f>
        <v>18979.634853</v>
      </c>
      <c r="V667" t="str">
        <f>IF(U667="","",IF(ABS(Q667-U667)&gt;V$1,"error",""))</f>
        <v/>
      </c>
    </row>
    <row r="668" spans="1:22" x14ac:dyDescent="0.55000000000000004">
      <c r="A668">
        <v>18967.267169999999</v>
      </c>
      <c r="B668" s="1">
        <v>1.4999999999999999E-2</v>
      </c>
      <c r="C668" s="1">
        <v>1.4999999999999999E-2</v>
      </c>
      <c r="D668" s="2" t="s">
        <v>680</v>
      </c>
      <c r="E668">
        <v>2</v>
      </c>
      <c r="F668" s="2" t="s">
        <v>1</v>
      </c>
      <c r="G668">
        <v>1</v>
      </c>
      <c r="H668">
        <v>1.5</v>
      </c>
      <c r="I668" s="2" t="s">
        <v>0</v>
      </c>
      <c r="J668">
        <v>1</v>
      </c>
      <c r="K668" s="2" t="s">
        <v>2</v>
      </c>
      <c r="L668">
        <v>1</v>
      </c>
      <c r="M668">
        <v>1.5</v>
      </c>
      <c r="N668" s="2" t="s">
        <v>952</v>
      </c>
      <c r="O668" t="str">
        <f>D668&amp;"-"&amp;E668&amp;"-"&amp;F668&amp;"-"&amp;G668&amp;"-"&amp;H668</f>
        <v>E-2-f-1-1.5</v>
      </c>
      <c r="P668" t="str">
        <f>I668&amp;"-"&amp;J668&amp;"-"&amp;K668&amp;"-"&amp;L668&amp;"-"&amp;M668</f>
        <v>X-1-e-1-1.5</v>
      </c>
      <c r="Q668">
        <f>A668+R668</f>
        <v>20147.235704999999</v>
      </c>
      <c r="R668">
        <f>_xlfn.IFNA(VLOOKUP(P668,PGOPHER!A$2:G$181,7,FALSE),_xlfn.IFNA(VLOOKUP(P668,en!A$2:I$768,7,FALSE),-10000))</f>
        <v>1179.968535</v>
      </c>
      <c r="S668">
        <f>IF(O668=O667,Q667+S667,Q668)</f>
        <v>20147.235704999999</v>
      </c>
      <c r="T668">
        <f>IF(O668=O667,T667+1,1)</f>
        <v>1</v>
      </c>
      <c r="U668">
        <f>IF(O668=O669,"",S668/T668)</f>
        <v>20147.235704999999</v>
      </c>
      <c r="V668" t="str">
        <f>IF(U668="","",IF(ABS(Q668-U668)&gt;V$1,"error",""))</f>
        <v/>
      </c>
    </row>
    <row r="669" spans="1:22" x14ac:dyDescent="0.55000000000000004">
      <c r="A669">
        <v>18885.767059999998</v>
      </c>
      <c r="B669" s="1">
        <v>5.0000000000000001E-3</v>
      </c>
      <c r="C669" s="1">
        <v>5.0000000000000001E-3</v>
      </c>
      <c r="D669" s="2" t="s">
        <v>680</v>
      </c>
      <c r="E669">
        <v>1</v>
      </c>
      <c r="F669" s="2" t="s">
        <v>2</v>
      </c>
      <c r="G669">
        <v>0</v>
      </c>
      <c r="H669">
        <v>2.5</v>
      </c>
      <c r="I669" s="2" t="s">
        <v>0</v>
      </c>
      <c r="J669">
        <v>1</v>
      </c>
      <c r="K669" s="2" t="s">
        <v>2</v>
      </c>
      <c r="L669">
        <v>0</v>
      </c>
      <c r="M669">
        <v>1.5</v>
      </c>
      <c r="N669" s="2" t="s">
        <v>695</v>
      </c>
      <c r="O669" t="str">
        <f>D669&amp;"-"&amp;E669&amp;"-"&amp;F669&amp;"-"&amp;G669&amp;"-"&amp;H669</f>
        <v>E-1-e-0-2.5</v>
      </c>
      <c r="P669" t="str">
        <f>I669&amp;"-"&amp;J669&amp;"-"&amp;K669&amp;"-"&amp;L669&amp;"-"&amp;M669</f>
        <v>X-1-e-0-1.5</v>
      </c>
      <c r="Q669">
        <f>A669+R669</f>
        <v>18893.095388999998</v>
      </c>
      <c r="R669">
        <f>_xlfn.IFNA(VLOOKUP(P669,PGOPHER!A$2:G$181,7,FALSE),_xlfn.IFNA(VLOOKUP(P669,en!A$2:I$768,7,FALSE),-10000))</f>
        <v>7.3283290000000001</v>
      </c>
      <c r="S669">
        <f>IF(O669=O668,Q668+S668,Q669)</f>
        <v>18893.095388999998</v>
      </c>
      <c r="T669">
        <f>IF(O669=O668,T668+1,1)</f>
        <v>1</v>
      </c>
      <c r="U669" t="str">
        <f>IF(O669=O670,"",S669/T669)</f>
        <v/>
      </c>
      <c r="V669" t="str">
        <f>IF(U669="","",IF(ABS(Q669-U669)&gt;V$1,"error",""))</f>
        <v/>
      </c>
    </row>
    <row r="670" spans="1:22" x14ac:dyDescent="0.55000000000000004">
      <c r="A670">
        <v>18849.325710000001</v>
      </c>
      <c r="B670" s="1">
        <v>5.0000000000000001E-3</v>
      </c>
      <c r="C670" s="1">
        <v>5.0000000000000001E-3</v>
      </c>
      <c r="D670" s="2" t="s">
        <v>680</v>
      </c>
      <c r="E670">
        <v>1</v>
      </c>
      <c r="F670" s="2" t="s">
        <v>2</v>
      </c>
      <c r="G670">
        <v>0</v>
      </c>
      <c r="H670">
        <v>2.5</v>
      </c>
      <c r="I670" s="2" t="s">
        <v>0</v>
      </c>
      <c r="J670">
        <v>1</v>
      </c>
      <c r="K670" s="2" t="s">
        <v>2</v>
      </c>
      <c r="L670">
        <v>0</v>
      </c>
      <c r="M670">
        <v>3.5</v>
      </c>
      <c r="N670" s="2" t="s">
        <v>696</v>
      </c>
      <c r="O670" t="str">
        <f>D670&amp;"-"&amp;E670&amp;"-"&amp;F670&amp;"-"&amp;G670&amp;"-"&amp;H670</f>
        <v>E-1-e-0-2.5</v>
      </c>
      <c r="P670" t="str">
        <f>I670&amp;"-"&amp;J670&amp;"-"&amp;K670&amp;"-"&amp;L670&amp;"-"&amp;M670</f>
        <v>X-1-e-0-3.5</v>
      </c>
      <c r="Q670">
        <f>A670+R670</f>
        <v>18893.093483000001</v>
      </c>
      <c r="R670">
        <f>_xlfn.IFNA(VLOOKUP(P670,PGOPHER!A$2:G$181,7,FALSE),_xlfn.IFNA(VLOOKUP(P670,en!A$2:I$768,7,FALSE),-10000))</f>
        <v>43.767772999999998</v>
      </c>
      <c r="S670">
        <f>IF(O670=O669,Q669+S669,Q670)</f>
        <v>37786.190777999996</v>
      </c>
      <c r="T670">
        <f>IF(O670=O669,T669+1,1)</f>
        <v>2</v>
      </c>
      <c r="U670" t="str">
        <f>IF(O670=O671,"",S670/T670)</f>
        <v/>
      </c>
      <c r="V670" t="str">
        <f>IF(U670="","",IF(ABS(Q670-U670)&gt;V$1,"error",""))</f>
        <v/>
      </c>
    </row>
    <row r="671" spans="1:22" x14ac:dyDescent="0.55000000000000004">
      <c r="A671">
        <v>18849.76125</v>
      </c>
      <c r="B671" s="1">
        <v>5.0000000000000001E-3</v>
      </c>
      <c r="C671" s="1">
        <v>5.0000000000000001E-3</v>
      </c>
      <c r="D671" s="2" t="s">
        <v>680</v>
      </c>
      <c r="E671">
        <v>1</v>
      </c>
      <c r="F671" s="2" t="s">
        <v>2</v>
      </c>
      <c r="G671">
        <v>0</v>
      </c>
      <c r="H671">
        <v>2.5</v>
      </c>
      <c r="I671" s="2" t="s">
        <v>0</v>
      </c>
      <c r="J671">
        <v>2</v>
      </c>
      <c r="K671" s="2" t="s">
        <v>1</v>
      </c>
      <c r="L671">
        <v>0</v>
      </c>
      <c r="M671">
        <v>2.5</v>
      </c>
      <c r="N671" s="2" t="s">
        <v>697</v>
      </c>
      <c r="O671" t="str">
        <f>D671&amp;"-"&amp;E671&amp;"-"&amp;F671&amp;"-"&amp;G671&amp;"-"&amp;H671</f>
        <v>E-1-e-0-2.5</v>
      </c>
      <c r="P671" t="str">
        <f>I671&amp;"-"&amp;J671&amp;"-"&amp;K671&amp;"-"&amp;L671&amp;"-"&amp;M671</f>
        <v>X-2-f-0-2.5</v>
      </c>
      <c r="Q671">
        <f>A671+R671</f>
        <v>18893.094742999998</v>
      </c>
      <c r="R671">
        <f>_xlfn.IFNA(VLOOKUP(P671,PGOPHER!A$2:G$181,7,FALSE),_xlfn.IFNA(VLOOKUP(P671,en!A$2:I$768,7,FALSE),-10000))</f>
        <v>43.333492999999997</v>
      </c>
      <c r="S671">
        <f>IF(O671=O670,Q670+S670,Q671)</f>
        <v>56679.284260999993</v>
      </c>
      <c r="T671">
        <f>IF(O671=O670,T670+1,1)</f>
        <v>3</v>
      </c>
      <c r="U671">
        <f>IF(O671=O672,"",S671/T671)</f>
        <v>18893.094753666664</v>
      </c>
      <c r="V671" t="str">
        <f>IF(U671="","",IF(ABS(Q671-U671)&gt;V$1,"error",""))</f>
        <v/>
      </c>
    </row>
    <row r="672" spans="1:22" x14ac:dyDescent="0.55000000000000004">
      <c r="A672">
        <v>18840.932560000001</v>
      </c>
      <c r="B672" s="1">
        <v>1.4999999999999999E-2</v>
      </c>
      <c r="C672" s="1">
        <v>1.4999999999999999E-2</v>
      </c>
      <c r="D672" s="2" t="s">
        <v>680</v>
      </c>
      <c r="E672">
        <v>1</v>
      </c>
      <c r="F672" s="2" t="s">
        <v>2</v>
      </c>
      <c r="G672">
        <v>1</v>
      </c>
      <c r="H672">
        <v>2.5</v>
      </c>
      <c r="I672" s="2" t="s">
        <v>0</v>
      </c>
      <c r="J672">
        <v>1</v>
      </c>
      <c r="K672" s="2" t="s">
        <v>2</v>
      </c>
      <c r="L672">
        <v>1</v>
      </c>
      <c r="M672">
        <v>3.5</v>
      </c>
      <c r="N672" s="2" t="s">
        <v>953</v>
      </c>
      <c r="O672" t="str">
        <f>D672&amp;"-"&amp;E672&amp;"-"&amp;F672&amp;"-"&amp;G672&amp;"-"&amp;H672</f>
        <v>E-1-e-1-2.5</v>
      </c>
      <c r="P672" t="str">
        <f>I672&amp;"-"&amp;J672&amp;"-"&amp;K672&amp;"-"&amp;L672&amp;"-"&amp;M672</f>
        <v>X-1-e-1-3.5</v>
      </c>
      <c r="Q672">
        <f>A672+R672</f>
        <v>20056.53369</v>
      </c>
      <c r="R672">
        <f>_xlfn.IFNA(VLOOKUP(P672,PGOPHER!A$2:G$181,7,FALSE),_xlfn.IFNA(VLOOKUP(P672,en!A$2:I$768,7,FALSE),-10000))</f>
        <v>1215.60113</v>
      </c>
      <c r="S672">
        <f>IF(O672=O671,Q671+S671,Q672)</f>
        <v>20056.53369</v>
      </c>
      <c r="T672">
        <f>IF(O672=O671,T671+1,1)</f>
        <v>1</v>
      </c>
      <c r="U672" t="str">
        <f>IF(O672=O673,"",S672/T672)</f>
        <v/>
      </c>
      <c r="V672" t="str">
        <f>IF(U672="","",IF(ABS(Q672-U672)&gt;V$1,"error",""))</f>
        <v/>
      </c>
    </row>
    <row r="673" spans="1:22" x14ac:dyDescent="0.55000000000000004">
      <c r="A673">
        <v>18876.54089</v>
      </c>
      <c r="B673" s="1">
        <v>1.4999999999999999E-2</v>
      </c>
      <c r="C673" s="1">
        <v>1.4999999999999999E-2</v>
      </c>
      <c r="D673" s="2" t="s">
        <v>680</v>
      </c>
      <c r="E673">
        <v>1</v>
      </c>
      <c r="F673" s="2" t="s">
        <v>2</v>
      </c>
      <c r="G673">
        <v>1</v>
      </c>
      <c r="H673">
        <v>2.5</v>
      </c>
      <c r="I673" s="2" t="s">
        <v>0</v>
      </c>
      <c r="J673">
        <v>1</v>
      </c>
      <c r="K673" s="2" t="s">
        <v>2</v>
      </c>
      <c r="L673">
        <v>1</v>
      </c>
      <c r="M673">
        <v>1.5</v>
      </c>
      <c r="N673" s="2" t="s">
        <v>954</v>
      </c>
      <c r="O673" t="str">
        <f>D673&amp;"-"&amp;E673&amp;"-"&amp;F673&amp;"-"&amp;G673&amp;"-"&amp;H673</f>
        <v>E-1-e-1-2.5</v>
      </c>
      <c r="P673" t="str">
        <f>I673&amp;"-"&amp;J673&amp;"-"&amp;K673&amp;"-"&amp;L673&amp;"-"&amp;M673</f>
        <v>X-1-e-1-1.5</v>
      </c>
      <c r="Q673">
        <f>A673+R673</f>
        <v>20056.509425</v>
      </c>
      <c r="R673">
        <f>_xlfn.IFNA(VLOOKUP(P673,PGOPHER!A$2:G$181,7,FALSE),_xlfn.IFNA(VLOOKUP(P673,en!A$2:I$768,7,FALSE),-10000))</f>
        <v>1179.968535</v>
      </c>
      <c r="S673">
        <f>IF(O673=O672,Q672+S672,Q673)</f>
        <v>40113.06738</v>
      </c>
      <c r="T673">
        <f>IF(O673=O672,T672+1,1)</f>
        <v>2</v>
      </c>
      <c r="U673" t="str">
        <f>IF(O673=O674,"",S673/T673)</f>
        <v/>
      </c>
      <c r="V673" t="str">
        <f>IF(U673="","",IF(ABS(Q673-U673)&gt;V$1,"error",""))</f>
        <v/>
      </c>
    </row>
    <row r="674" spans="1:22" x14ac:dyDescent="0.55000000000000004">
      <c r="A674">
        <v>18841.33642</v>
      </c>
      <c r="B674" s="1">
        <v>5.0000000000000001E-3</v>
      </c>
      <c r="C674" s="1">
        <v>5.0000000000000001E-3</v>
      </c>
      <c r="D674" s="2" t="s">
        <v>680</v>
      </c>
      <c r="E674">
        <v>1</v>
      </c>
      <c r="F674" s="2" t="s">
        <v>2</v>
      </c>
      <c r="G674">
        <v>1</v>
      </c>
      <c r="H674">
        <v>2.5</v>
      </c>
      <c r="I674" s="2" t="s">
        <v>0</v>
      </c>
      <c r="J674">
        <v>2</v>
      </c>
      <c r="K674" s="2" t="s">
        <v>1</v>
      </c>
      <c r="L674">
        <v>1</v>
      </c>
      <c r="M674">
        <v>2.5</v>
      </c>
      <c r="N674" s="2" t="s">
        <v>955</v>
      </c>
      <c r="O674" t="str">
        <f>D674&amp;"-"&amp;E674&amp;"-"&amp;F674&amp;"-"&amp;G674&amp;"-"&amp;H674</f>
        <v>E-1-e-1-2.5</v>
      </c>
      <c r="P674" t="str">
        <f>I674&amp;"-"&amp;J674&amp;"-"&amp;K674&amp;"-"&amp;L674&amp;"-"&amp;M674</f>
        <v>X-2-f-1-2.5</v>
      </c>
      <c r="Q674">
        <f>A674+R674</f>
        <v>20056.518349999998</v>
      </c>
      <c r="R674">
        <f>_xlfn.IFNA(VLOOKUP(P674,PGOPHER!A$2:G$181,7,FALSE),_xlfn.IFNA(VLOOKUP(P674,en!A$2:I$768,7,FALSE),-10000))</f>
        <v>1215.18193</v>
      </c>
      <c r="S674">
        <f>IF(O674=O673,Q673+S673,Q674)</f>
        <v>60169.576805000004</v>
      </c>
      <c r="T674">
        <f>IF(O674=O673,T673+1,1)</f>
        <v>3</v>
      </c>
      <c r="U674">
        <f>IF(O674=O675,"",S674/T674)</f>
        <v>20056.525601666668</v>
      </c>
      <c r="V674" t="str">
        <f>IF(U674="","",IF(ABS(Q674-U674)&gt;V$1,"error",""))</f>
        <v/>
      </c>
    </row>
    <row r="675" spans="1:22" x14ac:dyDescent="0.55000000000000004">
      <c r="A675">
        <v>18821.038270000001</v>
      </c>
      <c r="B675" s="1">
        <v>1.66E-2</v>
      </c>
      <c r="C675" s="1">
        <v>1.66E-2</v>
      </c>
      <c r="D675" s="2" t="s">
        <v>680</v>
      </c>
      <c r="E675">
        <v>1</v>
      </c>
      <c r="F675" s="2" t="s">
        <v>1</v>
      </c>
      <c r="G675">
        <v>0</v>
      </c>
      <c r="H675">
        <v>2.5</v>
      </c>
      <c r="I675" s="2" t="s">
        <v>0</v>
      </c>
      <c r="J675">
        <v>2</v>
      </c>
      <c r="K675" s="2" t="s">
        <v>1</v>
      </c>
      <c r="L675">
        <v>0</v>
      </c>
      <c r="M675">
        <v>3.5</v>
      </c>
      <c r="N675" s="2" t="s">
        <v>698</v>
      </c>
      <c r="O675" t="str">
        <f>D675&amp;"-"&amp;E675&amp;"-"&amp;F675&amp;"-"&amp;G675&amp;"-"&amp;H675</f>
        <v>E-1-f-0-2.5</v>
      </c>
      <c r="P675" t="str">
        <f>I675&amp;"-"&amp;J675&amp;"-"&amp;K675&amp;"-"&amp;L675&amp;"-"&amp;M675</f>
        <v>X-2-f-0-3.5</v>
      </c>
      <c r="Q675">
        <f>A675+R675</f>
        <v>18893.342826</v>
      </c>
      <c r="R675">
        <f>_xlfn.IFNA(VLOOKUP(P675,PGOPHER!A$2:G$181,7,FALSE),_xlfn.IFNA(VLOOKUP(P675,en!A$2:I$768,7,FALSE),-10000))</f>
        <v>72.304556000000005</v>
      </c>
      <c r="S675">
        <f>IF(O675=O674,Q674+S674,Q675)</f>
        <v>18893.342826</v>
      </c>
      <c r="T675">
        <f>IF(O675=O674,T674+1,1)</f>
        <v>1</v>
      </c>
      <c r="U675" t="str">
        <f>IF(O675=O676,"",S675/T675)</f>
        <v/>
      </c>
      <c r="V675" t="str">
        <f>IF(U675="","",IF(ABS(Q675-U675)&gt;V$1,"error",""))</f>
        <v/>
      </c>
    </row>
    <row r="676" spans="1:22" x14ac:dyDescent="0.55000000000000004">
      <c r="A676">
        <v>18871.751230000002</v>
      </c>
      <c r="B676" s="1">
        <v>5.0000000000000001E-3</v>
      </c>
      <c r="C676" s="1">
        <v>5.0000000000000001E-3</v>
      </c>
      <c r="D676" s="2" t="s">
        <v>680</v>
      </c>
      <c r="E676">
        <v>1</v>
      </c>
      <c r="F676" s="2" t="s">
        <v>1</v>
      </c>
      <c r="G676">
        <v>0</v>
      </c>
      <c r="H676">
        <v>2.5</v>
      </c>
      <c r="I676" s="2" t="s">
        <v>0</v>
      </c>
      <c r="J676">
        <v>2</v>
      </c>
      <c r="K676" s="2" t="s">
        <v>1</v>
      </c>
      <c r="L676">
        <v>0</v>
      </c>
      <c r="M676">
        <v>1.5</v>
      </c>
      <c r="N676" s="2" t="s">
        <v>699</v>
      </c>
      <c r="O676" t="str">
        <f>D676&amp;"-"&amp;E676&amp;"-"&amp;F676&amp;"-"&amp;G676&amp;"-"&amp;H676</f>
        <v>E-1-f-0-2.5</v>
      </c>
      <c r="P676" t="str">
        <f>I676&amp;"-"&amp;J676&amp;"-"&amp;K676&amp;"-"&amp;L676&amp;"-"&amp;M676</f>
        <v>X-2-f-0-1.5</v>
      </c>
      <c r="Q676">
        <f>A676+R676</f>
        <v>18893.361126000003</v>
      </c>
      <c r="R676">
        <f>_xlfn.IFNA(VLOOKUP(P676,PGOPHER!A$2:G$181,7,FALSE),_xlfn.IFNA(VLOOKUP(P676,en!A$2:I$768,7,FALSE),-10000))</f>
        <v>21.609895999999999</v>
      </c>
      <c r="S676">
        <f>IF(O676=O675,Q675+S675,Q676)</f>
        <v>37786.685652</v>
      </c>
      <c r="T676">
        <f>IF(O676=O675,T675+1,1)</f>
        <v>2</v>
      </c>
      <c r="U676" t="str">
        <f>IF(O676=O677,"",S676/T676)</f>
        <v/>
      </c>
      <c r="V676" t="str">
        <f>IF(U676="","",IF(ABS(Q676-U676)&gt;V$1,"error",""))</f>
        <v/>
      </c>
    </row>
    <row r="677" spans="1:22" x14ac:dyDescent="0.55000000000000004">
      <c r="A677">
        <v>18871.4228</v>
      </c>
      <c r="B677" s="1">
        <v>1.6799999999999999E-2</v>
      </c>
      <c r="C677" s="1">
        <v>1.6799999999999999E-2</v>
      </c>
      <c r="D677" s="2" t="s">
        <v>680</v>
      </c>
      <c r="E677">
        <v>1</v>
      </c>
      <c r="F677" s="2" t="s">
        <v>1</v>
      </c>
      <c r="G677">
        <v>0</v>
      </c>
      <c r="H677">
        <v>2.5</v>
      </c>
      <c r="I677" s="2" t="s">
        <v>0</v>
      </c>
      <c r="J677">
        <v>1</v>
      </c>
      <c r="K677" s="2" t="s">
        <v>2</v>
      </c>
      <c r="L677">
        <v>0</v>
      </c>
      <c r="M677">
        <v>2.5</v>
      </c>
      <c r="N677" s="2" t="s">
        <v>700</v>
      </c>
      <c r="O677" t="str">
        <f>D677&amp;"-"&amp;E677&amp;"-"&amp;F677&amp;"-"&amp;G677&amp;"-"&amp;H677</f>
        <v>E-1-f-0-2.5</v>
      </c>
      <c r="P677" t="str">
        <f>I677&amp;"-"&amp;J677&amp;"-"&amp;K677&amp;"-"&amp;L677&amp;"-"&amp;M677</f>
        <v>X-1-e-0-2.5</v>
      </c>
      <c r="Q677">
        <f>A677+R677</f>
        <v>18893.342499999999</v>
      </c>
      <c r="R677">
        <f>_xlfn.IFNA(VLOOKUP(P677,PGOPHER!A$2:G$181,7,FALSE),_xlfn.IFNA(VLOOKUP(P677,en!A$2:I$768,7,FALSE),-10000))</f>
        <v>21.919699999999999</v>
      </c>
      <c r="S677">
        <f>IF(O677=O676,Q676+S676,Q677)</f>
        <v>56680.046778000004</v>
      </c>
      <c r="T677">
        <f>IF(O677=O676,T676+1,1)</f>
        <v>3</v>
      </c>
      <c r="U677">
        <f>IF(O677=O678,"",S677/T677)</f>
        <v>18893.348926000002</v>
      </c>
      <c r="V677" t="str">
        <f>IF(U677="","",IF(ABS(Q677-U677)&gt;V$1,"error",""))</f>
        <v/>
      </c>
    </row>
    <row r="678" spans="1:22" x14ac:dyDescent="0.55000000000000004">
      <c r="A678">
        <v>18862.79232</v>
      </c>
      <c r="B678" s="1">
        <v>1.06E-2</v>
      </c>
      <c r="C678" s="1">
        <v>1.06E-2</v>
      </c>
      <c r="D678" s="2" t="s">
        <v>680</v>
      </c>
      <c r="E678">
        <v>1</v>
      </c>
      <c r="F678" s="2" t="s">
        <v>1</v>
      </c>
      <c r="G678">
        <v>1</v>
      </c>
      <c r="H678">
        <v>2.5</v>
      </c>
      <c r="I678" s="2" t="s">
        <v>0</v>
      </c>
      <c r="J678">
        <v>2</v>
      </c>
      <c r="K678" s="2" t="s">
        <v>1</v>
      </c>
      <c r="L678">
        <v>1</v>
      </c>
      <c r="M678">
        <v>1.5</v>
      </c>
      <c r="N678" s="2" t="s">
        <v>956</v>
      </c>
      <c r="O678" t="str">
        <f>D678&amp;"-"&amp;E678&amp;"-"&amp;F678&amp;"-"&amp;G678&amp;"-"&amp;H678</f>
        <v>E-1-f-1-2.5</v>
      </c>
      <c r="P678" t="str">
        <f>I678&amp;"-"&amp;J678&amp;"-"&amp;K678&amp;"-"&amp;L678&amp;"-"&amp;M678</f>
        <v>X-2-f-1-1.5</v>
      </c>
      <c r="Q678">
        <f>A678+R678</f>
        <v>20056.729445000001</v>
      </c>
      <c r="R678">
        <f>_xlfn.IFNA(VLOOKUP(P678,PGOPHER!A$2:G$181,7,FALSE),_xlfn.IFNA(VLOOKUP(P678,en!A$2:I$768,7,FALSE),-10000))</f>
        <v>1193.9371249999999</v>
      </c>
      <c r="S678">
        <f>IF(O678=O677,Q677+S677,Q678)</f>
        <v>20056.729445000001</v>
      </c>
      <c r="T678">
        <f>IF(O678=O677,T677+1,1)</f>
        <v>1</v>
      </c>
      <c r="U678" t="str">
        <f>IF(O678=O679,"",S678/T678)</f>
        <v/>
      </c>
      <c r="V678" t="str">
        <f>IF(U678="","",IF(ABS(Q678-U678)&gt;V$1,"error",""))</f>
        <v/>
      </c>
    </row>
    <row r="679" spans="1:22" x14ac:dyDescent="0.55000000000000004">
      <c r="A679">
        <v>18813.20203</v>
      </c>
      <c r="B679" s="1">
        <v>6.6499999999999997E-3</v>
      </c>
      <c r="C679" s="1">
        <v>6.6499999999999997E-3</v>
      </c>
      <c r="D679" s="2" t="s">
        <v>680</v>
      </c>
      <c r="E679">
        <v>1</v>
      </c>
      <c r="F679" s="2" t="s">
        <v>1</v>
      </c>
      <c r="G679">
        <v>1</v>
      </c>
      <c r="H679">
        <v>2.5</v>
      </c>
      <c r="I679" s="2" t="s">
        <v>0</v>
      </c>
      <c r="J679">
        <v>2</v>
      </c>
      <c r="K679" s="2" t="s">
        <v>1</v>
      </c>
      <c r="L679">
        <v>1</v>
      </c>
      <c r="M679">
        <v>3.5</v>
      </c>
      <c r="N679" s="2" t="s">
        <v>957</v>
      </c>
      <c r="O679" t="str">
        <f>D679&amp;"-"&amp;E679&amp;"-"&amp;F679&amp;"-"&amp;G679&amp;"-"&amp;H679</f>
        <v>E-1-f-1-2.5</v>
      </c>
      <c r="P679" t="str">
        <f>I679&amp;"-"&amp;J679&amp;"-"&amp;K679&amp;"-"&amp;L679&amp;"-"&amp;M679</f>
        <v>X-2-f-1-3.5</v>
      </c>
      <c r="Q679">
        <f>A679+R679</f>
        <v>20056.715377</v>
      </c>
      <c r="R679">
        <f>_xlfn.IFNA(VLOOKUP(P679,PGOPHER!A$2:G$181,7,FALSE),_xlfn.IFNA(VLOOKUP(P679,en!A$2:I$768,7,FALSE),-10000))</f>
        <v>1243.5133470000001</v>
      </c>
      <c r="S679">
        <f>IF(O679=O678,Q678+S678,Q679)</f>
        <v>40113.458890000002</v>
      </c>
      <c r="T679">
        <f>IF(O679=O678,T678+1,1)</f>
        <v>2</v>
      </c>
      <c r="U679" t="str">
        <f>IF(O679=O680,"",S679/T679)</f>
        <v/>
      </c>
      <c r="V679" t="str">
        <f>IF(U679="","",IF(ABS(Q679-U679)&gt;V$1,"error",""))</f>
        <v/>
      </c>
    </row>
    <row r="680" spans="1:22" x14ac:dyDescent="0.55000000000000004">
      <c r="A680">
        <v>18862.48244</v>
      </c>
      <c r="B680" s="1">
        <v>5.0000000000000001E-3</v>
      </c>
      <c r="C680" s="1">
        <v>5.0000000000000001E-3</v>
      </c>
      <c r="D680" s="2" t="s">
        <v>680</v>
      </c>
      <c r="E680">
        <v>1</v>
      </c>
      <c r="F680" s="2" t="s">
        <v>1</v>
      </c>
      <c r="G680">
        <v>1</v>
      </c>
      <c r="H680">
        <v>2.5</v>
      </c>
      <c r="I680" s="2" t="s">
        <v>0</v>
      </c>
      <c r="J680">
        <v>1</v>
      </c>
      <c r="K680" s="2" t="s">
        <v>2</v>
      </c>
      <c r="L680">
        <v>1</v>
      </c>
      <c r="M680">
        <v>2.5</v>
      </c>
      <c r="N680" s="2" t="s">
        <v>958</v>
      </c>
      <c r="O680" t="str">
        <f>D680&amp;"-"&amp;E680&amp;"-"&amp;F680&amp;"-"&amp;G680&amp;"-"&amp;H680</f>
        <v>E-1-f-1-2.5</v>
      </c>
      <c r="P680" t="str">
        <f>I680&amp;"-"&amp;J680&amp;"-"&amp;K680&amp;"-"&amp;L680&amp;"-"&amp;M680</f>
        <v>X-1-e-1-2.5</v>
      </c>
      <c r="Q680">
        <f>A680+R680</f>
        <v>20056.719259999998</v>
      </c>
      <c r="R680">
        <f>_xlfn.IFNA(VLOOKUP(P680,PGOPHER!A$2:G$181,7,FALSE),_xlfn.IFNA(VLOOKUP(P680,en!A$2:I$768,7,FALSE),-10000))</f>
        <v>1194.2368200000001</v>
      </c>
      <c r="S680">
        <f>IF(O680=O679,Q679+S679,Q680)</f>
        <v>60170.174267000002</v>
      </c>
      <c r="T680">
        <f>IF(O680=O679,T679+1,1)</f>
        <v>3</v>
      </c>
      <c r="U680">
        <f>IF(O680=O681,"",S680/T680)</f>
        <v>20056.724755666666</v>
      </c>
      <c r="V680" t="str">
        <f>IF(U680="","",IF(ABS(Q680-U680)&gt;V$1,"error",""))</f>
        <v/>
      </c>
    </row>
    <row r="681" spans="1:22" x14ac:dyDescent="0.55000000000000004">
      <c r="A681">
        <v>18991.837179999999</v>
      </c>
      <c r="B681" s="1">
        <v>5.0000000000000001E-3</v>
      </c>
      <c r="C681" s="1">
        <v>5.0000000000000001E-3</v>
      </c>
      <c r="D681" s="2" t="s">
        <v>680</v>
      </c>
      <c r="E681">
        <v>2</v>
      </c>
      <c r="F681" s="2" t="s">
        <v>2</v>
      </c>
      <c r="G681">
        <v>0</v>
      </c>
      <c r="H681">
        <v>2.5</v>
      </c>
      <c r="I681" s="2" t="s">
        <v>0</v>
      </c>
      <c r="J681">
        <v>1</v>
      </c>
      <c r="K681" s="2" t="s">
        <v>2</v>
      </c>
      <c r="L681">
        <v>0</v>
      </c>
      <c r="M681">
        <v>1.5</v>
      </c>
      <c r="N681" s="2" t="s">
        <v>701</v>
      </c>
      <c r="O681" t="str">
        <f>D681&amp;"-"&amp;E681&amp;"-"&amp;F681&amp;"-"&amp;G681&amp;"-"&amp;H681</f>
        <v>E-2-e-0-2.5</v>
      </c>
      <c r="P681" t="str">
        <f>I681&amp;"-"&amp;J681&amp;"-"&amp;K681&amp;"-"&amp;L681&amp;"-"&amp;M681</f>
        <v>X-1-e-0-1.5</v>
      </c>
      <c r="Q681">
        <f>A681+R681</f>
        <v>18999.165508999999</v>
      </c>
      <c r="R681">
        <f>_xlfn.IFNA(VLOOKUP(P681,PGOPHER!A$2:G$181,7,FALSE),_xlfn.IFNA(VLOOKUP(P681,en!A$2:I$768,7,FALSE),-10000))</f>
        <v>7.3283290000000001</v>
      </c>
      <c r="S681">
        <f>IF(O681=O680,Q680+S680,Q681)</f>
        <v>18999.165508999999</v>
      </c>
      <c r="T681">
        <f>IF(O681=O680,T680+1,1)</f>
        <v>1</v>
      </c>
      <c r="U681" t="str">
        <f>IF(O681=O682,"",S681/T681)</f>
        <v/>
      </c>
      <c r="V681" t="str">
        <f>IF(U681="","",IF(ABS(Q681-U681)&gt;V$1,"error",""))</f>
        <v/>
      </c>
    </row>
    <row r="682" spans="1:22" x14ac:dyDescent="0.55000000000000004">
      <c r="A682">
        <v>18955.389640000001</v>
      </c>
      <c r="B682" s="1">
        <v>5.0000000000000001E-3</v>
      </c>
      <c r="C682" s="1">
        <v>5.0000000000000001E-3</v>
      </c>
      <c r="D682" s="2" t="s">
        <v>680</v>
      </c>
      <c r="E682">
        <v>2</v>
      </c>
      <c r="F682" s="2" t="s">
        <v>2</v>
      </c>
      <c r="G682">
        <v>0</v>
      </c>
      <c r="H682">
        <v>2.5</v>
      </c>
      <c r="I682" s="2" t="s">
        <v>0</v>
      </c>
      <c r="J682">
        <v>1</v>
      </c>
      <c r="K682" s="2" t="s">
        <v>2</v>
      </c>
      <c r="L682">
        <v>0</v>
      </c>
      <c r="M682">
        <v>3.5</v>
      </c>
      <c r="N682" s="2" t="s">
        <v>702</v>
      </c>
      <c r="O682" t="str">
        <f>D682&amp;"-"&amp;E682&amp;"-"&amp;F682&amp;"-"&amp;G682&amp;"-"&amp;H682</f>
        <v>E-2-e-0-2.5</v>
      </c>
      <c r="P682" t="str">
        <f>I682&amp;"-"&amp;J682&amp;"-"&amp;K682&amp;"-"&amp;L682&amp;"-"&amp;M682</f>
        <v>X-1-e-0-3.5</v>
      </c>
      <c r="Q682">
        <f>A682+R682</f>
        <v>18999.157413000001</v>
      </c>
      <c r="R682">
        <f>_xlfn.IFNA(VLOOKUP(P682,PGOPHER!A$2:G$181,7,FALSE),_xlfn.IFNA(VLOOKUP(P682,en!A$2:I$768,7,FALSE),-10000))</f>
        <v>43.767772999999998</v>
      </c>
      <c r="S682">
        <f>IF(O682=O681,Q681+S681,Q682)</f>
        <v>37998.331017999997</v>
      </c>
      <c r="T682">
        <f>IF(O682=O681,T681+1,1)</f>
        <v>2</v>
      </c>
      <c r="U682" t="str">
        <f>IF(O682=O683,"",S682/T682)</f>
        <v/>
      </c>
      <c r="V682" t="str">
        <f>IF(U682="","",IF(ABS(Q682-U682)&gt;V$1,"error",""))</f>
        <v/>
      </c>
    </row>
    <row r="683" spans="1:22" x14ac:dyDescent="0.55000000000000004">
      <c r="A683">
        <v>18955.81882</v>
      </c>
      <c r="B683" s="1">
        <v>1.4999999999999999E-2</v>
      </c>
      <c r="C683" s="1">
        <v>1.4999999999999999E-2</v>
      </c>
      <c r="D683" s="2" t="s">
        <v>680</v>
      </c>
      <c r="E683">
        <v>2</v>
      </c>
      <c r="F683" s="2" t="s">
        <v>2</v>
      </c>
      <c r="G683">
        <v>0</v>
      </c>
      <c r="H683">
        <v>2.5</v>
      </c>
      <c r="I683" s="2" t="s">
        <v>0</v>
      </c>
      <c r="J683">
        <v>2</v>
      </c>
      <c r="K683" s="2" t="s">
        <v>1</v>
      </c>
      <c r="L683">
        <v>0</v>
      </c>
      <c r="M683">
        <v>2.5</v>
      </c>
      <c r="N683" s="2" t="s">
        <v>703</v>
      </c>
      <c r="O683" t="str">
        <f>D683&amp;"-"&amp;E683&amp;"-"&amp;F683&amp;"-"&amp;G683&amp;"-"&amp;H683</f>
        <v>E-2-e-0-2.5</v>
      </c>
      <c r="P683" t="str">
        <f>I683&amp;"-"&amp;J683&amp;"-"&amp;K683&amp;"-"&amp;L683&amp;"-"&amp;M683</f>
        <v>X-2-f-0-2.5</v>
      </c>
      <c r="Q683">
        <f>A683+R683</f>
        <v>18999.152312999999</v>
      </c>
      <c r="R683">
        <f>_xlfn.IFNA(VLOOKUP(P683,PGOPHER!A$2:G$181,7,FALSE),_xlfn.IFNA(VLOOKUP(P683,en!A$2:I$768,7,FALSE),-10000))</f>
        <v>43.333492999999997</v>
      </c>
      <c r="S683">
        <f>IF(O683=O682,Q682+S682,Q683)</f>
        <v>56997.488430999998</v>
      </c>
      <c r="T683">
        <f>IF(O683=O682,T682+1,1)</f>
        <v>3</v>
      </c>
      <c r="U683">
        <f>IF(O683=O684,"",S683/T683)</f>
        <v>18999.162810333331</v>
      </c>
      <c r="V683" t="str">
        <f>IF(U683="","",IF(ABS(Q683-U683)&gt;V$1,"error",""))</f>
        <v/>
      </c>
    </row>
    <row r="684" spans="1:22" x14ac:dyDescent="0.55000000000000004">
      <c r="A684">
        <v>18986.235720000001</v>
      </c>
      <c r="B684" s="1">
        <v>5.0000000000000001E-3</v>
      </c>
      <c r="C684" s="1">
        <v>5.0000000000000001E-3</v>
      </c>
      <c r="D684" s="2" t="s">
        <v>680</v>
      </c>
      <c r="E684">
        <v>2</v>
      </c>
      <c r="F684" s="2" t="s">
        <v>2</v>
      </c>
      <c r="G684">
        <v>1</v>
      </c>
      <c r="H684">
        <v>2.5</v>
      </c>
      <c r="I684" s="2" t="s">
        <v>0</v>
      </c>
      <c r="J684">
        <v>1</v>
      </c>
      <c r="K684" s="2" t="s">
        <v>2</v>
      </c>
      <c r="L684">
        <v>1</v>
      </c>
      <c r="M684">
        <v>1.5</v>
      </c>
      <c r="N684" s="2" t="s">
        <v>959</v>
      </c>
      <c r="O684" t="str">
        <f>D684&amp;"-"&amp;E684&amp;"-"&amp;F684&amp;"-"&amp;G684&amp;"-"&amp;H684</f>
        <v>E-2-e-1-2.5</v>
      </c>
      <c r="P684" t="str">
        <f>I684&amp;"-"&amp;J684&amp;"-"&amp;K684&amp;"-"&amp;L684&amp;"-"&amp;M684</f>
        <v>X-1-e-1-1.5</v>
      </c>
      <c r="Q684">
        <f>A684+R684</f>
        <v>20166.204255000001</v>
      </c>
      <c r="R684">
        <f>_xlfn.IFNA(VLOOKUP(P684,PGOPHER!A$2:G$181,7,FALSE),_xlfn.IFNA(VLOOKUP(P684,en!A$2:I$768,7,FALSE),-10000))</f>
        <v>1179.968535</v>
      </c>
      <c r="S684">
        <f>IF(O684=O683,Q683+S683,Q684)</f>
        <v>20166.204255000001</v>
      </c>
      <c r="T684">
        <f>IF(O684=O683,T683+1,1)</f>
        <v>1</v>
      </c>
      <c r="U684" t="str">
        <f>IF(O684=O685,"",S684/T684)</f>
        <v/>
      </c>
      <c r="V684" t="str">
        <f>IF(U684="","",IF(ABS(Q684-U684)&gt;V$1,"error",""))</f>
        <v/>
      </c>
    </row>
    <row r="685" spans="1:22" x14ac:dyDescent="0.55000000000000004">
      <c r="A685">
        <v>18950.601139999999</v>
      </c>
      <c r="B685" s="1">
        <v>5.0000000000000001E-3</v>
      </c>
      <c r="C685" s="1">
        <v>5.0000000000000001E-3</v>
      </c>
      <c r="D685" s="2" t="s">
        <v>680</v>
      </c>
      <c r="E685">
        <v>2</v>
      </c>
      <c r="F685" s="2" t="s">
        <v>2</v>
      </c>
      <c r="G685">
        <v>1</v>
      </c>
      <c r="H685">
        <v>2.5</v>
      </c>
      <c r="I685" s="2" t="s">
        <v>0</v>
      </c>
      <c r="J685">
        <v>1</v>
      </c>
      <c r="K685" s="2" t="s">
        <v>2</v>
      </c>
      <c r="L685">
        <v>1</v>
      </c>
      <c r="M685">
        <v>3.5</v>
      </c>
      <c r="N685" s="2" t="s">
        <v>960</v>
      </c>
      <c r="O685" t="str">
        <f>D685&amp;"-"&amp;E685&amp;"-"&amp;F685&amp;"-"&amp;G685&amp;"-"&amp;H685</f>
        <v>E-2-e-1-2.5</v>
      </c>
      <c r="P685" t="str">
        <f>I685&amp;"-"&amp;J685&amp;"-"&amp;K685&amp;"-"&amp;L685&amp;"-"&amp;M685</f>
        <v>X-1-e-1-3.5</v>
      </c>
      <c r="Q685">
        <f>A685+R685</f>
        <v>20166.202269999998</v>
      </c>
      <c r="R685">
        <f>_xlfn.IFNA(VLOOKUP(P685,PGOPHER!A$2:G$181,7,FALSE),_xlfn.IFNA(VLOOKUP(P685,en!A$2:I$768,7,FALSE),-10000))</f>
        <v>1215.60113</v>
      </c>
      <c r="S685">
        <f>IF(O685=O684,Q684+S684,Q685)</f>
        <v>40332.408510000001</v>
      </c>
      <c r="T685">
        <f>IF(O685=O684,T684+1,1)</f>
        <v>2</v>
      </c>
      <c r="U685" t="str">
        <f>IF(O685=O686,"",S685/T685)</f>
        <v/>
      </c>
      <c r="V685" t="str">
        <f>IF(U685="","",IF(ABS(Q685-U685)&gt;V$1,"error",""))</f>
        <v/>
      </c>
    </row>
    <row r="686" spans="1:22" x14ac:dyDescent="0.55000000000000004">
      <c r="A686">
        <v>18951.036110000001</v>
      </c>
      <c r="B686" s="1">
        <v>1.4999999999999999E-2</v>
      </c>
      <c r="C686" s="1">
        <v>1.4999999999999999E-2</v>
      </c>
      <c r="D686" s="2" t="s">
        <v>680</v>
      </c>
      <c r="E686">
        <v>2</v>
      </c>
      <c r="F686" s="2" t="s">
        <v>2</v>
      </c>
      <c r="G686">
        <v>1</v>
      </c>
      <c r="H686">
        <v>2.5</v>
      </c>
      <c r="I686" s="2" t="s">
        <v>0</v>
      </c>
      <c r="J686">
        <v>2</v>
      </c>
      <c r="K686" s="2" t="s">
        <v>1</v>
      </c>
      <c r="L686">
        <v>1</v>
      </c>
      <c r="M686">
        <v>2.5</v>
      </c>
      <c r="N686" s="2" t="s">
        <v>961</v>
      </c>
      <c r="O686" t="str">
        <f>D686&amp;"-"&amp;E686&amp;"-"&amp;F686&amp;"-"&amp;G686&amp;"-"&amp;H686</f>
        <v>E-2-e-1-2.5</v>
      </c>
      <c r="P686" t="str">
        <f>I686&amp;"-"&amp;J686&amp;"-"&amp;K686&amp;"-"&amp;L686&amp;"-"&amp;M686</f>
        <v>X-2-f-1-2.5</v>
      </c>
      <c r="Q686">
        <f>A686+R686</f>
        <v>20166.21804</v>
      </c>
      <c r="R686">
        <f>_xlfn.IFNA(VLOOKUP(P686,PGOPHER!A$2:G$181,7,FALSE),_xlfn.IFNA(VLOOKUP(P686,en!A$2:I$768,7,FALSE),-10000))</f>
        <v>1215.18193</v>
      </c>
      <c r="S686">
        <f>IF(O686=O685,Q685+S685,Q686)</f>
        <v>60498.610780000003</v>
      </c>
      <c r="T686">
        <f>IF(O686=O685,T685+1,1)</f>
        <v>3</v>
      </c>
      <c r="U686">
        <f>IF(O686=O687,"",S686/T686)</f>
        <v>20166.203593333335</v>
      </c>
      <c r="V686" t="str">
        <f>IF(U686="","",IF(ABS(Q686-U686)&gt;V$1,"error",""))</f>
        <v/>
      </c>
    </row>
    <row r="687" spans="1:22" x14ac:dyDescent="0.55000000000000004">
      <c r="A687">
        <v>18977.564399999999</v>
      </c>
      <c r="B687" s="1">
        <v>5.0000000000000001E-3</v>
      </c>
      <c r="C687" s="1">
        <v>5.0000000000000001E-3</v>
      </c>
      <c r="D687" s="2" t="s">
        <v>680</v>
      </c>
      <c r="E687">
        <v>2</v>
      </c>
      <c r="F687" s="2" t="s">
        <v>1</v>
      </c>
      <c r="G687">
        <v>0</v>
      </c>
      <c r="H687">
        <v>2.5</v>
      </c>
      <c r="I687" s="2" t="s">
        <v>0</v>
      </c>
      <c r="J687">
        <v>2</v>
      </c>
      <c r="K687" s="2" t="s">
        <v>1</v>
      </c>
      <c r="L687">
        <v>0</v>
      </c>
      <c r="M687">
        <v>1.5</v>
      </c>
      <c r="N687" s="2" t="s">
        <v>704</v>
      </c>
      <c r="O687" t="str">
        <f>D687&amp;"-"&amp;E687&amp;"-"&amp;F687&amp;"-"&amp;G687&amp;"-"&amp;H687</f>
        <v>E-2-f-0-2.5</v>
      </c>
      <c r="P687" t="str">
        <f>I687&amp;"-"&amp;J687&amp;"-"&amp;K687&amp;"-"&amp;L687&amp;"-"&amp;M687</f>
        <v>X-2-f-0-1.5</v>
      </c>
      <c r="Q687">
        <f>A687+R687</f>
        <v>18999.174296000001</v>
      </c>
      <c r="R687">
        <f>_xlfn.IFNA(VLOOKUP(P687,PGOPHER!A$2:G$181,7,FALSE),_xlfn.IFNA(VLOOKUP(P687,en!A$2:I$768,7,FALSE),-10000))</f>
        <v>21.609895999999999</v>
      </c>
      <c r="S687">
        <f>IF(O687=O686,Q686+S686,Q687)</f>
        <v>18999.174296000001</v>
      </c>
      <c r="T687">
        <f>IF(O687=O686,T686+1,1)</f>
        <v>1</v>
      </c>
      <c r="U687" t="str">
        <f>IF(O687=O688,"",S687/T687)</f>
        <v/>
      </c>
      <c r="V687" t="str">
        <f>IF(U687="","",IF(ABS(Q687-U687)&gt;V$1,"error",""))</f>
        <v/>
      </c>
    </row>
    <row r="688" spans="1:22" x14ac:dyDescent="0.55000000000000004">
      <c r="A688">
        <v>18926.86275</v>
      </c>
      <c r="B688" s="1">
        <v>1.4999999999999999E-2</v>
      </c>
      <c r="C688" s="1">
        <v>1.4999999999999999E-2</v>
      </c>
      <c r="D688" s="2" t="s">
        <v>680</v>
      </c>
      <c r="E688">
        <v>2</v>
      </c>
      <c r="F688" s="2" t="s">
        <v>1</v>
      </c>
      <c r="G688">
        <v>0</v>
      </c>
      <c r="H688">
        <v>2.5</v>
      </c>
      <c r="I688" s="2" t="s">
        <v>0</v>
      </c>
      <c r="J688">
        <v>2</v>
      </c>
      <c r="K688" s="2" t="s">
        <v>1</v>
      </c>
      <c r="L688">
        <v>0</v>
      </c>
      <c r="M688">
        <v>3.5</v>
      </c>
      <c r="N688" s="2" t="s">
        <v>705</v>
      </c>
      <c r="O688" t="str">
        <f>D688&amp;"-"&amp;E688&amp;"-"&amp;F688&amp;"-"&amp;G688&amp;"-"&amp;H688</f>
        <v>E-2-f-0-2.5</v>
      </c>
      <c r="P688" t="str">
        <f>I688&amp;"-"&amp;J688&amp;"-"&amp;K688&amp;"-"&amp;L688&amp;"-"&amp;M688</f>
        <v>X-2-f-0-3.5</v>
      </c>
      <c r="Q688">
        <f>A688+R688</f>
        <v>18999.167305999999</v>
      </c>
      <c r="R688">
        <f>_xlfn.IFNA(VLOOKUP(P688,PGOPHER!A$2:G$181,7,FALSE),_xlfn.IFNA(VLOOKUP(P688,en!A$2:I$768,7,FALSE),-10000))</f>
        <v>72.304556000000005</v>
      </c>
      <c r="S688">
        <f>IF(O688=O687,Q687+S687,Q688)</f>
        <v>37998.348592000002</v>
      </c>
      <c r="T688">
        <f>IF(O688=O687,T687+1,1)</f>
        <v>2</v>
      </c>
      <c r="U688" t="str">
        <f>IF(O688=O689,"",S688/T688)</f>
        <v/>
      </c>
      <c r="V688" t="str">
        <f>IF(U688="","",IF(ABS(Q688-U688)&gt;V$1,"error",""))</f>
        <v/>
      </c>
    </row>
    <row r="689" spans="1:22" x14ac:dyDescent="0.55000000000000004">
      <c r="A689">
        <v>18977.254199999999</v>
      </c>
      <c r="B689" s="1">
        <v>5.0000000000000001E-3</v>
      </c>
      <c r="C689" s="1">
        <v>5.0000000000000001E-3</v>
      </c>
      <c r="D689" s="2" t="s">
        <v>680</v>
      </c>
      <c r="E689">
        <v>2</v>
      </c>
      <c r="F689" s="2" t="s">
        <v>1</v>
      </c>
      <c r="G689">
        <v>0</v>
      </c>
      <c r="H689">
        <v>2.5</v>
      </c>
      <c r="I689" s="2" t="s">
        <v>0</v>
      </c>
      <c r="J689">
        <v>1</v>
      </c>
      <c r="K689" s="2" t="s">
        <v>2</v>
      </c>
      <c r="L689">
        <v>0</v>
      </c>
      <c r="M689">
        <v>2.5</v>
      </c>
      <c r="N689" s="2" t="s">
        <v>706</v>
      </c>
      <c r="O689" t="str">
        <f>D689&amp;"-"&amp;E689&amp;"-"&amp;F689&amp;"-"&amp;G689&amp;"-"&amp;H689</f>
        <v>E-2-f-0-2.5</v>
      </c>
      <c r="P689" t="str">
        <f>I689&amp;"-"&amp;J689&amp;"-"&amp;K689&amp;"-"&amp;L689&amp;"-"&amp;M689</f>
        <v>X-1-e-0-2.5</v>
      </c>
      <c r="Q689">
        <f>A689+R689</f>
        <v>18999.173899999998</v>
      </c>
      <c r="R689">
        <f>_xlfn.IFNA(VLOOKUP(P689,PGOPHER!A$2:G$181,7,FALSE),_xlfn.IFNA(VLOOKUP(P689,en!A$2:I$768,7,FALSE),-10000))</f>
        <v>21.919699999999999</v>
      </c>
      <c r="S689">
        <f>IF(O689=O688,Q688+S688,Q689)</f>
        <v>56997.515897999998</v>
      </c>
      <c r="T689">
        <f>IF(O689=O688,T688+1,1)</f>
        <v>3</v>
      </c>
      <c r="U689">
        <f>IF(O689=O690,"",S689/T689)</f>
        <v>18999.171965999998</v>
      </c>
      <c r="V689" t="str">
        <f>IF(U689="","",IF(ABS(Q689-U689)&gt;V$1,"error",""))</f>
        <v/>
      </c>
    </row>
    <row r="690" spans="1:22" x14ac:dyDescent="0.55000000000000004">
      <c r="A690">
        <v>18971.981660000001</v>
      </c>
      <c r="B690" s="1">
        <v>5.0000000000000001E-3</v>
      </c>
      <c r="C690" s="1">
        <v>5.0000000000000001E-3</v>
      </c>
      <c r="D690" s="2" t="s">
        <v>680</v>
      </c>
      <c r="E690">
        <v>2</v>
      </c>
      <c r="F690" s="2" t="s">
        <v>1</v>
      </c>
      <c r="G690">
        <v>1</v>
      </c>
      <c r="H690">
        <v>2.5</v>
      </c>
      <c r="I690" s="2" t="s">
        <v>0</v>
      </c>
      <c r="J690">
        <v>1</v>
      </c>
      <c r="K690" s="2" t="s">
        <v>2</v>
      </c>
      <c r="L690">
        <v>1</v>
      </c>
      <c r="M690">
        <v>2.5</v>
      </c>
      <c r="N690" s="2" t="s">
        <v>962</v>
      </c>
      <c r="O690" t="str">
        <f>D690&amp;"-"&amp;E690&amp;"-"&amp;F690&amp;"-"&amp;G690&amp;"-"&amp;H690</f>
        <v>E-2-f-1-2.5</v>
      </c>
      <c r="P690" t="str">
        <f>I690&amp;"-"&amp;J690&amp;"-"&amp;K690&amp;"-"&amp;L690&amp;"-"&amp;M690</f>
        <v>X-1-e-1-2.5</v>
      </c>
      <c r="Q690">
        <f>A690+R690</f>
        <v>20166.218480000003</v>
      </c>
      <c r="R690">
        <f>_xlfn.IFNA(VLOOKUP(P690,PGOPHER!A$2:G$181,7,FALSE),_xlfn.IFNA(VLOOKUP(P690,en!A$2:I$768,7,FALSE),-10000))</f>
        <v>1194.2368200000001</v>
      </c>
      <c r="S690">
        <f>IF(O690=O689,Q689+S689,Q690)</f>
        <v>20166.218480000003</v>
      </c>
      <c r="T690">
        <f>IF(O690=O689,T689+1,1)</f>
        <v>1</v>
      </c>
      <c r="U690" t="str">
        <f>IF(O690=O691,"",S690/T690)</f>
        <v/>
      </c>
      <c r="V690" t="str">
        <f>IF(U690="","",IF(ABS(Q690-U690)&gt;V$1,"error",""))</f>
        <v/>
      </c>
    </row>
    <row r="691" spans="1:22" x14ac:dyDescent="0.55000000000000004">
      <c r="A691">
        <v>18972.297549999999</v>
      </c>
      <c r="B691" s="1">
        <v>1.67E-2</v>
      </c>
      <c r="C691" s="1">
        <v>1.67E-2</v>
      </c>
      <c r="D691" s="2" t="s">
        <v>680</v>
      </c>
      <c r="E691">
        <v>2</v>
      </c>
      <c r="F691" s="2" t="s">
        <v>1</v>
      </c>
      <c r="G691">
        <v>1</v>
      </c>
      <c r="H691">
        <v>2.5</v>
      </c>
      <c r="I691" s="2" t="s">
        <v>0</v>
      </c>
      <c r="J691">
        <v>2</v>
      </c>
      <c r="K691" s="2" t="s">
        <v>1</v>
      </c>
      <c r="L691">
        <v>1</v>
      </c>
      <c r="M691">
        <v>1.5</v>
      </c>
      <c r="N691" s="2" t="s">
        <v>963</v>
      </c>
      <c r="O691" t="str">
        <f>D691&amp;"-"&amp;E691&amp;"-"&amp;F691&amp;"-"&amp;G691&amp;"-"&amp;H691</f>
        <v>E-2-f-1-2.5</v>
      </c>
      <c r="P691" t="str">
        <f>I691&amp;"-"&amp;J691&amp;"-"&amp;K691&amp;"-"&amp;L691&amp;"-"&amp;M691</f>
        <v>X-2-f-1-1.5</v>
      </c>
      <c r="Q691">
        <f>A691+R691</f>
        <v>20166.234675</v>
      </c>
      <c r="R691">
        <f>_xlfn.IFNA(VLOOKUP(P691,PGOPHER!A$2:G$181,7,FALSE),_xlfn.IFNA(VLOOKUP(P691,en!A$2:I$768,7,FALSE),-10000))</f>
        <v>1193.9371249999999</v>
      </c>
      <c r="S691">
        <f>IF(O691=O690,Q690+S690,Q691)</f>
        <v>40332.436960000006</v>
      </c>
      <c r="T691">
        <f>IF(O691=O690,T690+1,1)</f>
        <v>2</v>
      </c>
      <c r="U691" t="str">
        <f>IF(O691=O692,"",S691/T691)</f>
        <v/>
      </c>
      <c r="V691" t="str">
        <f>IF(U691="","",IF(ABS(Q691-U691)&gt;V$1,"error",""))</f>
        <v/>
      </c>
    </row>
    <row r="692" spans="1:22" x14ac:dyDescent="0.55000000000000004">
      <c r="A692">
        <v>18922.698799999998</v>
      </c>
      <c r="B692" s="1">
        <v>1.4999999999999999E-2</v>
      </c>
      <c r="C692" s="1">
        <v>1.4999999999999999E-2</v>
      </c>
      <c r="D692" s="2" t="s">
        <v>680</v>
      </c>
      <c r="E692">
        <v>2</v>
      </c>
      <c r="F692" s="2" t="s">
        <v>1</v>
      </c>
      <c r="G692">
        <v>1</v>
      </c>
      <c r="H692">
        <v>2.5</v>
      </c>
      <c r="I692" s="2" t="s">
        <v>0</v>
      </c>
      <c r="J692">
        <v>2</v>
      </c>
      <c r="K692" s="2" t="s">
        <v>1</v>
      </c>
      <c r="L692">
        <v>1</v>
      </c>
      <c r="M692">
        <v>3.5</v>
      </c>
      <c r="N692" s="2" t="s">
        <v>964</v>
      </c>
      <c r="O692" t="str">
        <f>D692&amp;"-"&amp;E692&amp;"-"&amp;F692&amp;"-"&amp;G692&amp;"-"&amp;H692</f>
        <v>E-2-f-1-2.5</v>
      </c>
      <c r="P692" t="str">
        <f>I692&amp;"-"&amp;J692&amp;"-"&amp;K692&amp;"-"&amp;L692&amp;"-"&amp;M692</f>
        <v>X-2-f-1-3.5</v>
      </c>
      <c r="Q692">
        <f>A692+R692</f>
        <v>20166.212146999998</v>
      </c>
      <c r="R692">
        <f>_xlfn.IFNA(VLOOKUP(P692,PGOPHER!A$2:G$181,7,FALSE),_xlfn.IFNA(VLOOKUP(P692,en!A$2:I$768,7,FALSE),-10000))</f>
        <v>1243.5133470000001</v>
      </c>
      <c r="S692">
        <f>IF(O692=O691,Q691+S691,Q692)</f>
        <v>60498.671635000006</v>
      </c>
      <c r="T692">
        <f>IF(O692=O691,T691+1,1)</f>
        <v>3</v>
      </c>
      <c r="U692">
        <f>IF(O692=O693,"",S692/T692)</f>
        <v>20166.223878333334</v>
      </c>
      <c r="V692" t="str">
        <f>IF(U692="","",IF(ABS(Q692-U692)&gt;V$1,"error",""))</f>
        <v/>
      </c>
    </row>
    <row r="693" spans="1:22" x14ac:dyDescent="0.55000000000000004">
      <c r="A693">
        <v>18896.36419</v>
      </c>
      <c r="B693" s="1">
        <v>5.0000000000000001E-3</v>
      </c>
      <c r="C693" s="1">
        <v>5.0000000000000001E-3</v>
      </c>
      <c r="D693" s="2" t="s">
        <v>680</v>
      </c>
      <c r="E693">
        <v>1</v>
      </c>
      <c r="F693" s="2" t="s">
        <v>2</v>
      </c>
      <c r="G693">
        <v>0</v>
      </c>
      <c r="H693">
        <v>3.5</v>
      </c>
      <c r="I693" s="2" t="s">
        <v>0</v>
      </c>
      <c r="J693">
        <v>1</v>
      </c>
      <c r="K693" s="2" t="s">
        <v>2</v>
      </c>
      <c r="L693">
        <v>0</v>
      </c>
      <c r="M693">
        <v>2.5</v>
      </c>
      <c r="N693" s="2" t="s">
        <v>707</v>
      </c>
      <c r="O693" t="str">
        <f>D693&amp;"-"&amp;E693&amp;"-"&amp;F693&amp;"-"&amp;G693&amp;"-"&amp;H693</f>
        <v>E-1-e-0-3.5</v>
      </c>
      <c r="P693" t="str">
        <f>I693&amp;"-"&amp;J693&amp;"-"&amp;K693&amp;"-"&amp;L693&amp;"-"&amp;M693</f>
        <v>X-1-e-0-2.5</v>
      </c>
      <c r="Q693">
        <f>A693+R693</f>
        <v>18918.283889999999</v>
      </c>
      <c r="R693">
        <f>_xlfn.IFNA(VLOOKUP(P693,PGOPHER!A$2:G$181,7,FALSE),_xlfn.IFNA(VLOOKUP(P693,en!A$2:I$768,7,FALSE),-10000))</f>
        <v>21.919699999999999</v>
      </c>
      <c r="S693">
        <f>IF(O693=O692,Q692+S692,Q693)</f>
        <v>18918.283889999999</v>
      </c>
      <c r="T693">
        <f>IF(O693=O692,T692+1,1)</f>
        <v>1</v>
      </c>
      <c r="U693" t="str">
        <f>IF(O693=O694,"",S693/T693)</f>
        <v/>
      </c>
      <c r="V693" t="str">
        <f>IF(U693="","",IF(ABS(Q693-U693)&gt;V$1,"error",""))</f>
        <v/>
      </c>
    </row>
    <row r="694" spans="1:22" x14ac:dyDescent="0.55000000000000004">
      <c r="A694">
        <v>18845.414970000002</v>
      </c>
      <c r="B694" s="1">
        <v>5.0000000000000001E-3</v>
      </c>
      <c r="C694" s="1">
        <v>5.0000000000000001E-3</v>
      </c>
      <c r="D694" s="2" t="s">
        <v>680</v>
      </c>
      <c r="E694">
        <v>1</v>
      </c>
      <c r="F694" s="2" t="s">
        <v>2</v>
      </c>
      <c r="G694">
        <v>0</v>
      </c>
      <c r="H694">
        <v>3.5</v>
      </c>
      <c r="I694" s="2" t="s">
        <v>0</v>
      </c>
      <c r="J694">
        <v>1</v>
      </c>
      <c r="K694" s="2" t="s">
        <v>2</v>
      </c>
      <c r="L694">
        <v>0</v>
      </c>
      <c r="M694">
        <v>4.5</v>
      </c>
      <c r="N694" s="2" t="s">
        <v>708</v>
      </c>
      <c r="O694" t="str">
        <f>D694&amp;"-"&amp;E694&amp;"-"&amp;F694&amp;"-"&amp;G694&amp;"-"&amp;H694</f>
        <v>E-1-e-0-3.5</v>
      </c>
      <c r="P694" t="str">
        <f>I694&amp;"-"&amp;J694&amp;"-"&amp;K694&amp;"-"&amp;L694&amp;"-"&amp;M694</f>
        <v>X-1-e-0-4.5</v>
      </c>
      <c r="Q694">
        <f>A694+R694</f>
        <v>18918.276474000002</v>
      </c>
      <c r="R694">
        <f>_xlfn.IFNA(VLOOKUP(P694,PGOPHER!A$2:G$181,7,FALSE),_xlfn.IFNA(VLOOKUP(P694,en!A$2:I$768,7,FALSE),-10000))</f>
        <v>72.861503999999996</v>
      </c>
      <c r="S694">
        <f>IF(O694=O693,Q693+S693,Q694)</f>
        <v>37836.567779999998</v>
      </c>
      <c r="T694">
        <f>IF(O694=O693,T693+1,1)</f>
        <v>2</v>
      </c>
      <c r="U694" t="str">
        <f>IF(O694=O695,"",S694/T694)</f>
        <v/>
      </c>
      <c r="V694" t="str">
        <f>IF(U694="","",IF(ABS(Q694-U694)&gt;V$1,"error",""))</f>
        <v/>
      </c>
    </row>
    <row r="695" spans="1:22" x14ac:dyDescent="0.55000000000000004">
      <c r="A695">
        <v>18845.97493</v>
      </c>
      <c r="B695" s="1">
        <v>5.0000000000000001E-3</v>
      </c>
      <c r="C695" s="1">
        <v>5.0000000000000001E-3</v>
      </c>
      <c r="D695" s="2" t="s">
        <v>680</v>
      </c>
      <c r="E695">
        <v>1</v>
      </c>
      <c r="F695" s="2" t="s">
        <v>2</v>
      </c>
      <c r="G695">
        <v>0</v>
      </c>
      <c r="H695">
        <v>3.5</v>
      </c>
      <c r="I695" s="2" t="s">
        <v>0</v>
      </c>
      <c r="J695">
        <v>2</v>
      </c>
      <c r="K695" s="2" t="s">
        <v>1</v>
      </c>
      <c r="L695">
        <v>0</v>
      </c>
      <c r="M695">
        <v>3.5</v>
      </c>
      <c r="N695" s="2" t="s">
        <v>709</v>
      </c>
      <c r="O695" t="str">
        <f>D695&amp;"-"&amp;E695&amp;"-"&amp;F695&amp;"-"&amp;G695&amp;"-"&amp;H695</f>
        <v>E-1-e-0-3.5</v>
      </c>
      <c r="P695" t="str">
        <f>I695&amp;"-"&amp;J695&amp;"-"&amp;K695&amp;"-"&amp;L695&amp;"-"&amp;M695</f>
        <v>X-2-f-0-3.5</v>
      </c>
      <c r="Q695">
        <f>A695+R695</f>
        <v>18918.279485999999</v>
      </c>
      <c r="R695">
        <f>_xlfn.IFNA(VLOOKUP(P695,PGOPHER!A$2:G$181,7,FALSE),_xlfn.IFNA(VLOOKUP(P695,en!A$2:I$768,7,FALSE),-10000))</f>
        <v>72.304556000000005</v>
      </c>
      <c r="S695">
        <f>IF(O695=O694,Q694+S694,Q695)</f>
        <v>56754.844253999996</v>
      </c>
      <c r="T695">
        <f>IF(O695=O694,T694+1,1)</f>
        <v>3</v>
      </c>
      <c r="U695">
        <f>IF(O695=O696,"",S695/T695)</f>
        <v>18918.281417999999</v>
      </c>
      <c r="V695" t="str">
        <f>IF(U695="","",IF(ABS(Q695-U695)&gt;V$1,"error",""))</f>
        <v/>
      </c>
    </row>
    <row r="696" spans="1:22" x14ac:dyDescent="0.55000000000000004">
      <c r="A696">
        <v>18837.053209999998</v>
      </c>
      <c r="B696" s="1">
        <v>5.0000000000000001E-3</v>
      </c>
      <c r="C696" s="1">
        <v>5.0000000000000001E-3</v>
      </c>
      <c r="D696" s="2" t="s">
        <v>680</v>
      </c>
      <c r="E696">
        <v>1</v>
      </c>
      <c r="F696" s="2" t="s">
        <v>2</v>
      </c>
      <c r="G696">
        <v>1</v>
      </c>
      <c r="H696">
        <v>3.5</v>
      </c>
      <c r="I696" s="2" t="s">
        <v>0</v>
      </c>
      <c r="J696">
        <v>1</v>
      </c>
      <c r="K696" s="2" t="s">
        <v>2</v>
      </c>
      <c r="L696">
        <v>1</v>
      </c>
      <c r="M696">
        <v>4.5</v>
      </c>
      <c r="N696" s="2" t="s">
        <v>965</v>
      </c>
      <c r="O696" t="str">
        <f>D696&amp;"-"&amp;E696&amp;"-"&amp;F696&amp;"-"&amp;G696&amp;"-"&amp;H696</f>
        <v>E-1-e-1-3.5</v>
      </c>
      <c r="P696" t="str">
        <f>I696&amp;"-"&amp;J696&amp;"-"&amp;K696&amp;"-"&amp;L696&amp;"-"&amp;M696</f>
        <v>X-1-e-1-4.5</v>
      </c>
      <c r="Q696">
        <f>A696+R696</f>
        <v>20081.104744999997</v>
      </c>
      <c r="R696">
        <f>_xlfn.IFNA(VLOOKUP(P696,PGOPHER!A$2:G$181,7,FALSE),_xlfn.IFNA(VLOOKUP(P696,en!A$2:I$768,7,FALSE),-10000))</f>
        <v>1244.0515350000001</v>
      </c>
      <c r="S696">
        <f>IF(O696=O695,Q695+S695,Q696)</f>
        <v>20081.104744999997</v>
      </c>
      <c r="T696">
        <f>IF(O696=O695,T695+1,1)</f>
        <v>1</v>
      </c>
      <c r="U696" t="str">
        <f>IF(O696=O697,"",S696/T696)</f>
        <v/>
      </c>
      <c r="V696" t="str">
        <f>IF(U696="","",IF(ABS(Q696-U696)&gt;V$1,"error",""))</f>
        <v/>
      </c>
    </row>
    <row r="697" spans="1:22" x14ac:dyDescent="0.55000000000000004">
      <c r="A697">
        <v>18886.873950000001</v>
      </c>
      <c r="B697" s="1">
        <v>5.0000000000000001E-3</v>
      </c>
      <c r="C697" s="1">
        <v>5.0000000000000001E-3</v>
      </c>
      <c r="D697" s="2" t="s">
        <v>680</v>
      </c>
      <c r="E697">
        <v>1</v>
      </c>
      <c r="F697" s="2" t="s">
        <v>2</v>
      </c>
      <c r="G697">
        <v>1</v>
      </c>
      <c r="H697">
        <v>3.5</v>
      </c>
      <c r="I697" s="2" t="s">
        <v>0</v>
      </c>
      <c r="J697">
        <v>1</v>
      </c>
      <c r="K697" s="2" t="s">
        <v>2</v>
      </c>
      <c r="L697">
        <v>1</v>
      </c>
      <c r="M697">
        <v>2.5</v>
      </c>
      <c r="N697" s="2" t="s">
        <v>966</v>
      </c>
      <c r="O697" t="str">
        <f>D697&amp;"-"&amp;E697&amp;"-"&amp;F697&amp;"-"&amp;G697&amp;"-"&amp;H697</f>
        <v>E-1-e-1-3.5</v>
      </c>
      <c r="P697" t="str">
        <f>I697&amp;"-"&amp;J697&amp;"-"&amp;K697&amp;"-"&amp;L697&amp;"-"&amp;M697</f>
        <v>X-1-e-1-2.5</v>
      </c>
      <c r="Q697">
        <f>A697+R697</f>
        <v>20081.110769999999</v>
      </c>
      <c r="R697">
        <f>_xlfn.IFNA(VLOOKUP(P697,PGOPHER!A$2:G$181,7,FALSE),_xlfn.IFNA(VLOOKUP(P697,en!A$2:I$768,7,FALSE),-10000))</f>
        <v>1194.2368200000001</v>
      </c>
      <c r="S697">
        <f>IF(O697=O696,Q696+S696,Q697)</f>
        <v>40162.209489999994</v>
      </c>
      <c r="T697">
        <f>IF(O697=O696,T696+1,1)</f>
        <v>2</v>
      </c>
      <c r="U697" t="str">
        <f>IF(O697=O698,"",S697/T697)</f>
        <v/>
      </c>
      <c r="V697" t="str">
        <f>IF(U697="","",IF(ABS(Q697-U697)&gt;V$1,"error",""))</f>
        <v/>
      </c>
    </row>
    <row r="698" spans="1:22" x14ac:dyDescent="0.55000000000000004">
      <c r="A698">
        <v>18837.59391</v>
      </c>
      <c r="B698" s="1">
        <v>5.0000000000000001E-3</v>
      </c>
      <c r="C698" s="1">
        <v>5.0000000000000001E-3</v>
      </c>
      <c r="D698" s="2" t="s">
        <v>680</v>
      </c>
      <c r="E698">
        <v>1</v>
      </c>
      <c r="F698" s="2" t="s">
        <v>2</v>
      </c>
      <c r="G698">
        <v>1</v>
      </c>
      <c r="H698">
        <v>3.5</v>
      </c>
      <c r="I698" s="2" t="s">
        <v>0</v>
      </c>
      <c r="J698">
        <v>2</v>
      </c>
      <c r="K698" s="2" t="s">
        <v>1</v>
      </c>
      <c r="L698">
        <v>1</v>
      </c>
      <c r="M698">
        <v>3.5</v>
      </c>
      <c r="N698" s="2" t="s">
        <v>967</v>
      </c>
      <c r="O698" t="str">
        <f>D698&amp;"-"&amp;E698&amp;"-"&amp;F698&amp;"-"&amp;G698&amp;"-"&amp;H698</f>
        <v>E-1-e-1-3.5</v>
      </c>
      <c r="P698" t="str">
        <f>I698&amp;"-"&amp;J698&amp;"-"&amp;K698&amp;"-"&amp;L698&amp;"-"&amp;M698</f>
        <v>X-2-f-1-3.5</v>
      </c>
      <c r="Q698">
        <f>A698+R698</f>
        <v>20081.107257</v>
      </c>
      <c r="R698">
        <f>_xlfn.IFNA(VLOOKUP(P698,PGOPHER!A$2:G$181,7,FALSE),_xlfn.IFNA(VLOOKUP(P698,en!A$2:I$768,7,FALSE),-10000))</f>
        <v>1243.5133470000001</v>
      </c>
      <c r="S698">
        <f>IF(O698=O697,Q697+S697,Q698)</f>
        <v>60243.320259999993</v>
      </c>
      <c r="T698">
        <f>IF(O698=O697,T697+1,1)</f>
        <v>3</v>
      </c>
      <c r="U698">
        <f>IF(O698=O699,"",S698/T698)</f>
        <v>20081.10675333333</v>
      </c>
      <c r="V698" t="str">
        <f>IF(U698="","",IF(ABS(Q698-U698)&gt;V$1,"error",""))</f>
        <v/>
      </c>
    </row>
    <row r="699" spans="1:22" x14ac:dyDescent="0.55000000000000004">
      <c r="A699">
        <v>18810.08223</v>
      </c>
      <c r="B699" s="1">
        <v>2.5000000000000001E-2</v>
      </c>
      <c r="C699" s="1">
        <v>2.5000000000000001E-2</v>
      </c>
      <c r="D699" s="2" t="s">
        <v>680</v>
      </c>
      <c r="E699">
        <v>1</v>
      </c>
      <c r="F699" s="2" t="s">
        <v>1</v>
      </c>
      <c r="G699">
        <v>0</v>
      </c>
      <c r="H699">
        <v>3.5</v>
      </c>
      <c r="I699" s="2" t="s">
        <v>0</v>
      </c>
      <c r="J699">
        <v>2</v>
      </c>
      <c r="K699" s="2" t="s">
        <v>1</v>
      </c>
      <c r="L699">
        <v>0</v>
      </c>
      <c r="M699">
        <v>4.5</v>
      </c>
      <c r="N699" s="2" t="s">
        <v>710</v>
      </c>
      <c r="O699" t="str">
        <f>D699&amp;"-"&amp;E699&amp;"-"&amp;F699&amp;"-"&amp;G699&amp;"-"&amp;H699</f>
        <v>E-1-f-0-3.5</v>
      </c>
      <c r="P699" t="str">
        <f>I699&amp;"-"&amp;J699&amp;"-"&amp;K699&amp;"-"&amp;L699&amp;"-"&amp;M699</f>
        <v>X-2-f-0-4.5</v>
      </c>
      <c r="Q699">
        <f>A699+R699</f>
        <v>18918.593312000001</v>
      </c>
      <c r="R699">
        <f>_xlfn.IFNA(VLOOKUP(P699,PGOPHER!A$2:G$181,7,FALSE),_xlfn.IFNA(VLOOKUP(P699,en!A$2:I$768,7,FALSE),-10000))</f>
        <v>108.511082</v>
      </c>
      <c r="S699">
        <f>IF(O699=O698,Q698+S698,Q699)</f>
        <v>18918.593312000001</v>
      </c>
      <c r="T699">
        <f>IF(O699=O698,T698+1,1)</f>
        <v>1</v>
      </c>
      <c r="U699" t="str">
        <f>IF(O699=O700,"",S699/T699)</f>
        <v/>
      </c>
      <c r="V699" t="str">
        <f>IF(U699="","",IF(ABS(Q699-U699)&gt;V$1,"error",""))</f>
        <v/>
      </c>
    </row>
    <row r="700" spans="1:22" x14ac:dyDescent="0.55000000000000004">
      <c r="A700">
        <v>18875.279910000001</v>
      </c>
      <c r="B700" s="1">
        <v>5.0000000000000001E-3</v>
      </c>
      <c r="C700" s="1">
        <v>5.0000000000000001E-3</v>
      </c>
      <c r="D700" s="2" t="s">
        <v>680</v>
      </c>
      <c r="E700">
        <v>1</v>
      </c>
      <c r="F700" s="2" t="s">
        <v>1</v>
      </c>
      <c r="G700">
        <v>0</v>
      </c>
      <c r="H700">
        <v>3.5</v>
      </c>
      <c r="I700" s="2" t="s">
        <v>0</v>
      </c>
      <c r="J700">
        <v>2</v>
      </c>
      <c r="K700" s="2" t="s">
        <v>1</v>
      </c>
      <c r="L700">
        <v>0</v>
      </c>
      <c r="M700">
        <v>2.5</v>
      </c>
      <c r="N700" s="2" t="s">
        <v>711</v>
      </c>
      <c r="O700" t="str">
        <f>D700&amp;"-"&amp;E700&amp;"-"&amp;F700&amp;"-"&amp;G700&amp;"-"&amp;H700</f>
        <v>E-1-f-0-3.5</v>
      </c>
      <c r="P700" t="str">
        <f>I700&amp;"-"&amp;J700&amp;"-"&amp;K700&amp;"-"&amp;L700&amp;"-"&amp;M700</f>
        <v>X-2-f-0-2.5</v>
      </c>
      <c r="Q700">
        <f>A700+R700</f>
        <v>18918.613402999999</v>
      </c>
      <c r="R700">
        <f>_xlfn.IFNA(VLOOKUP(P700,PGOPHER!A$2:G$181,7,FALSE),_xlfn.IFNA(VLOOKUP(P700,en!A$2:I$768,7,FALSE),-10000))</f>
        <v>43.333492999999997</v>
      </c>
      <c r="S700">
        <f>IF(O700=O699,Q699+S699,Q700)</f>
        <v>37837.186624000002</v>
      </c>
      <c r="T700">
        <f>IF(O700=O699,T699+1,1)</f>
        <v>2</v>
      </c>
      <c r="U700" t="str">
        <f>IF(O700=O701,"",S700/T700)</f>
        <v/>
      </c>
      <c r="V700" t="str">
        <f>IF(U700="","",IF(ABS(Q700-U700)&gt;V$1,"error",""))</f>
        <v/>
      </c>
    </row>
    <row r="701" spans="1:22" x14ac:dyDescent="0.55000000000000004">
      <c r="A701">
        <v>18874.825420000001</v>
      </c>
      <c r="B701" s="1">
        <v>5.5E-2</v>
      </c>
      <c r="C701" s="1">
        <v>5.5E-2</v>
      </c>
      <c r="D701" s="2" t="s">
        <v>680</v>
      </c>
      <c r="E701">
        <v>1</v>
      </c>
      <c r="F701" s="2" t="s">
        <v>1</v>
      </c>
      <c r="G701">
        <v>0</v>
      </c>
      <c r="H701">
        <v>3.5</v>
      </c>
      <c r="I701" s="2" t="s">
        <v>0</v>
      </c>
      <c r="J701">
        <v>1</v>
      </c>
      <c r="K701" s="2" t="s">
        <v>2</v>
      </c>
      <c r="L701">
        <v>0</v>
      </c>
      <c r="M701">
        <v>3.5</v>
      </c>
      <c r="N701" s="2" t="s">
        <v>712</v>
      </c>
      <c r="O701" t="str">
        <f>D701&amp;"-"&amp;E701&amp;"-"&amp;F701&amp;"-"&amp;G701&amp;"-"&amp;H701</f>
        <v>E-1-f-0-3.5</v>
      </c>
      <c r="P701" t="str">
        <f>I701&amp;"-"&amp;J701&amp;"-"&amp;K701&amp;"-"&amp;L701&amp;"-"&amp;M701</f>
        <v>X-1-e-0-3.5</v>
      </c>
      <c r="Q701">
        <f>A701+R701</f>
        <v>18918.593193000001</v>
      </c>
      <c r="R701">
        <f>_xlfn.IFNA(VLOOKUP(P701,PGOPHER!A$2:G$181,7,FALSE),_xlfn.IFNA(VLOOKUP(P701,en!A$2:I$768,7,FALSE),-10000))</f>
        <v>43.767772999999998</v>
      </c>
      <c r="S701">
        <f>IF(O701=O700,Q700+S700,Q701)</f>
        <v>56755.800027000005</v>
      </c>
      <c r="T701">
        <f>IF(O701=O700,T700+1,1)</f>
        <v>3</v>
      </c>
      <c r="U701">
        <f>IF(O701=O702,"",S701/T701)</f>
        <v>18918.600009000002</v>
      </c>
      <c r="V701" t="str">
        <f>IF(U701="","",IF(ABS(Q701-U701)&gt;V$1,"error",""))</f>
        <v/>
      </c>
    </row>
    <row r="702" spans="1:22" x14ac:dyDescent="0.55000000000000004">
      <c r="A702">
        <v>18866.171310000002</v>
      </c>
      <c r="B702" s="1">
        <v>7.1199999999999996E-3</v>
      </c>
      <c r="C702" s="1">
        <v>7.1199999999999996E-3</v>
      </c>
      <c r="D702" s="2" t="s">
        <v>680</v>
      </c>
      <c r="E702">
        <v>1</v>
      </c>
      <c r="F702" s="2" t="s">
        <v>1</v>
      </c>
      <c r="G702">
        <v>1</v>
      </c>
      <c r="H702">
        <v>3.5</v>
      </c>
      <c r="I702" s="2" t="s">
        <v>0</v>
      </c>
      <c r="J702">
        <v>2</v>
      </c>
      <c r="K702" s="2" t="s">
        <v>1</v>
      </c>
      <c r="L702">
        <v>1</v>
      </c>
      <c r="M702">
        <v>2.5</v>
      </c>
      <c r="N702" s="2" t="s">
        <v>968</v>
      </c>
      <c r="O702" t="str">
        <f>D702&amp;"-"&amp;E702&amp;"-"&amp;F702&amp;"-"&amp;G702&amp;"-"&amp;H702</f>
        <v>E-1-f-1-3.5</v>
      </c>
      <c r="P702" t="str">
        <f>I702&amp;"-"&amp;J702&amp;"-"&amp;K702&amp;"-"&amp;L702&amp;"-"&amp;M702</f>
        <v>X-2-f-1-2.5</v>
      </c>
      <c r="Q702">
        <f>A702+R702</f>
        <v>20081.35324</v>
      </c>
      <c r="R702">
        <f>_xlfn.IFNA(VLOOKUP(P702,PGOPHER!A$2:G$181,7,FALSE),_xlfn.IFNA(VLOOKUP(P702,en!A$2:I$768,7,FALSE),-10000))</f>
        <v>1215.18193</v>
      </c>
      <c r="S702">
        <f>IF(O702=O701,Q701+S701,Q702)</f>
        <v>20081.35324</v>
      </c>
      <c r="T702">
        <f>IF(O702=O701,T701+1,1)</f>
        <v>1</v>
      </c>
      <c r="U702" t="str">
        <f>IF(O702=O703,"",S702/T702)</f>
        <v/>
      </c>
      <c r="V702" t="str">
        <f>IF(U702="","",IF(ABS(Q702-U702)&gt;V$1,"error",""))</f>
        <v/>
      </c>
    </row>
    <row r="703" spans="1:22" x14ac:dyDescent="0.55000000000000004">
      <c r="A703">
        <v>18802.445309999999</v>
      </c>
      <c r="B703" s="1">
        <v>5.0000000000000001E-3</v>
      </c>
      <c r="C703" s="1">
        <v>5.0000000000000001E-3</v>
      </c>
      <c r="D703" s="2" t="s">
        <v>680</v>
      </c>
      <c r="E703">
        <v>1</v>
      </c>
      <c r="F703" s="2" t="s">
        <v>1</v>
      </c>
      <c r="G703">
        <v>1</v>
      </c>
      <c r="H703">
        <v>3.5</v>
      </c>
      <c r="I703" s="2" t="s">
        <v>0</v>
      </c>
      <c r="J703">
        <v>2</v>
      </c>
      <c r="K703" s="2" t="s">
        <v>1</v>
      </c>
      <c r="L703">
        <v>1</v>
      </c>
      <c r="M703">
        <v>4.5</v>
      </c>
      <c r="N703" s="2" t="s">
        <v>969</v>
      </c>
      <c r="O703" t="str">
        <f>D703&amp;"-"&amp;E703&amp;"-"&amp;F703&amp;"-"&amp;G703&amp;"-"&amp;H703</f>
        <v>E-1-f-1-3.5</v>
      </c>
      <c r="P703" t="str">
        <f>I703&amp;"-"&amp;J703&amp;"-"&amp;K703&amp;"-"&amp;L703&amp;"-"&amp;M703</f>
        <v>X-2-f-1-4.5</v>
      </c>
      <c r="Q703">
        <f>A703+R703</f>
        <v>20081.362775999998</v>
      </c>
      <c r="R703">
        <f>_xlfn.IFNA(VLOOKUP(P703,PGOPHER!A$2:G$181,7,FALSE),_xlfn.IFNA(VLOOKUP(P703,en!A$2:I$768,7,FALSE),-10000))</f>
        <v>1278.9174660000001</v>
      </c>
      <c r="S703">
        <f>IF(O703=O702,Q702+S702,Q703)</f>
        <v>40162.706480000001</v>
      </c>
      <c r="T703">
        <f>IF(O703=O702,T702+1,1)</f>
        <v>2</v>
      </c>
      <c r="U703" t="str">
        <f>IF(O703=O704,"",S703/T703)</f>
        <v/>
      </c>
      <c r="V703" t="str">
        <f>IF(U703="","",IF(ABS(Q703-U703)&gt;V$1,"error",""))</f>
        <v/>
      </c>
    </row>
    <row r="704" spans="1:22" x14ac:dyDescent="0.55000000000000004">
      <c r="A704">
        <v>18865.759529999999</v>
      </c>
      <c r="B704" s="1">
        <v>5.0000000000000001E-3</v>
      </c>
      <c r="C704" s="1">
        <v>5.0000000000000001E-3</v>
      </c>
      <c r="D704" s="2" t="s">
        <v>680</v>
      </c>
      <c r="E704">
        <v>1</v>
      </c>
      <c r="F704" s="2" t="s">
        <v>1</v>
      </c>
      <c r="G704">
        <v>1</v>
      </c>
      <c r="H704">
        <v>3.5</v>
      </c>
      <c r="I704" s="2" t="s">
        <v>0</v>
      </c>
      <c r="J704">
        <v>1</v>
      </c>
      <c r="K704" s="2" t="s">
        <v>2</v>
      </c>
      <c r="L704">
        <v>1</v>
      </c>
      <c r="M704">
        <v>3.5</v>
      </c>
      <c r="N704" s="2" t="s">
        <v>970</v>
      </c>
      <c r="O704" t="str">
        <f>D704&amp;"-"&amp;E704&amp;"-"&amp;F704&amp;"-"&amp;G704&amp;"-"&amp;H704</f>
        <v>E-1-f-1-3.5</v>
      </c>
      <c r="P704" t="str">
        <f>I704&amp;"-"&amp;J704&amp;"-"&amp;K704&amp;"-"&amp;L704&amp;"-"&amp;M704</f>
        <v>X-1-e-1-3.5</v>
      </c>
      <c r="Q704">
        <f>A704+R704</f>
        <v>20081.360659999998</v>
      </c>
      <c r="R704">
        <f>_xlfn.IFNA(VLOOKUP(P704,PGOPHER!A$2:G$181,7,FALSE),_xlfn.IFNA(VLOOKUP(P704,en!A$2:I$768,7,FALSE),-10000))</f>
        <v>1215.60113</v>
      </c>
      <c r="S704">
        <f>IF(O704=O703,Q703+S703,Q704)</f>
        <v>60244.069256000002</v>
      </c>
      <c r="T704">
        <f>IF(O704=O703,T703+1,1)</f>
        <v>3</v>
      </c>
      <c r="U704">
        <f>IF(O704=O705,"",S704/T704)</f>
        <v>20081.356418666666</v>
      </c>
      <c r="V704" t="str">
        <f>IF(U704="","",IF(ABS(Q704-U704)&gt;V$1,"error",""))</f>
        <v/>
      </c>
    </row>
    <row r="705" spans="1:22" x14ac:dyDescent="0.55000000000000004">
      <c r="A705">
        <v>19004.525409999998</v>
      </c>
      <c r="B705" s="1">
        <v>5.0000000000000001E-3</v>
      </c>
      <c r="C705" s="1">
        <v>5.0000000000000001E-3</v>
      </c>
      <c r="D705" s="2" t="s">
        <v>680</v>
      </c>
      <c r="E705">
        <v>2</v>
      </c>
      <c r="F705" s="2" t="s">
        <v>2</v>
      </c>
      <c r="G705">
        <v>0</v>
      </c>
      <c r="H705">
        <v>3.5</v>
      </c>
      <c r="I705" s="2" t="s">
        <v>0</v>
      </c>
      <c r="J705">
        <v>1</v>
      </c>
      <c r="K705" s="2" t="s">
        <v>2</v>
      </c>
      <c r="L705">
        <v>0</v>
      </c>
      <c r="M705">
        <v>2.5</v>
      </c>
      <c r="N705" s="2" t="s">
        <v>713</v>
      </c>
      <c r="O705" t="str">
        <f>D705&amp;"-"&amp;E705&amp;"-"&amp;F705&amp;"-"&amp;G705&amp;"-"&amp;H705</f>
        <v>E-2-e-0-3.5</v>
      </c>
      <c r="P705" t="str">
        <f>I705&amp;"-"&amp;J705&amp;"-"&amp;K705&amp;"-"&amp;L705&amp;"-"&amp;M705</f>
        <v>X-1-e-0-2.5</v>
      </c>
      <c r="Q705">
        <f>A705+R705</f>
        <v>19026.445109999997</v>
      </c>
      <c r="R705">
        <f>_xlfn.IFNA(VLOOKUP(P705,PGOPHER!A$2:G$181,7,FALSE),_xlfn.IFNA(VLOOKUP(P705,en!A$2:I$768,7,FALSE),-10000))</f>
        <v>21.919699999999999</v>
      </c>
      <c r="S705">
        <f>IF(O705=O704,Q704+S704,Q705)</f>
        <v>19026.445109999997</v>
      </c>
      <c r="T705">
        <f>IF(O705=O704,T704+1,1)</f>
        <v>1</v>
      </c>
      <c r="U705" t="str">
        <f>IF(O705=O706,"",S705/T705)</f>
        <v/>
      </c>
      <c r="V705" t="str">
        <f>IF(U705="","",IF(ABS(Q705-U705)&gt;V$1,"error",""))</f>
        <v/>
      </c>
    </row>
    <row r="706" spans="1:22" x14ac:dyDescent="0.55000000000000004">
      <c r="A706">
        <v>18953.582170000001</v>
      </c>
      <c r="B706" s="1">
        <v>5.0000000000000001E-3</v>
      </c>
      <c r="C706" s="1">
        <v>5.0000000000000001E-3</v>
      </c>
      <c r="D706" s="2" t="s">
        <v>680</v>
      </c>
      <c r="E706">
        <v>2</v>
      </c>
      <c r="F706" s="2" t="s">
        <v>2</v>
      </c>
      <c r="G706">
        <v>0</v>
      </c>
      <c r="H706">
        <v>3.5</v>
      </c>
      <c r="I706" s="2" t="s">
        <v>0</v>
      </c>
      <c r="J706">
        <v>1</v>
      </c>
      <c r="K706" s="2" t="s">
        <v>2</v>
      </c>
      <c r="L706">
        <v>0</v>
      </c>
      <c r="M706">
        <v>4.5</v>
      </c>
      <c r="N706" s="2" t="s">
        <v>714</v>
      </c>
      <c r="O706" t="str">
        <f>D706&amp;"-"&amp;E706&amp;"-"&amp;F706&amp;"-"&amp;G706&amp;"-"&amp;H706</f>
        <v>E-2-e-0-3.5</v>
      </c>
      <c r="P706" t="str">
        <f>I706&amp;"-"&amp;J706&amp;"-"&amp;K706&amp;"-"&amp;L706&amp;"-"&amp;M706</f>
        <v>X-1-e-0-4.5</v>
      </c>
      <c r="Q706">
        <f>A706+R706</f>
        <v>19026.443674000002</v>
      </c>
      <c r="R706">
        <f>_xlfn.IFNA(VLOOKUP(P706,PGOPHER!A$2:G$181,7,FALSE),_xlfn.IFNA(VLOOKUP(P706,en!A$2:I$768,7,FALSE),-10000))</f>
        <v>72.861503999999996</v>
      </c>
      <c r="S706">
        <f>IF(O706=O705,Q705+S705,Q706)</f>
        <v>38052.890219999994</v>
      </c>
      <c r="T706">
        <f>IF(O706=O705,T705+1,1)</f>
        <v>2</v>
      </c>
      <c r="U706" t="str">
        <f>IF(O706=O707,"",S706/T706)</f>
        <v/>
      </c>
      <c r="V706" t="str">
        <f>IF(U706="","",IF(ABS(Q706-U706)&gt;V$1,"error",""))</f>
        <v/>
      </c>
    </row>
    <row r="707" spans="1:22" x14ac:dyDescent="0.55000000000000004">
      <c r="A707">
        <v>18954.13897</v>
      </c>
      <c r="B707" s="1">
        <v>5.0000000000000001E-3</v>
      </c>
      <c r="C707" s="1">
        <v>5.0000000000000001E-3</v>
      </c>
      <c r="D707" s="2" t="s">
        <v>680</v>
      </c>
      <c r="E707">
        <v>2</v>
      </c>
      <c r="F707" s="2" t="s">
        <v>2</v>
      </c>
      <c r="G707">
        <v>0</v>
      </c>
      <c r="H707">
        <v>3.5</v>
      </c>
      <c r="I707" s="2" t="s">
        <v>0</v>
      </c>
      <c r="J707">
        <v>2</v>
      </c>
      <c r="K707" s="2" t="s">
        <v>1</v>
      </c>
      <c r="L707">
        <v>0</v>
      </c>
      <c r="M707">
        <v>3.5</v>
      </c>
      <c r="N707" s="2" t="s">
        <v>715</v>
      </c>
      <c r="O707" t="str">
        <f>D707&amp;"-"&amp;E707&amp;"-"&amp;F707&amp;"-"&amp;G707&amp;"-"&amp;H707</f>
        <v>E-2-e-0-3.5</v>
      </c>
      <c r="P707" t="str">
        <f>I707&amp;"-"&amp;J707&amp;"-"&amp;K707&amp;"-"&amp;L707&amp;"-"&amp;M707</f>
        <v>X-2-f-0-3.5</v>
      </c>
      <c r="Q707">
        <f>A707+R707</f>
        <v>19026.443525999999</v>
      </c>
      <c r="R707">
        <f>_xlfn.IFNA(VLOOKUP(P707,PGOPHER!A$2:G$181,7,FALSE),_xlfn.IFNA(VLOOKUP(P707,en!A$2:I$768,7,FALSE),-10000))</f>
        <v>72.304556000000005</v>
      </c>
      <c r="S707">
        <f>IF(O707=O706,Q706+S706,Q707)</f>
        <v>57079.333893999996</v>
      </c>
      <c r="T707">
        <f>IF(O707=O706,T706+1,1)</f>
        <v>3</v>
      </c>
      <c r="U707">
        <f>IF(O707=O708,"",S707/T707)</f>
        <v>19026.444631333332</v>
      </c>
      <c r="V707" t="str">
        <f>IF(U707="","",IF(ABS(Q707-U707)&gt;V$1,"error",""))</f>
        <v/>
      </c>
    </row>
    <row r="708" spans="1:22" x14ac:dyDescent="0.55000000000000004">
      <c r="A708">
        <v>18998.489140000001</v>
      </c>
      <c r="B708" s="1">
        <v>5.0000000000000001E-3</v>
      </c>
      <c r="C708" s="1">
        <v>5.0000000000000001E-3</v>
      </c>
      <c r="D708" s="2" t="s">
        <v>680</v>
      </c>
      <c r="E708">
        <v>2</v>
      </c>
      <c r="F708" s="2" t="s">
        <v>2</v>
      </c>
      <c r="G708">
        <v>1</v>
      </c>
      <c r="H708">
        <v>3.5</v>
      </c>
      <c r="I708" s="2" t="s">
        <v>0</v>
      </c>
      <c r="J708">
        <v>1</v>
      </c>
      <c r="K708" s="2" t="s">
        <v>2</v>
      </c>
      <c r="L708">
        <v>1</v>
      </c>
      <c r="M708">
        <v>2.5</v>
      </c>
      <c r="N708" s="2" t="s">
        <v>971</v>
      </c>
      <c r="O708" t="str">
        <f>D708&amp;"-"&amp;E708&amp;"-"&amp;F708&amp;"-"&amp;G708&amp;"-"&amp;H708</f>
        <v>E-2-e-1-3.5</v>
      </c>
      <c r="P708" t="str">
        <f>I708&amp;"-"&amp;J708&amp;"-"&amp;K708&amp;"-"&amp;L708&amp;"-"&amp;M708</f>
        <v>X-1-e-1-2.5</v>
      </c>
      <c r="Q708">
        <f>A708+R708</f>
        <v>20192.725960000003</v>
      </c>
      <c r="R708">
        <f>_xlfn.IFNA(VLOOKUP(P708,PGOPHER!A$2:G$181,7,FALSE),_xlfn.IFNA(VLOOKUP(P708,en!A$2:I$768,7,FALSE),-10000))</f>
        <v>1194.2368200000001</v>
      </c>
      <c r="S708">
        <f>IF(O708=O707,Q707+S707,Q708)</f>
        <v>20192.725960000003</v>
      </c>
      <c r="T708">
        <f>IF(O708=O707,T707+1,1)</f>
        <v>1</v>
      </c>
      <c r="U708" t="str">
        <f>IF(O708=O709,"",S708/T708)</f>
        <v/>
      </c>
      <c r="V708" t="str">
        <f>IF(U708="","",IF(ABS(Q708-U708)&gt;V$1,"error",""))</f>
        <v/>
      </c>
    </row>
    <row r="709" spans="1:22" x14ac:dyDescent="0.55000000000000004">
      <c r="A709">
        <v>18948.67194</v>
      </c>
      <c r="B709" s="1">
        <v>5.0000000000000001E-3</v>
      </c>
      <c r="C709" s="1">
        <v>5.0000000000000001E-3</v>
      </c>
      <c r="D709" s="2" t="s">
        <v>680</v>
      </c>
      <c r="E709">
        <v>2</v>
      </c>
      <c r="F709" s="2" t="s">
        <v>2</v>
      </c>
      <c r="G709">
        <v>1</v>
      </c>
      <c r="H709">
        <v>3.5</v>
      </c>
      <c r="I709" s="2" t="s">
        <v>0</v>
      </c>
      <c r="J709">
        <v>1</v>
      </c>
      <c r="K709" s="2" t="s">
        <v>2</v>
      </c>
      <c r="L709">
        <v>1</v>
      </c>
      <c r="M709">
        <v>4.5</v>
      </c>
      <c r="N709" s="2" t="s">
        <v>972</v>
      </c>
      <c r="O709" t="str">
        <f>D709&amp;"-"&amp;E709&amp;"-"&amp;F709&amp;"-"&amp;G709&amp;"-"&amp;H709</f>
        <v>E-2-e-1-3.5</v>
      </c>
      <c r="P709" t="str">
        <f>I709&amp;"-"&amp;J709&amp;"-"&amp;K709&amp;"-"&amp;L709&amp;"-"&amp;M709</f>
        <v>X-1-e-1-4.5</v>
      </c>
      <c r="Q709">
        <f>A709+R709</f>
        <v>20192.723474999999</v>
      </c>
      <c r="R709">
        <f>_xlfn.IFNA(VLOOKUP(P709,PGOPHER!A$2:G$181,7,FALSE),_xlfn.IFNA(VLOOKUP(P709,en!A$2:I$768,7,FALSE),-10000))</f>
        <v>1244.0515350000001</v>
      </c>
      <c r="S709">
        <f>IF(O709=O708,Q708+S708,Q709)</f>
        <v>40385.451920000007</v>
      </c>
      <c r="T709">
        <f>IF(O709=O708,T708+1,1)</f>
        <v>2</v>
      </c>
      <c r="U709" t="str">
        <f>IF(O709=O710,"",S709/T709)</f>
        <v/>
      </c>
      <c r="V709" t="str">
        <f>IF(U709="","",IF(ABS(Q709-U709)&gt;V$1,"error",""))</f>
        <v/>
      </c>
    </row>
    <row r="710" spans="1:22" x14ac:dyDescent="0.55000000000000004">
      <c r="A710">
        <v>18949.21156</v>
      </c>
      <c r="B710" s="1">
        <v>5.0000000000000001E-3</v>
      </c>
      <c r="C710" s="1">
        <v>5.0000000000000001E-3</v>
      </c>
      <c r="D710" s="2" t="s">
        <v>680</v>
      </c>
      <c r="E710">
        <v>2</v>
      </c>
      <c r="F710" s="2" t="s">
        <v>2</v>
      </c>
      <c r="G710">
        <v>1</v>
      </c>
      <c r="H710">
        <v>3.5</v>
      </c>
      <c r="I710" s="2" t="s">
        <v>0</v>
      </c>
      <c r="J710">
        <v>2</v>
      </c>
      <c r="K710" s="2" t="s">
        <v>1</v>
      </c>
      <c r="L710">
        <v>1</v>
      </c>
      <c r="M710">
        <v>3.5</v>
      </c>
      <c r="N710" s="2" t="s">
        <v>973</v>
      </c>
      <c r="O710" t="str">
        <f>D710&amp;"-"&amp;E710&amp;"-"&amp;F710&amp;"-"&amp;G710&amp;"-"&amp;H710</f>
        <v>E-2-e-1-3.5</v>
      </c>
      <c r="P710" t="str">
        <f>I710&amp;"-"&amp;J710&amp;"-"&amp;K710&amp;"-"&amp;L710&amp;"-"&amp;M710</f>
        <v>X-2-f-1-3.5</v>
      </c>
      <c r="Q710">
        <f>A710+R710</f>
        <v>20192.724907</v>
      </c>
      <c r="R710">
        <f>_xlfn.IFNA(VLOOKUP(P710,PGOPHER!A$2:G$181,7,FALSE),_xlfn.IFNA(VLOOKUP(P710,en!A$2:I$768,7,FALSE),-10000))</f>
        <v>1243.5133470000001</v>
      </c>
      <c r="S710">
        <f>IF(O710=O709,Q709+S709,Q710)</f>
        <v>60578.175395000006</v>
      </c>
      <c r="T710">
        <f>IF(O710=O709,T709+1,1)</f>
        <v>3</v>
      </c>
      <c r="U710">
        <f>IF(O710=O711,"",S710/T710)</f>
        <v>20192.72513166667</v>
      </c>
      <c r="V710" t="str">
        <f>IF(U710="","",IF(ABS(Q710-U710)&gt;V$1,"error",""))</f>
        <v/>
      </c>
    </row>
    <row r="711" spans="1:22" x14ac:dyDescent="0.55000000000000004">
      <c r="A711">
        <v>18983.15495</v>
      </c>
      <c r="B711" s="1">
        <v>5.0000000000000001E-3</v>
      </c>
      <c r="C711" s="1">
        <v>5.0000000000000001E-3</v>
      </c>
      <c r="D711" s="2" t="s">
        <v>680</v>
      </c>
      <c r="E711">
        <v>2</v>
      </c>
      <c r="F711" s="2" t="s">
        <v>1</v>
      </c>
      <c r="G711">
        <v>0</v>
      </c>
      <c r="H711">
        <v>3.5</v>
      </c>
      <c r="I711" s="2" t="s">
        <v>0</v>
      </c>
      <c r="J711">
        <v>2</v>
      </c>
      <c r="K711" s="2" t="s">
        <v>1</v>
      </c>
      <c r="L711">
        <v>0</v>
      </c>
      <c r="M711">
        <v>2.5</v>
      </c>
      <c r="N711" s="2" t="s">
        <v>716</v>
      </c>
      <c r="O711" t="str">
        <f>D711&amp;"-"&amp;E711&amp;"-"&amp;F711&amp;"-"&amp;G711&amp;"-"&amp;H711</f>
        <v>E-2-f-0-3.5</v>
      </c>
      <c r="P711" t="str">
        <f>I711&amp;"-"&amp;J711&amp;"-"&amp;K711&amp;"-"&amp;L711&amp;"-"&amp;M711</f>
        <v>X-2-f-0-2.5</v>
      </c>
      <c r="Q711">
        <f>A711+R711</f>
        <v>19026.488442999998</v>
      </c>
      <c r="R711">
        <f>_xlfn.IFNA(VLOOKUP(P711,PGOPHER!A$2:G$181,7,FALSE),_xlfn.IFNA(VLOOKUP(P711,en!A$2:I$768,7,FALSE),-10000))</f>
        <v>43.333492999999997</v>
      </c>
      <c r="S711">
        <f>IF(O711=O710,Q710+S710,Q711)</f>
        <v>19026.488442999998</v>
      </c>
      <c r="T711">
        <f>IF(O711=O710,T710+1,1)</f>
        <v>1</v>
      </c>
      <c r="U711" t="str">
        <f>IF(O711=O712,"",S711/T711)</f>
        <v/>
      </c>
      <c r="V711" t="str">
        <f>IF(U711="","",IF(ABS(Q711-U711)&gt;V$1,"error",""))</f>
        <v/>
      </c>
    </row>
    <row r="712" spans="1:22" x14ac:dyDescent="0.55000000000000004">
      <c r="A712">
        <v>18917.975269999999</v>
      </c>
      <c r="B712" s="1">
        <v>5.0000000000000001E-3</v>
      </c>
      <c r="C712" s="1">
        <v>5.0000000000000001E-3</v>
      </c>
      <c r="D712" s="2" t="s">
        <v>680</v>
      </c>
      <c r="E712">
        <v>2</v>
      </c>
      <c r="F712" s="2" t="s">
        <v>1</v>
      </c>
      <c r="G712">
        <v>0</v>
      </c>
      <c r="H712">
        <v>3.5</v>
      </c>
      <c r="I712" s="2" t="s">
        <v>0</v>
      </c>
      <c r="J712">
        <v>2</v>
      </c>
      <c r="K712" s="2" t="s">
        <v>1</v>
      </c>
      <c r="L712">
        <v>0</v>
      </c>
      <c r="M712">
        <v>4.5</v>
      </c>
      <c r="N712" s="2" t="s">
        <v>717</v>
      </c>
      <c r="O712" t="str">
        <f>D712&amp;"-"&amp;E712&amp;"-"&amp;F712&amp;"-"&amp;G712&amp;"-"&amp;H712</f>
        <v>E-2-f-0-3.5</v>
      </c>
      <c r="P712" t="str">
        <f>I712&amp;"-"&amp;J712&amp;"-"&amp;K712&amp;"-"&amp;L712&amp;"-"&amp;M712</f>
        <v>X-2-f-0-4.5</v>
      </c>
      <c r="Q712">
        <f>A712+R712</f>
        <v>19026.486352</v>
      </c>
      <c r="R712">
        <f>_xlfn.IFNA(VLOOKUP(P712,PGOPHER!A$2:G$181,7,FALSE),_xlfn.IFNA(VLOOKUP(P712,en!A$2:I$768,7,FALSE),-10000))</f>
        <v>108.511082</v>
      </c>
      <c r="S712">
        <f>IF(O712=O711,Q711+S711,Q712)</f>
        <v>38052.976885999997</v>
      </c>
      <c r="T712">
        <f>IF(O712=O711,T711+1,1)</f>
        <v>2</v>
      </c>
      <c r="U712" t="str">
        <f>IF(O712=O713,"",S712/T712)</f>
        <v/>
      </c>
      <c r="V712" t="str">
        <f>IF(U712="","",IF(ABS(Q712-U712)&gt;V$1,"error",""))</f>
        <v/>
      </c>
    </row>
    <row r="713" spans="1:22" x14ac:dyDescent="0.55000000000000004">
      <c r="A713">
        <v>18982.724399999999</v>
      </c>
      <c r="B713" s="1">
        <v>5.0000000000000001E-3</v>
      </c>
      <c r="C713" s="1">
        <v>5.0000000000000001E-3</v>
      </c>
      <c r="D713" s="2" t="s">
        <v>680</v>
      </c>
      <c r="E713">
        <v>2</v>
      </c>
      <c r="F713" s="2" t="s">
        <v>1</v>
      </c>
      <c r="G713">
        <v>0</v>
      </c>
      <c r="H713">
        <v>3.5</v>
      </c>
      <c r="I713" s="2" t="s">
        <v>0</v>
      </c>
      <c r="J713">
        <v>1</v>
      </c>
      <c r="K713" s="2" t="s">
        <v>2</v>
      </c>
      <c r="L713">
        <v>0</v>
      </c>
      <c r="M713">
        <v>3.5</v>
      </c>
      <c r="N713" s="2" t="s">
        <v>718</v>
      </c>
      <c r="O713" t="str">
        <f>D713&amp;"-"&amp;E713&amp;"-"&amp;F713&amp;"-"&amp;G713&amp;"-"&amp;H713</f>
        <v>E-2-f-0-3.5</v>
      </c>
      <c r="P713" t="str">
        <f>I713&amp;"-"&amp;J713&amp;"-"&amp;K713&amp;"-"&amp;L713&amp;"-"&amp;M713</f>
        <v>X-1-e-0-3.5</v>
      </c>
      <c r="Q713">
        <f>A713+R713</f>
        <v>19026.492172999999</v>
      </c>
      <c r="R713">
        <f>_xlfn.IFNA(VLOOKUP(P713,PGOPHER!A$2:G$181,7,FALSE),_xlfn.IFNA(VLOOKUP(P713,en!A$2:I$768,7,FALSE),-10000))</f>
        <v>43.767772999999998</v>
      </c>
      <c r="S713">
        <f>IF(O713=O712,Q712+S712,Q713)</f>
        <v>57079.463237999997</v>
      </c>
      <c r="T713">
        <f>IF(O713=O712,T712+1,1)</f>
        <v>3</v>
      </c>
      <c r="U713">
        <f>IF(O713=O714,"",S713/T713)</f>
        <v>19026.487745999999</v>
      </c>
      <c r="V713" t="str">
        <f>IF(U713="","",IF(ABS(Q713-U713)&gt;V$1,"error",""))</f>
        <v/>
      </c>
    </row>
    <row r="714" spans="1:22" x14ac:dyDescent="0.55000000000000004">
      <c r="A714">
        <v>18977.150539999999</v>
      </c>
      <c r="B714" s="1">
        <v>0.01</v>
      </c>
      <c r="C714" s="1">
        <v>0.01</v>
      </c>
      <c r="D714" s="2" t="s">
        <v>680</v>
      </c>
      <c r="E714">
        <v>2</v>
      </c>
      <c r="F714" s="2" t="s">
        <v>1</v>
      </c>
      <c r="G714">
        <v>1</v>
      </c>
      <c r="H714">
        <v>3.5</v>
      </c>
      <c r="I714" s="2" t="s">
        <v>0</v>
      </c>
      <c r="J714">
        <v>1</v>
      </c>
      <c r="K714" s="2" t="s">
        <v>2</v>
      </c>
      <c r="L714">
        <v>1</v>
      </c>
      <c r="M714">
        <v>3.5</v>
      </c>
      <c r="N714" s="2" t="s">
        <v>974</v>
      </c>
      <c r="O714" t="str">
        <f>D714&amp;"-"&amp;E714&amp;"-"&amp;F714&amp;"-"&amp;G714&amp;"-"&amp;H714</f>
        <v>E-2-f-1-3.5</v>
      </c>
      <c r="P714" t="str">
        <f>I714&amp;"-"&amp;J714&amp;"-"&amp;K714&amp;"-"&amp;L714&amp;"-"&amp;M714</f>
        <v>X-1-e-1-3.5</v>
      </c>
      <c r="Q714">
        <f>A714+R714</f>
        <v>20192.751669999998</v>
      </c>
      <c r="R714">
        <f>_xlfn.IFNA(VLOOKUP(P714,PGOPHER!A$2:G$181,7,FALSE),_xlfn.IFNA(VLOOKUP(P714,en!A$2:I$768,7,FALSE),-10000))</f>
        <v>1215.60113</v>
      </c>
      <c r="S714">
        <f>IF(O714=O713,Q713+S713,Q714)</f>
        <v>20192.751669999998</v>
      </c>
      <c r="T714">
        <f>IF(O714=O713,T713+1,1)</f>
        <v>1</v>
      </c>
      <c r="U714" t="str">
        <f>IF(O714=O715,"",S714/T714)</f>
        <v/>
      </c>
      <c r="V714" t="str">
        <f>IF(U714="","",IF(ABS(Q714-U714)&gt;V$1,"error",""))</f>
        <v/>
      </c>
    </row>
    <row r="715" spans="1:22" x14ac:dyDescent="0.55000000000000004">
      <c r="A715">
        <v>18977.56335</v>
      </c>
      <c r="B715" s="1">
        <v>1.4999999999999999E-2</v>
      </c>
      <c r="C715" s="1">
        <v>1.4999999999999999E-2</v>
      </c>
      <c r="D715" s="2" t="s">
        <v>680</v>
      </c>
      <c r="E715">
        <v>2</v>
      </c>
      <c r="F715" s="2" t="s">
        <v>1</v>
      </c>
      <c r="G715">
        <v>1</v>
      </c>
      <c r="H715">
        <v>3.5</v>
      </c>
      <c r="I715" s="2" t="s">
        <v>0</v>
      </c>
      <c r="J715">
        <v>2</v>
      </c>
      <c r="K715" s="2" t="s">
        <v>1</v>
      </c>
      <c r="L715">
        <v>1</v>
      </c>
      <c r="M715">
        <v>2.5</v>
      </c>
      <c r="N715" s="2" t="s">
        <v>975</v>
      </c>
      <c r="O715" t="str">
        <f>D715&amp;"-"&amp;E715&amp;"-"&amp;F715&amp;"-"&amp;G715&amp;"-"&amp;H715</f>
        <v>E-2-f-1-3.5</v>
      </c>
      <c r="P715" t="str">
        <f>I715&amp;"-"&amp;J715&amp;"-"&amp;K715&amp;"-"&amp;L715&amp;"-"&amp;M715</f>
        <v>X-2-f-1-2.5</v>
      </c>
      <c r="Q715">
        <f>A715+R715</f>
        <v>20192.745279999999</v>
      </c>
      <c r="R715">
        <f>_xlfn.IFNA(VLOOKUP(P715,PGOPHER!A$2:G$181,7,FALSE),_xlfn.IFNA(VLOOKUP(P715,en!A$2:I$768,7,FALSE),-10000))</f>
        <v>1215.18193</v>
      </c>
      <c r="S715">
        <f>IF(O715=O714,Q714+S714,Q715)</f>
        <v>40385.503339999996</v>
      </c>
      <c r="T715">
        <f>IF(O715=O714,T714+1,1)</f>
        <v>2</v>
      </c>
      <c r="U715" t="str">
        <f>IF(O715=O716,"",S715/T715)</f>
        <v/>
      </c>
      <c r="V715" t="str">
        <f>IF(U715="","",IF(ABS(Q715-U715)&gt;V$1,"error",""))</f>
        <v/>
      </c>
    </row>
    <row r="716" spans="1:22" x14ac:dyDescent="0.55000000000000004">
      <c r="A716">
        <v>18913.852900000002</v>
      </c>
      <c r="B716" s="1">
        <v>1.77E-2</v>
      </c>
      <c r="C716" s="1">
        <v>1.77E-2</v>
      </c>
      <c r="D716" s="2" t="s">
        <v>680</v>
      </c>
      <c r="E716">
        <v>2</v>
      </c>
      <c r="F716" s="2" t="s">
        <v>1</v>
      </c>
      <c r="G716">
        <v>1</v>
      </c>
      <c r="H716">
        <v>3.5</v>
      </c>
      <c r="I716" s="2" t="s">
        <v>0</v>
      </c>
      <c r="J716">
        <v>2</v>
      </c>
      <c r="K716" s="2" t="s">
        <v>1</v>
      </c>
      <c r="L716">
        <v>1</v>
      </c>
      <c r="M716">
        <v>4.5</v>
      </c>
      <c r="N716" s="2" t="s">
        <v>976</v>
      </c>
      <c r="O716" t="str">
        <f>D716&amp;"-"&amp;E716&amp;"-"&amp;F716&amp;"-"&amp;G716&amp;"-"&amp;H716</f>
        <v>E-2-f-1-3.5</v>
      </c>
      <c r="P716" t="str">
        <f>I716&amp;"-"&amp;J716&amp;"-"&amp;K716&amp;"-"&amp;L716&amp;"-"&amp;M716</f>
        <v>X-2-f-1-4.5</v>
      </c>
      <c r="Q716">
        <f>A716+R716</f>
        <v>20192.770366000001</v>
      </c>
      <c r="R716">
        <f>_xlfn.IFNA(VLOOKUP(P716,PGOPHER!A$2:G$181,7,FALSE),_xlfn.IFNA(VLOOKUP(P716,en!A$2:I$768,7,FALSE),-10000))</f>
        <v>1278.9174660000001</v>
      </c>
      <c r="S716">
        <f>IF(O716=O715,Q715+S715,Q716)</f>
        <v>60578.248619999998</v>
      </c>
      <c r="T716">
        <f>IF(O716=O715,T715+1,1)</f>
        <v>3</v>
      </c>
      <c r="U716">
        <f>IF(O716=O717,"",S716/T716)</f>
        <v>20192.749540000001</v>
      </c>
      <c r="V716" t="str">
        <f>IF(U716="","",IF(ABS(Q716-U716)&gt;V$1,"error",""))</f>
        <v/>
      </c>
    </row>
    <row r="717" spans="1:22" x14ac:dyDescent="0.55000000000000004">
      <c r="A717">
        <v>18906.92369</v>
      </c>
      <c r="B717" s="1">
        <v>1.4999999999999999E-2</v>
      </c>
      <c r="C717" s="1">
        <v>1.4999999999999999E-2</v>
      </c>
      <c r="D717" s="2" t="s">
        <v>680</v>
      </c>
      <c r="E717">
        <v>1</v>
      </c>
      <c r="F717" s="2" t="s">
        <v>2</v>
      </c>
      <c r="G717">
        <v>0</v>
      </c>
      <c r="H717">
        <v>4.5</v>
      </c>
      <c r="I717" s="2" t="s">
        <v>0</v>
      </c>
      <c r="J717">
        <v>1</v>
      </c>
      <c r="K717" s="2" t="s">
        <v>2</v>
      </c>
      <c r="L717">
        <v>0</v>
      </c>
      <c r="M717">
        <v>3.5</v>
      </c>
      <c r="N717" s="2" t="s">
        <v>719</v>
      </c>
      <c r="O717" t="str">
        <f>D717&amp;"-"&amp;E717&amp;"-"&amp;F717&amp;"-"&amp;G717&amp;"-"&amp;H717</f>
        <v>E-1-e-0-4.5</v>
      </c>
      <c r="P717" t="str">
        <f>I717&amp;"-"&amp;J717&amp;"-"&amp;K717&amp;"-"&amp;L717&amp;"-"&amp;M717</f>
        <v>X-1-e-0-3.5</v>
      </c>
      <c r="Q717">
        <f>A717+R717</f>
        <v>18950.691462999999</v>
      </c>
      <c r="R717">
        <f>_xlfn.IFNA(VLOOKUP(P717,PGOPHER!A$2:G$181,7,FALSE),_xlfn.IFNA(VLOOKUP(P717,en!A$2:I$768,7,FALSE),-10000))</f>
        <v>43.767772999999998</v>
      </c>
      <c r="S717">
        <f>IF(O717=O716,Q716+S716,Q717)</f>
        <v>18950.691462999999</v>
      </c>
      <c r="T717">
        <f>IF(O717=O716,T716+1,1)</f>
        <v>1</v>
      </c>
      <c r="U717" t="str">
        <f>IF(O717=O718,"",S717/T717)</f>
        <v/>
      </c>
      <c r="V717" t="str">
        <f>IF(U717="","",IF(ABS(Q717-U717)&gt;V$1,"error",""))</f>
        <v/>
      </c>
    </row>
    <row r="718" spans="1:22" x14ac:dyDescent="0.55000000000000004">
      <c r="A718">
        <v>18841.499879999999</v>
      </c>
      <c r="B718" s="1">
        <v>5.5E-2</v>
      </c>
      <c r="C718" s="1">
        <v>5.5E-2</v>
      </c>
      <c r="D718" s="2" t="s">
        <v>680</v>
      </c>
      <c r="E718">
        <v>1</v>
      </c>
      <c r="F718" s="2" t="s">
        <v>2</v>
      </c>
      <c r="G718">
        <v>0</v>
      </c>
      <c r="H718">
        <v>4.5</v>
      </c>
      <c r="I718" s="2" t="s">
        <v>0</v>
      </c>
      <c r="J718">
        <v>1</v>
      </c>
      <c r="K718" s="2" t="s">
        <v>2</v>
      </c>
      <c r="L718">
        <v>0</v>
      </c>
      <c r="M718">
        <v>5.5</v>
      </c>
      <c r="N718" s="2" t="s">
        <v>720</v>
      </c>
      <c r="O718" t="str">
        <f>D718&amp;"-"&amp;E718&amp;"-"&amp;F718&amp;"-"&amp;G718&amp;"-"&amp;H718</f>
        <v>E-1-e-0-4.5</v>
      </c>
      <c r="P718" t="str">
        <f>I718&amp;"-"&amp;J718&amp;"-"&amp;K718&amp;"-"&amp;L718&amp;"-"&amp;M718</f>
        <v>X-1-e-0-5.5</v>
      </c>
      <c r="Q718">
        <f>A718+R718</f>
        <v>18950.690054999999</v>
      </c>
      <c r="R718">
        <f>_xlfn.IFNA(VLOOKUP(P718,PGOPHER!A$2:G$181,7,FALSE),_xlfn.IFNA(VLOOKUP(P718,en!A$2:I$768,7,FALSE),-10000))</f>
        <v>109.190175</v>
      </c>
      <c r="S718">
        <f>IF(O718=O717,Q717+S717,Q718)</f>
        <v>37901.382925999998</v>
      </c>
      <c r="T718">
        <f>IF(O718=O717,T717+1,1)</f>
        <v>2</v>
      </c>
      <c r="U718" t="str">
        <f>IF(O718=O719,"",S718/T718)</f>
        <v/>
      </c>
      <c r="V718" t="str">
        <f>IF(U718="","",IF(ABS(Q718-U718)&gt;V$1,"error",""))</f>
        <v/>
      </c>
    </row>
    <row r="719" spans="1:22" x14ac:dyDescent="0.55000000000000004">
      <c r="A719">
        <v>18842.17827</v>
      </c>
      <c r="B719" s="1">
        <v>1.4999999999999999E-2</v>
      </c>
      <c r="C719" s="1">
        <v>1.4999999999999999E-2</v>
      </c>
      <c r="D719" s="2" t="s">
        <v>680</v>
      </c>
      <c r="E719">
        <v>1</v>
      </c>
      <c r="F719" s="2" t="s">
        <v>2</v>
      </c>
      <c r="G719">
        <v>0</v>
      </c>
      <c r="H719">
        <v>4.5</v>
      </c>
      <c r="I719" s="2" t="s">
        <v>0</v>
      </c>
      <c r="J719">
        <v>2</v>
      </c>
      <c r="K719" s="2" t="s">
        <v>1</v>
      </c>
      <c r="L719">
        <v>0</v>
      </c>
      <c r="M719">
        <v>4.5</v>
      </c>
      <c r="N719" s="2" t="s">
        <v>721</v>
      </c>
      <c r="O719" t="str">
        <f>D719&amp;"-"&amp;E719&amp;"-"&amp;F719&amp;"-"&amp;G719&amp;"-"&amp;H719</f>
        <v>E-1-e-0-4.5</v>
      </c>
      <c r="P719" t="str">
        <f>I719&amp;"-"&amp;J719&amp;"-"&amp;K719&amp;"-"&amp;L719&amp;"-"&amp;M719</f>
        <v>X-2-f-0-4.5</v>
      </c>
      <c r="Q719">
        <f>A719+R719</f>
        <v>18950.689352000001</v>
      </c>
      <c r="R719">
        <f>_xlfn.IFNA(VLOOKUP(P719,PGOPHER!A$2:G$181,7,FALSE),_xlfn.IFNA(VLOOKUP(P719,en!A$2:I$768,7,FALSE),-10000))</f>
        <v>108.511082</v>
      </c>
      <c r="S719">
        <f>IF(O719=O718,Q718+S718,Q719)</f>
        <v>56852.072980999998</v>
      </c>
      <c r="T719">
        <f>IF(O719=O718,T718+1,1)</f>
        <v>3</v>
      </c>
      <c r="U719">
        <f>IF(O719=O720,"",S719/T719)</f>
        <v>18950.690993666667</v>
      </c>
      <c r="V719" t="str">
        <f>IF(U719="","",IF(ABS(Q719-U719)&gt;V$1,"error",""))</f>
        <v/>
      </c>
    </row>
    <row r="720" spans="1:22" x14ac:dyDescent="0.55000000000000004">
      <c r="A720">
        <v>18833.15366</v>
      </c>
      <c r="B720" s="1">
        <v>5.0000000000000001E-3</v>
      </c>
      <c r="C720" s="1">
        <v>5.0000000000000001E-3</v>
      </c>
      <c r="D720" s="2" t="s">
        <v>680</v>
      </c>
      <c r="E720">
        <v>1</v>
      </c>
      <c r="F720" s="2" t="s">
        <v>2</v>
      </c>
      <c r="G720">
        <v>1</v>
      </c>
      <c r="H720">
        <v>4.5</v>
      </c>
      <c r="I720" s="2" t="s">
        <v>0</v>
      </c>
      <c r="J720">
        <v>1</v>
      </c>
      <c r="K720" s="2" t="s">
        <v>2</v>
      </c>
      <c r="L720">
        <v>1</v>
      </c>
      <c r="M720">
        <v>5.5</v>
      </c>
      <c r="N720" s="2" t="s">
        <v>977</v>
      </c>
      <c r="O720" t="str">
        <f>D720&amp;"-"&amp;E720&amp;"-"&amp;F720&amp;"-"&amp;G720&amp;"-"&amp;H720</f>
        <v>E-1-e-1-4.5</v>
      </c>
      <c r="P720" t="str">
        <f>I720&amp;"-"&amp;J720&amp;"-"&amp;K720&amp;"-"&amp;L720&amp;"-"&amp;M720</f>
        <v>X-1-e-1-5.5</v>
      </c>
      <c r="Q720">
        <f>A720+R720</f>
        <v>20112.728224999999</v>
      </c>
      <c r="R720">
        <f>_xlfn.IFNA(VLOOKUP(P720,PGOPHER!A$2:G$181,7,FALSE),_xlfn.IFNA(VLOOKUP(P720,en!A$2:I$768,7,FALSE),-10000))</f>
        <v>1279.5745649999999</v>
      </c>
      <c r="S720">
        <f>IF(O720=O719,Q719+S719,Q720)</f>
        <v>20112.728224999999</v>
      </c>
      <c r="T720">
        <f>IF(O720=O719,T719+1,1)</f>
        <v>1</v>
      </c>
      <c r="U720" t="str">
        <f>IF(O720=O721,"",S720/T720)</f>
        <v/>
      </c>
      <c r="V720" t="str">
        <f>IF(U720="","",IF(ABS(Q720-U720)&gt;V$1,"error",""))</f>
        <v/>
      </c>
    </row>
    <row r="721" spans="1:22" x14ac:dyDescent="0.55000000000000004">
      <c r="A721">
        <v>18897.131549999998</v>
      </c>
      <c r="B721" s="1">
        <v>5.0000000000000001E-3</v>
      </c>
      <c r="C721" s="1">
        <v>5.0000000000000001E-3</v>
      </c>
      <c r="D721" s="2" t="s">
        <v>680</v>
      </c>
      <c r="E721">
        <v>1</v>
      </c>
      <c r="F721" s="2" t="s">
        <v>2</v>
      </c>
      <c r="G721">
        <v>1</v>
      </c>
      <c r="H721">
        <v>4.5</v>
      </c>
      <c r="I721" s="2" t="s">
        <v>0</v>
      </c>
      <c r="J721">
        <v>1</v>
      </c>
      <c r="K721" s="2" t="s">
        <v>2</v>
      </c>
      <c r="L721">
        <v>1</v>
      </c>
      <c r="M721">
        <v>3.5</v>
      </c>
      <c r="N721" s="2" t="s">
        <v>978</v>
      </c>
      <c r="O721" t="str">
        <f>D721&amp;"-"&amp;E721&amp;"-"&amp;F721&amp;"-"&amp;G721&amp;"-"&amp;H721</f>
        <v>E-1-e-1-4.5</v>
      </c>
      <c r="P721" t="str">
        <f>I721&amp;"-"&amp;J721&amp;"-"&amp;K721&amp;"-"&amp;L721&amp;"-"&amp;M721</f>
        <v>X-1-e-1-3.5</v>
      </c>
      <c r="Q721">
        <f>A721+R721</f>
        <v>20112.732679999997</v>
      </c>
      <c r="R721">
        <f>_xlfn.IFNA(VLOOKUP(P721,PGOPHER!A$2:G$181,7,FALSE),_xlfn.IFNA(VLOOKUP(P721,en!A$2:I$768,7,FALSE),-10000))</f>
        <v>1215.60113</v>
      </c>
      <c r="S721">
        <f>IF(O721=O720,Q720+S720,Q721)</f>
        <v>40225.456449999998</v>
      </c>
      <c r="T721">
        <f>IF(O721=O720,T720+1,1)</f>
        <v>2</v>
      </c>
      <c r="U721" t="str">
        <f>IF(O721=O722,"",S721/T721)</f>
        <v/>
      </c>
      <c r="V721" t="str">
        <f>IF(U721="","",IF(ABS(Q721-U721)&gt;V$1,"error",""))</f>
        <v/>
      </c>
    </row>
    <row r="722" spans="1:22" x14ac:dyDescent="0.55000000000000004">
      <c r="A722">
        <v>18833.813129999999</v>
      </c>
      <c r="B722" s="1">
        <v>5.0000000000000001E-3</v>
      </c>
      <c r="C722" s="1">
        <v>5.0000000000000001E-3</v>
      </c>
      <c r="D722" s="2" t="s">
        <v>680</v>
      </c>
      <c r="E722">
        <v>1</v>
      </c>
      <c r="F722" s="2" t="s">
        <v>2</v>
      </c>
      <c r="G722">
        <v>1</v>
      </c>
      <c r="H722">
        <v>4.5</v>
      </c>
      <c r="I722" s="2" t="s">
        <v>0</v>
      </c>
      <c r="J722">
        <v>2</v>
      </c>
      <c r="K722" s="2" t="s">
        <v>1</v>
      </c>
      <c r="L722">
        <v>1</v>
      </c>
      <c r="M722">
        <v>4.5</v>
      </c>
      <c r="N722" s="2" t="s">
        <v>979</v>
      </c>
      <c r="O722" t="str">
        <f>D722&amp;"-"&amp;E722&amp;"-"&amp;F722&amp;"-"&amp;G722&amp;"-"&amp;H722</f>
        <v>E-1-e-1-4.5</v>
      </c>
      <c r="P722" t="str">
        <f>I722&amp;"-"&amp;J722&amp;"-"&amp;K722&amp;"-"&amp;L722&amp;"-"&amp;M722</f>
        <v>X-2-f-1-4.5</v>
      </c>
      <c r="Q722">
        <f>A722+R722</f>
        <v>20112.730595999998</v>
      </c>
      <c r="R722">
        <f>_xlfn.IFNA(VLOOKUP(P722,PGOPHER!A$2:G$181,7,FALSE),_xlfn.IFNA(VLOOKUP(P722,en!A$2:I$768,7,FALSE),-10000))</f>
        <v>1278.9174660000001</v>
      </c>
      <c r="S722">
        <f>IF(O722=O721,Q721+S721,Q722)</f>
        <v>60338.189129999999</v>
      </c>
      <c r="T722">
        <f>IF(O722=O721,T721+1,1)</f>
        <v>3</v>
      </c>
      <c r="U722">
        <f>IF(O722=O723,"",S722/T722)</f>
        <v>20112.72971</v>
      </c>
      <c r="V722" t="str">
        <f>IF(U722="","",IF(ABS(Q722-U722)&gt;V$1,"error",""))</f>
        <v/>
      </c>
    </row>
    <row r="723" spans="1:22" x14ac:dyDescent="0.55000000000000004">
      <c r="A723">
        <v>18799.114399999999</v>
      </c>
      <c r="B723" s="1">
        <v>5.5E-2</v>
      </c>
      <c r="C723" s="1">
        <v>5.5E-2</v>
      </c>
      <c r="D723" s="2" t="s">
        <v>680</v>
      </c>
      <c r="E723">
        <v>1</v>
      </c>
      <c r="F723" s="2" t="s">
        <v>1</v>
      </c>
      <c r="G723">
        <v>0</v>
      </c>
      <c r="H723">
        <v>4.5</v>
      </c>
      <c r="I723" s="2" t="s">
        <v>0</v>
      </c>
      <c r="J723">
        <v>2</v>
      </c>
      <c r="K723" s="2" t="s">
        <v>1</v>
      </c>
      <c r="L723">
        <v>0</v>
      </c>
      <c r="M723">
        <v>5.5</v>
      </c>
      <c r="N723" s="2" t="s">
        <v>722</v>
      </c>
      <c r="O723" t="str">
        <f>D723&amp;"-"&amp;E723&amp;"-"&amp;F723&amp;"-"&amp;G723&amp;"-"&amp;H723</f>
        <v>E-1-f-0-4.5</v>
      </c>
      <c r="P723" t="str">
        <f>I723&amp;"-"&amp;J723&amp;"-"&amp;K723&amp;"-"&amp;L723&amp;"-"&amp;M723</f>
        <v>X-2-f-0-5.5</v>
      </c>
      <c r="Q723">
        <f>A723+R723</f>
        <v>18951.047964999998</v>
      </c>
      <c r="R723">
        <f>_xlfn.IFNA(VLOOKUP(P723,PGOPHER!A$2:G$181,7,FALSE),_xlfn.IFNA(VLOOKUP(P723,en!A$2:I$768,7,FALSE),-10000))</f>
        <v>151.93356499999999</v>
      </c>
      <c r="S723">
        <f>IF(O723=O722,Q722+S722,Q723)</f>
        <v>18951.047964999998</v>
      </c>
      <c r="T723">
        <f>IF(O723=O722,T722+1,1)</f>
        <v>1</v>
      </c>
      <c r="U723" t="str">
        <f>IF(O723=O724,"",S723/T723)</f>
        <v/>
      </c>
      <c r="V723" t="str">
        <f>IF(U723="","",IF(ABS(Q723-U723)&gt;V$1,"error",""))</f>
        <v/>
      </c>
    </row>
    <row r="724" spans="1:22" x14ac:dyDescent="0.55000000000000004">
      <c r="A724">
        <v>18878.744640000001</v>
      </c>
      <c r="B724" s="1">
        <v>5.5E-2</v>
      </c>
      <c r="C724" s="1">
        <v>5.5E-2</v>
      </c>
      <c r="D724" s="2" t="s">
        <v>680</v>
      </c>
      <c r="E724">
        <v>1</v>
      </c>
      <c r="F724" s="2" t="s">
        <v>1</v>
      </c>
      <c r="G724">
        <v>0</v>
      </c>
      <c r="H724">
        <v>4.5</v>
      </c>
      <c r="I724" s="2" t="s">
        <v>0</v>
      </c>
      <c r="J724">
        <v>2</v>
      </c>
      <c r="K724" s="2" t="s">
        <v>1</v>
      </c>
      <c r="L724">
        <v>0</v>
      </c>
      <c r="M724">
        <v>3.5</v>
      </c>
      <c r="N724" s="2" t="s">
        <v>723</v>
      </c>
      <c r="O724" t="str">
        <f>D724&amp;"-"&amp;E724&amp;"-"&amp;F724&amp;"-"&amp;G724&amp;"-"&amp;H724</f>
        <v>E-1-f-0-4.5</v>
      </c>
      <c r="P724" t="str">
        <f>I724&amp;"-"&amp;J724&amp;"-"&amp;K724&amp;"-"&amp;L724&amp;"-"&amp;M724</f>
        <v>X-2-f-0-3.5</v>
      </c>
      <c r="Q724">
        <f>A724+R724</f>
        <v>18951.049196</v>
      </c>
      <c r="R724">
        <f>_xlfn.IFNA(VLOOKUP(P724,PGOPHER!A$2:G$181,7,FALSE),_xlfn.IFNA(VLOOKUP(P724,en!A$2:I$768,7,FALSE),-10000))</f>
        <v>72.304556000000005</v>
      </c>
      <c r="S724">
        <f>IF(O724=O723,Q723+S723,Q724)</f>
        <v>37902.095929999996</v>
      </c>
      <c r="T724">
        <f>IF(O724=O723,T723+1,1)</f>
        <v>2</v>
      </c>
      <c r="U724" t="str">
        <f>IF(O724=O725,"",S724/T724)</f>
        <v/>
      </c>
      <c r="V724" t="str">
        <f>IF(U724="","",IF(ABS(Q724-U724)&gt;V$1,"error",""))</f>
        <v/>
      </c>
    </row>
    <row r="725" spans="1:22" x14ac:dyDescent="0.55000000000000004">
      <c r="A725">
        <v>18878.18749</v>
      </c>
      <c r="B725" s="1">
        <v>5.5E-2</v>
      </c>
      <c r="C725" s="1">
        <v>5.5E-2</v>
      </c>
      <c r="D725" s="2" t="s">
        <v>680</v>
      </c>
      <c r="E725">
        <v>1</v>
      </c>
      <c r="F725" s="2" t="s">
        <v>1</v>
      </c>
      <c r="G725">
        <v>0</v>
      </c>
      <c r="H725">
        <v>4.5</v>
      </c>
      <c r="I725" s="2" t="s">
        <v>0</v>
      </c>
      <c r="J725">
        <v>1</v>
      </c>
      <c r="K725" s="2" t="s">
        <v>2</v>
      </c>
      <c r="L725">
        <v>0</v>
      </c>
      <c r="M725">
        <v>4.5</v>
      </c>
      <c r="N725" s="2" t="s">
        <v>724</v>
      </c>
      <c r="O725" t="str">
        <f>D725&amp;"-"&amp;E725&amp;"-"&amp;F725&amp;"-"&amp;G725&amp;"-"&amp;H725</f>
        <v>E-1-f-0-4.5</v>
      </c>
      <c r="P725" t="str">
        <f>I725&amp;"-"&amp;J725&amp;"-"&amp;K725&amp;"-"&amp;L725&amp;"-"&amp;M725</f>
        <v>X-1-e-0-4.5</v>
      </c>
      <c r="Q725">
        <f>A725+R725</f>
        <v>18951.048994000001</v>
      </c>
      <c r="R725">
        <f>_xlfn.IFNA(VLOOKUP(P725,PGOPHER!A$2:G$181,7,FALSE),_xlfn.IFNA(VLOOKUP(P725,en!A$2:I$768,7,FALSE),-10000))</f>
        <v>72.861503999999996</v>
      </c>
      <c r="S725">
        <f>IF(O725=O724,Q724+S724,Q725)</f>
        <v>56853.145125999996</v>
      </c>
      <c r="T725">
        <f>IF(O725=O724,T724+1,1)</f>
        <v>3</v>
      </c>
      <c r="U725">
        <f>IF(O725=O726,"",S725/T725)</f>
        <v>18951.048375333332</v>
      </c>
      <c r="V725" t="str">
        <f>IF(U725="","",IF(ABS(Q725-U725)&gt;V$1,"error",""))</f>
        <v/>
      </c>
    </row>
    <row r="726" spans="1:22" x14ac:dyDescent="0.55000000000000004">
      <c r="A726">
        <v>18868.977510000001</v>
      </c>
      <c r="B726" s="1">
        <v>5.0000000000000001E-3</v>
      </c>
      <c r="C726" s="1">
        <v>5.0000000000000001E-3</v>
      </c>
      <c r="D726" s="2" t="s">
        <v>680</v>
      </c>
      <c r="E726">
        <v>1</v>
      </c>
      <c r="F726" s="2" t="s">
        <v>1</v>
      </c>
      <c r="G726">
        <v>1</v>
      </c>
      <c r="H726">
        <v>4.5</v>
      </c>
      <c r="I726" s="2" t="s">
        <v>0</v>
      </c>
      <c r="J726">
        <v>1</v>
      </c>
      <c r="K726" s="2" t="s">
        <v>2</v>
      </c>
      <c r="L726">
        <v>1</v>
      </c>
      <c r="M726">
        <v>4.5</v>
      </c>
      <c r="N726" s="2" t="s">
        <v>981</v>
      </c>
      <c r="O726" t="str">
        <f>D726&amp;"-"&amp;E726&amp;"-"&amp;F726&amp;"-"&amp;G726&amp;"-"&amp;H726</f>
        <v>E-1-f-1-4.5</v>
      </c>
      <c r="P726" t="str">
        <f>I726&amp;"-"&amp;J726&amp;"-"&amp;K726&amp;"-"&amp;L726&amp;"-"&amp;M726</f>
        <v>X-1-e-1-4.5</v>
      </c>
      <c r="Q726">
        <f>A726+R726</f>
        <v>20113.029044999999</v>
      </c>
      <c r="R726">
        <f>_xlfn.IFNA(VLOOKUP(P726,PGOPHER!A$2:G$181,7,FALSE),_xlfn.IFNA(VLOOKUP(P726,en!A$2:I$768,7,FALSE),-10000))</f>
        <v>1244.0515350000001</v>
      </c>
      <c r="S726">
        <f>IF(O726=O725,Q725+S725,Q726)</f>
        <v>20113.029044999999</v>
      </c>
      <c r="T726">
        <f>IF(O726=O725,T725+1,1)</f>
        <v>1</v>
      </c>
      <c r="U726" t="str">
        <f>IF(O726=O727,"",S726/T726)</f>
        <v/>
      </c>
      <c r="V726" t="str">
        <f>IF(U726="","",IF(ABS(Q726-U726)&gt;V$1,"error",""))</f>
        <v/>
      </c>
    </row>
    <row r="727" spans="1:22" x14ac:dyDescent="0.55000000000000004">
      <c r="A727">
        <v>18791.650809999999</v>
      </c>
      <c r="B727" s="1">
        <v>5.0000000000000001E-3</v>
      </c>
      <c r="C727" s="1">
        <v>5.0000000000000001E-3</v>
      </c>
      <c r="D727" s="2" t="s">
        <v>680</v>
      </c>
      <c r="E727">
        <v>1</v>
      </c>
      <c r="F727" s="2" t="s">
        <v>1</v>
      </c>
      <c r="G727">
        <v>1</v>
      </c>
      <c r="H727">
        <v>4.5</v>
      </c>
      <c r="I727" s="2" t="s">
        <v>0</v>
      </c>
      <c r="J727">
        <v>2</v>
      </c>
      <c r="K727" s="2" t="s">
        <v>1</v>
      </c>
      <c r="L727">
        <v>1</v>
      </c>
      <c r="M727">
        <v>5.5</v>
      </c>
      <c r="N727" s="2" t="s">
        <v>980</v>
      </c>
      <c r="O727" t="str">
        <f>D727&amp;"-"&amp;E727&amp;"-"&amp;F727&amp;"-"&amp;G727&amp;"-"&amp;H727</f>
        <v>E-1-f-1-4.5</v>
      </c>
      <c r="P727" t="str">
        <f>I727&amp;"-"&amp;J727&amp;"-"&amp;K727&amp;"-"&amp;L727&amp;"-"&amp;M727</f>
        <v>X-2-f-1-5.5</v>
      </c>
      <c r="Q727">
        <f>A727+R727</f>
        <v>20113.031929000001</v>
      </c>
      <c r="R727">
        <f>_xlfn.IFNA(VLOOKUP(P727,PGOPHER!A$2:G$181,7,FALSE),_xlfn.IFNA(VLOOKUP(P727,en!A$2:I$768,7,FALSE),-10000))</f>
        <v>1321.3811189999999</v>
      </c>
      <c r="S727">
        <f>IF(O727=O726,Q726+S726,Q727)</f>
        <v>40226.058089999999</v>
      </c>
      <c r="T727">
        <f>IF(O727=O726,T726+1,1)</f>
        <v>2</v>
      </c>
      <c r="U727">
        <f>IF(O727=O728,"",S727/T727)</f>
        <v>20113.029044999999</v>
      </c>
      <c r="V727" t="str">
        <f>IF(U727="","",IF(ABS(Q727-U727)&gt;V$1,"error",""))</f>
        <v/>
      </c>
    </row>
    <row r="728" spans="1:22" x14ac:dyDescent="0.55000000000000004">
      <c r="A728">
        <v>18952.962780000002</v>
      </c>
      <c r="B728" s="1">
        <v>5.0000000000000001E-3</v>
      </c>
      <c r="C728" s="1">
        <v>5.0000000000000001E-3</v>
      </c>
      <c r="D728" s="2" t="s">
        <v>680</v>
      </c>
      <c r="E728">
        <v>2</v>
      </c>
      <c r="F728" s="2" t="s">
        <v>2</v>
      </c>
      <c r="G728">
        <v>0</v>
      </c>
      <c r="H728">
        <v>4.5</v>
      </c>
      <c r="I728" s="2" t="s">
        <v>0</v>
      </c>
      <c r="J728">
        <v>2</v>
      </c>
      <c r="K728" s="2" t="s">
        <v>1</v>
      </c>
      <c r="L728">
        <v>0</v>
      </c>
      <c r="M728">
        <v>4.5</v>
      </c>
      <c r="N728" s="2" t="s">
        <v>726</v>
      </c>
      <c r="O728" t="str">
        <f>D728&amp;"-"&amp;E728&amp;"-"&amp;F728&amp;"-"&amp;G728&amp;"-"&amp;H728</f>
        <v>E-2-e-0-4.5</v>
      </c>
      <c r="P728" t="str">
        <f>I728&amp;"-"&amp;J728&amp;"-"&amp;K728&amp;"-"&amp;L728&amp;"-"&amp;M728</f>
        <v>X-2-f-0-4.5</v>
      </c>
      <c r="Q728">
        <f>A728+R728</f>
        <v>19061.473862000003</v>
      </c>
      <c r="R728">
        <f>_xlfn.IFNA(VLOOKUP(P728,PGOPHER!A$2:G$181,7,FALSE),_xlfn.IFNA(VLOOKUP(P728,en!A$2:I$768,7,FALSE),-10000))</f>
        <v>108.511082</v>
      </c>
      <c r="S728">
        <f>IF(O728=O727,Q727+S727,Q728)</f>
        <v>19061.473862000003</v>
      </c>
      <c r="T728">
        <f>IF(O728=O727,T727+1,1)</f>
        <v>1</v>
      </c>
      <c r="U728" t="str">
        <f>IF(O728=O729,"",S728/T728)</f>
        <v/>
      </c>
      <c r="V728" t="str">
        <f>IF(U728="","",IF(ABS(Q728-U728)&gt;V$1,"error",""))</f>
        <v/>
      </c>
    </row>
    <row r="729" spans="1:22" x14ac:dyDescent="0.55000000000000004">
      <c r="A729">
        <v>19017.708699999999</v>
      </c>
      <c r="B729" s="1">
        <v>5.0000000000000001E-3</v>
      </c>
      <c r="C729" s="1">
        <v>5.0000000000000001E-3</v>
      </c>
      <c r="D729" s="2" t="s">
        <v>680</v>
      </c>
      <c r="E729">
        <v>2</v>
      </c>
      <c r="F729" s="2" t="s">
        <v>2</v>
      </c>
      <c r="G729">
        <v>0</v>
      </c>
      <c r="H729">
        <v>4.5</v>
      </c>
      <c r="I729" s="2" t="s">
        <v>0</v>
      </c>
      <c r="J729">
        <v>1</v>
      </c>
      <c r="K729" s="2" t="s">
        <v>2</v>
      </c>
      <c r="L729">
        <v>0</v>
      </c>
      <c r="M729">
        <v>3.5</v>
      </c>
      <c r="N729" s="2" t="s">
        <v>725</v>
      </c>
      <c r="O729" t="str">
        <f>D729&amp;"-"&amp;E729&amp;"-"&amp;F729&amp;"-"&amp;G729&amp;"-"&amp;H729</f>
        <v>E-2-e-0-4.5</v>
      </c>
      <c r="P729" t="str">
        <f>I729&amp;"-"&amp;J729&amp;"-"&amp;K729&amp;"-"&amp;L729&amp;"-"&amp;M729</f>
        <v>X-1-e-0-3.5</v>
      </c>
      <c r="Q729">
        <f>A729+R729</f>
        <v>19061.476472999999</v>
      </c>
      <c r="R729">
        <f>_xlfn.IFNA(VLOOKUP(P729,PGOPHER!A$2:G$181,7,FALSE),_xlfn.IFNA(VLOOKUP(P729,en!A$2:I$768,7,FALSE),-10000))</f>
        <v>43.767772999999998</v>
      </c>
      <c r="S729">
        <f>IF(O729=O728,Q728+S728,Q729)</f>
        <v>38122.947724000005</v>
      </c>
      <c r="T729">
        <f>IF(O729=O728,T728+1,1)</f>
        <v>2</v>
      </c>
      <c r="U729">
        <f>IF(O729=O730,"",S729/T729)</f>
        <v>19061.473862000003</v>
      </c>
      <c r="V729" t="str">
        <f>IF(U729="","",IF(ABS(Q729-U729)&gt;V$1,"error",""))</f>
        <v/>
      </c>
    </row>
    <row r="730" spans="1:22" x14ac:dyDescent="0.55000000000000004">
      <c r="A730">
        <v>18947.842069999999</v>
      </c>
      <c r="B730" s="1">
        <v>7.2899999999999996E-3</v>
      </c>
      <c r="C730" s="1">
        <v>7.2899999999999996E-3</v>
      </c>
      <c r="D730" s="2" t="s">
        <v>680</v>
      </c>
      <c r="E730">
        <v>2</v>
      </c>
      <c r="F730" s="2" t="s">
        <v>2</v>
      </c>
      <c r="G730">
        <v>1</v>
      </c>
      <c r="H730">
        <v>4.5</v>
      </c>
      <c r="I730" s="2" t="s">
        <v>0</v>
      </c>
      <c r="J730">
        <v>2</v>
      </c>
      <c r="K730" s="2" t="s">
        <v>1</v>
      </c>
      <c r="L730">
        <v>1</v>
      </c>
      <c r="M730">
        <v>4.5</v>
      </c>
      <c r="N730" s="2" t="s">
        <v>983</v>
      </c>
      <c r="O730" t="str">
        <f>D730&amp;"-"&amp;E730&amp;"-"&amp;F730&amp;"-"&amp;G730&amp;"-"&amp;H730</f>
        <v>E-2-e-1-4.5</v>
      </c>
      <c r="P730" t="str">
        <f>I730&amp;"-"&amp;J730&amp;"-"&amp;K730&amp;"-"&amp;L730&amp;"-"&amp;M730</f>
        <v>X-2-f-1-4.5</v>
      </c>
      <c r="Q730">
        <f>A730+R730</f>
        <v>20226.759535999998</v>
      </c>
      <c r="R730">
        <f>_xlfn.IFNA(VLOOKUP(P730,PGOPHER!A$2:G$181,7,FALSE),_xlfn.IFNA(VLOOKUP(P730,en!A$2:I$768,7,FALSE),-10000))</f>
        <v>1278.9174660000001</v>
      </c>
      <c r="S730">
        <f>IF(O730=O729,Q729+S729,Q730)</f>
        <v>20226.759535999998</v>
      </c>
      <c r="T730">
        <f>IF(O730=O729,T729+1,1)</f>
        <v>1</v>
      </c>
      <c r="U730" t="str">
        <f>IF(O730=O731,"",S730/T730)</f>
        <v/>
      </c>
      <c r="V730" t="str">
        <f>IF(U730="","",IF(ABS(Q730-U730)&gt;V$1,"error",""))</f>
        <v/>
      </c>
    </row>
    <row r="731" spans="1:22" x14ac:dyDescent="0.55000000000000004">
      <c r="A731">
        <v>19011.172119999999</v>
      </c>
      <c r="B731" s="1">
        <v>7.2899999999999996E-3</v>
      </c>
      <c r="C731" s="1">
        <v>7.2899999999999996E-3</v>
      </c>
      <c r="D731" s="2" t="s">
        <v>680</v>
      </c>
      <c r="E731">
        <v>2</v>
      </c>
      <c r="F731" s="2" t="s">
        <v>2</v>
      </c>
      <c r="G731">
        <v>1</v>
      </c>
      <c r="H731">
        <v>4.5</v>
      </c>
      <c r="I731" s="2" t="s">
        <v>0</v>
      </c>
      <c r="J731">
        <v>1</v>
      </c>
      <c r="K731" s="2" t="s">
        <v>2</v>
      </c>
      <c r="L731">
        <v>1</v>
      </c>
      <c r="M731">
        <v>3.5</v>
      </c>
      <c r="N731" s="2" t="s">
        <v>982</v>
      </c>
      <c r="O731" t="str">
        <f>D731&amp;"-"&amp;E731&amp;"-"&amp;F731&amp;"-"&amp;G731&amp;"-"&amp;H731</f>
        <v>E-2-e-1-4.5</v>
      </c>
      <c r="P731" t="str">
        <f>I731&amp;"-"&amp;J731&amp;"-"&amp;K731&amp;"-"&amp;L731&amp;"-"&amp;M731</f>
        <v>X-1-e-1-3.5</v>
      </c>
      <c r="Q731">
        <f>A731+R731</f>
        <v>20226.773249999998</v>
      </c>
      <c r="R731">
        <f>_xlfn.IFNA(VLOOKUP(P731,PGOPHER!A$2:G$181,7,FALSE),_xlfn.IFNA(VLOOKUP(P731,en!A$2:I$768,7,FALSE),-10000))</f>
        <v>1215.60113</v>
      </c>
      <c r="S731">
        <f>IF(O731=O730,Q730+S730,Q731)</f>
        <v>40453.519071999996</v>
      </c>
      <c r="T731">
        <f>IF(O731=O730,T730+1,1)</f>
        <v>2</v>
      </c>
      <c r="U731">
        <f>IF(O731=O732,"",S731/T731)</f>
        <v>20226.759535999998</v>
      </c>
      <c r="V731" t="str">
        <f>IF(U731="","",IF(ABS(Q731-U731)&gt;V$1,"error",""))</f>
        <v/>
      </c>
    </row>
    <row r="732" spans="1:22" x14ac:dyDescent="0.55000000000000004">
      <c r="A732">
        <v>18989.25245</v>
      </c>
      <c r="B732" s="1">
        <v>5.0000000000000001E-3</v>
      </c>
      <c r="C732" s="1">
        <v>5.0000000000000001E-3</v>
      </c>
      <c r="D732" s="2" t="s">
        <v>680</v>
      </c>
      <c r="E732">
        <v>2</v>
      </c>
      <c r="F732" s="2" t="s">
        <v>1</v>
      </c>
      <c r="G732">
        <v>0</v>
      </c>
      <c r="H732">
        <v>4.5</v>
      </c>
      <c r="I732" s="2" t="s">
        <v>0</v>
      </c>
      <c r="J732">
        <v>2</v>
      </c>
      <c r="K732" s="2" t="s">
        <v>1</v>
      </c>
      <c r="L732">
        <v>0</v>
      </c>
      <c r="M732">
        <v>3.5</v>
      </c>
      <c r="N732" s="2" t="s">
        <v>727</v>
      </c>
      <c r="O732" t="str">
        <f>D732&amp;"-"&amp;E732&amp;"-"&amp;F732&amp;"-"&amp;G732&amp;"-"&amp;H732</f>
        <v>E-2-f-0-4.5</v>
      </c>
      <c r="P732" t="str">
        <f>I732&amp;"-"&amp;J732&amp;"-"&amp;K732&amp;"-"&amp;L732&amp;"-"&amp;M732</f>
        <v>X-2-f-0-3.5</v>
      </c>
      <c r="Q732">
        <f>A732+R732</f>
        <v>19061.557005999999</v>
      </c>
      <c r="R732">
        <f>_xlfn.IFNA(VLOOKUP(P732,PGOPHER!A$2:G$181,7,FALSE),_xlfn.IFNA(VLOOKUP(P732,en!A$2:I$768,7,FALSE),-10000))</f>
        <v>72.304556000000005</v>
      </c>
      <c r="S732">
        <f>IF(O732=O731,Q731+S731,Q732)</f>
        <v>19061.557005999999</v>
      </c>
      <c r="T732">
        <f>IF(O732=O731,T731+1,1)</f>
        <v>1</v>
      </c>
      <c r="U732" t="str">
        <f>IF(O732=O733,"",S732/T732)</f>
        <v/>
      </c>
      <c r="V732" t="str">
        <f>IF(U732="","",IF(ABS(Q732-U732)&gt;V$1,"error",""))</f>
        <v/>
      </c>
    </row>
    <row r="733" spans="1:22" x14ac:dyDescent="0.55000000000000004">
      <c r="A733">
        <v>18909.622469999998</v>
      </c>
      <c r="B733" s="1">
        <v>5.0000000000000001E-3</v>
      </c>
      <c r="C733" s="1">
        <v>5.0000000000000001E-3</v>
      </c>
      <c r="D733" s="2" t="s">
        <v>680</v>
      </c>
      <c r="E733">
        <v>2</v>
      </c>
      <c r="F733" s="2" t="s">
        <v>1</v>
      </c>
      <c r="G733">
        <v>0</v>
      </c>
      <c r="H733">
        <v>4.5</v>
      </c>
      <c r="I733" s="2" t="s">
        <v>0</v>
      </c>
      <c r="J733">
        <v>2</v>
      </c>
      <c r="K733" s="2" t="s">
        <v>1</v>
      </c>
      <c r="L733">
        <v>0</v>
      </c>
      <c r="M733">
        <v>5.5</v>
      </c>
      <c r="N733" s="2" t="s">
        <v>728</v>
      </c>
      <c r="O733" t="str">
        <f>D733&amp;"-"&amp;E733&amp;"-"&amp;F733&amp;"-"&amp;G733&amp;"-"&amp;H733</f>
        <v>E-2-f-0-4.5</v>
      </c>
      <c r="P733" t="str">
        <f>I733&amp;"-"&amp;J733&amp;"-"&amp;K733&amp;"-"&amp;L733&amp;"-"&amp;M733</f>
        <v>X-2-f-0-5.5</v>
      </c>
      <c r="Q733">
        <f>A733+R733</f>
        <v>19061.556034999998</v>
      </c>
      <c r="R733">
        <f>_xlfn.IFNA(VLOOKUP(P733,PGOPHER!A$2:G$181,7,FALSE),_xlfn.IFNA(VLOOKUP(P733,en!A$2:I$768,7,FALSE),-10000))</f>
        <v>151.93356499999999</v>
      </c>
      <c r="S733">
        <f>IF(O733=O732,Q732+S732,Q733)</f>
        <v>38123.114011999998</v>
      </c>
      <c r="T733">
        <f>IF(O733=O732,T732+1,1)</f>
        <v>2</v>
      </c>
      <c r="U733" t="str">
        <f>IF(O733=O734,"",S733/T733)</f>
        <v/>
      </c>
      <c r="V733" t="str">
        <f>IF(U733="","",IF(ABS(Q733-U733)&gt;V$1,"error",""))</f>
        <v/>
      </c>
    </row>
    <row r="734" spans="1:22" x14ac:dyDescent="0.55000000000000004">
      <c r="A734">
        <v>18988.696209999998</v>
      </c>
      <c r="B734" s="1">
        <v>5.0000000000000001E-3</v>
      </c>
      <c r="C734" s="1">
        <v>5.0000000000000001E-3</v>
      </c>
      <c r="D734" s="2" t="s">
        <v>680</v>
      </c>
      <c r="E734">
        <v>2</v>
      </c>
      <c r="F734" s="2" t="s">
        <v>1</v>
      </c>
      <c r="G734">
        <v>0</v>
      </c>
      <c r="H734">
        <v>4.5</v>
      </c>
      <c r="I734" s="2" t="s">
        <v>0</v>
      </c>
      <c r="J734">
        <v>1</v>
      </c>
      <c r="K734" s="2" t="s">
        <v>2</v>
      </c>
      <c r="L734">
        <v>0</v>
      </c>
      <c r="M734">
        <v>4.5</v>
      </c>
      <c r="N734" s="2" t="s">
        <v>729</v>
      </c>
      <c r="O734" t="str">
        <f>D734&amp;"-"&amp;E734&amp;"-"&amp;F734&amp;"-"&amp;G734&amp;"-"&amp;H734</f>
        <v>E-2-f-0-4.5</v>
      </c>
      <c r="P734" t="str">
        <f>I734&amp;"-"&amp;J734&amp;"-"&amp;K734&amp;"-"&amp;L734&amp;"-"&amp;M734</f>
        <v>X-1-e-0-4.5</v>
      </c>
      <c r="Q734">
        <f>A734+R734</f>
        <v>19061.557713999999</v>
      </c>
      <c r="R734">
        <f>_xlfn.IFNA(VLOOKUP(P734,PGOPHER!A$2:G$181,7,FALSE),_xlfn.IFNA(VLOOKUP(P734,en!A$2:I$768,7,FALSE),-10000))</f>
        <v>72.861503999999996</v>
      </c>
      <c r="S734">
        <f>IF(O734=O733,Q733+S733,Q734)</f>
        <v>57184.670046999992</v>
      </c>
      <c r="T734">
        <f>IF(O734=O733,T733+1,1)</f>
        <v>3</v>
      </c>
      <c r="U734">
        <f>IF(O734=O735,"",S734/T734)</f>
        <v>19061.556682333332</v>
      </c>
      <c r="V734" t="str">
        <f>IF(U734="","",IF(ABS(Q734-U734)&gt;V$1,"error",""))</f>
        <v/>
      </c>
    </row>
    <row r="735" spans="1:22" x14ac:dyDescent="0.55000000000000004">
      <c r="A735">
        <v>18982.786499999998</v>
      </c>
      <c r="B735" s="1">
        <v>5.64E-3</v>
      </c>
      <c r="C735" s="1">
        <v>5.64E-3</v>
      </c>
      <c r="D735" s="2" t="s">
        <v>680</v>
      </c>
      <c r="E735">
        <v>2</v>
      </c>
      <c r="F735" s="2" t="s">
        <v>1</v>
      </c>
      <c r="G735">
        <v>1</v>
      </c>
      <c r="H735">
        <v>4.5</v>
      </c>
      <c r="I735" s="2" t="s">
        <v>0</v>
      </c>
      <c r="J735">
        <v>1</v>
      </c>
      <c r="K735" s="2" t="s">
        <v>2</v>
      </c>
      <c r="L735">
        <v>1</v>
      </c>
      <c r="M735">
        <v>4.5</v>
      </c>
      <c r="N735" s="2" t="s">
        <v>984</v>
      </c>
      <c r="O735" t="str">
        <f>D735&amp;"-"&amp;E735&amp;"-"&amp;F735&amp;"-"&amp;G735&amp;"-"&amp;H735</f>
        <v>E-2-f-1-4.5</v>
      </c>
      <c r="P735" t="str">
        <f>I735&amp;"-"&amp;J735&amp;"-"&amp;K735&amp;"-"&amp;L735&amp;"-"&amp;M735</f>
        <v>X-1-e-1-4.5</v>
      </c>
      <c r="Q735">
        <f>A735+R735</f>
        <v>20226.838034999997</v>
      </c>
      <c r="R735">
        <f>_xlfn.IFNA(VLOOKUP(P735,PGOPHER!A$2:G$181,7,FALSE),_xlfn.IFNA(VLOOKUP(P735,en!A$2:I$768,7,FALSE),-10000))</f>
        <v>1244.0515350000001</v>
      </c>
      <c r="S735">
        <f>IF(O735=O734,Q734+S734,Q735)</f>
        <v>20226.838034999997</v>
      </c>
      <c r="T735">
        <f>IF(O735=O734,T734+1,1)</f>
        <v>1</v>
      </c>
      <c r="U735" t="str">
        <f>IF(O735=O736,"",S735/T735)</f>
        <v/>
      </c>
      <c r="V735" t="str">
        <f>IF(U735="","",IF(ABS(Q735-U735)&gt;V$1,"error",""))</f>
        <v/>
      </c>
    </row>
    <row r="736" spans="1:22" x14ac:dyDescent="0.55000000000000004">
      <c r="A736">
        <v>18983.315289999999</v>
      </c>
      <c r="B736" s="1">
        <v>5.0000000000000001E-3</v>
      </c>
      <c r="C736" s="1">
        <v>5.0000000000000001E-3</v>
      </c>
      <c r="D736" s="2" t="s">
        <v>680</v>
      </c>
      <c r="E736">
        <v>2</v>
      </c>
      <c r="F736" s="2" t="s">
        <v>1</v>
      </c>
      <c r="G736">
        <v>1</v>
      </c>
      <c r="H736">
        <v>4.5</v>
      </c>
      <c r="I736" s="2" t="s">
        <v>0</v>
      </c>
      <c r="J736">
        <v>2</v>
      </c>
      <c r="K736" s="2" t="s">
        <v>1</v>
      </c>
      <c r="L736">
        <v>1</v>
      </c>
      <c r="M736">
        <v>3.5</v>
      </c>
      <c r="N736" s="2" t="s">
        <v>985</v>
      </c>
      <c r="O736" t="str">
        <f>D736&amp;"-"&amp;E736&amp;"-"&amp;F736&amp;"-"&amp;G736&amp;"-"&amp;H736</f>
        <v>E-2-f-1-4.5</v>
      </c>
      <c r="P736" t="str">
        <f>I736&amp;"-"&amp;J736&amp;"-"&amp;K736&amp;"-"&amp;L736&amp;"-"&amp;M736</f>
        <v>X-2-f-1-3.5</v>
      </c>
      <c r="Q736">
        <f>A736+R736</f>
        <v>20226.828636999999</v>
      </c>
      <c r="R736">
        <f>_xlfn.IFNA(VLOOKUP(P736,PGOPHER!A$2:G$181,7,FALSE),_xlfn.IFNA(VLOOKUP(P736,en!A$2:I$768,7,FALSE),-10000))</f>
        <v>1243.5133470000001</v>
      </c>
      <c r="S736">
        <f>IF(O736=O735,Q735+S735,Q736)</f>
        <v>40453.676069999994</v>
      </c>
      <c r="T736">
        <f>IF(O736=O735,T735+1,1)</f>
        <v>2</v>
      </c>
      <c r="U736" t="str">
        <f>IF(O736=O737,"",S736/T736)</f>
        <v/>
      </c>
      <c r="V736" t="str">
        <f>IF(U736="","",IF(ABS(Q736-U736)&gt;V$1,"error",""))</f>
        <v/>
      </c>
    </row>
    <row r="737" spans="1:22" x14ac:dyDescent="0.55000000000000004">
      <c r="A737">
        <v>18905.4516</v>
      </c>
      <c r="B737" s="1">
        <v>5.0000000000000001E-3</v>
      </c>
      <c r="C737" s="1">
        <v>5.0000000000000001E-3</v>
      </c>
      <c r="D737" s="2" t="s">
        <v>680</v>
      </c>
      <c r="E737">
        <v>2</v>
      </c>
      <c r="F737" s="2" t="s">
        <v>1</v>
      </c>
      <c r="G737">
        <v>1</v>
      </c>
      <c r="H737">
        <v>4.5</v>
      </c>
      <c r="I737" s="2" t="s">
        <v>0</v>
      </c>
      <c r="J737">
        <v>2</v>
      </c>
      <c r="K737" s="2" t="s">
        <v>1</v>
      </c>
      <c r="L737">
        <v>1</v>
      </c>
      <c r="M737">
        <v>5.5</v>
      </c>
      <c r="N737" s="2" t="s">
        <v>986</v>
      </c>
      <c r="O737" t="str">
        <f>D737&amp;"-"&amp;E737&amp;"-"&amp;F737&amp;"-"&amp;G737&amp;"-"&amp;H737</f>
        <v>E-2-f-1-4.5</v>
      </c>
      <c r="P737" t="str">
        <f>I737&amp;"-"&amp;J737&amp;"-"&amp;K737&amp;"-"&amp;L737&amp;"-"&amp;M737</f>
        <v>X-2-f-1-5.5</v>
      </c>
      <c r="Q737">
        <f>A737+R737</f>
        <v>20226.832719000002</v>
      </c>
      <c r="R737">
        <f>_xlfn.IFNA(VLOOKUP(P737,PGOPHER!A$2:G$181,7,FALSE),_xlfn.IFNA(VLOOKUP(P737,en!A$2:I$768,7,FALSE),-10000))</f>
        <v>1321.3811189999999</v>
      </c>
      <c r="S737">
        <f>IF(O737=O736,Q736+S736,Q737)</f>
        <v>60680.504706999993</v>
      </c>
      <c r="T737">
        <f>IF(O737=O736,T736+1,1)</f>
        <v>3</v>
      </c>
      <c r="U737">
        <f>IF(O737=O738,"",S737/T737)</f>
        <v>20226.834902333332</v>
      </c>
      <c r="V737" t="str">
        <f>IF(U737="","",IF(ABS(Q737-U737)&gt;V$1,"error",""))</f>
        <v/>
      </c>
    </row>
    <row r="738" spans="1:22" x14ac:dyDescent="0.55000000000000004">
      <c r="A738">
        <v>18917.46572</v>
      </c>
      <c r="B738" s="1">
        <v>1.4999999999999999E-2</v>
      </c>
      <c r="C738" s="1">
        <v>1.4999999999999999E-2</v>
      </c>
      <c r="D738" s="2" t="s">
        <v>680</v>
      </c>
      <c r="E738">
        <v>1</v>
      </c>
      <c r="F738" s="2" t="s">
        <v>2</v>
      </c>
      <c r="G738">
        <v>0</v>
      </c>
      <c r="H738">
        <v>5.5</v>
      </c>
      <c r="I738" s="2" t="s">
        <v>0</v>
      </c>
      <c r="J738">
        <v>1</v>
      </c>
      <c r="K738" s="2" t="s">
        <v>2</v>
      </c>
      <c r="L738">
        <v>0</v>
      </c>
      <c r="M738">
        <v>4.5</v>
      </c>
      <c r="N738" s="2" t="s">
        <v>730</v>
      </c>
      <c r="O738" t="str">
        <f>D738&amp;"-"&amp;E738&amp;"-"&amp;F738&amp;"-"&amp;G738&amp;"-"&amp;H738</f>
        <v>E-1-e-0-5.5</v>
      </c>
      <c r="P738" t="str">
        <f>I738&amp;"-"&amp;J738&amp;"-"&amp;K738&amp;"-"&amp;L738&amp;"-"&amp;M738</f>
        <v>X-1-e-0-4.5</v>
      </c>
      <c r="Q738">
        <f>A738+R738</f>
        <v>18990.327224000001</v>
      </c>
      <c r="R738">
        <f>_xlfn.IFNA(VLOOKUP(P738,PGOPHER!A$2:G$181,7,FALSE),_xlfn.IFNA(VLOOKUP(P738,en!A$2:I$768,7,FALSE),-10000))</f>
        <v>72.861503999999996</v>
      </c>
      <c r="S738">
        <f>IF(O738=O737,Q737+S737,Q738)</f>
        <v>18990.327224000001</v>
      </c>
      <c r="T738">
        <f>IF(O738=O737,T737+1,1)</f>
        <v>1</v>
      </c>
      <c r="U738" t="str">
        <f>IF(O738=O739,"",S738/T738)</f>
        <v/>
      </c>
      <c r="V738" t="str">
        <f>IF(U738="","",IF(ABS(Q738-U738)&gt;V$1,"error",""))</f>
        <v/>
      </c>
    </row>
    <row r="739" spans="1:22" x14ac:dyDescent="0.55000000000000004">
      <c r="A739">
        <v>18837.59391</v>
      </c>
      <c r="B739" s="1">
        <v>5.5E-2</v>
      </c>
      <c r="C739" s="1">
        <v>5.5E-2</v>
      </c>
      <c r="D739" s="2" t="s">
        <v>680</v>
      </c>
      <c r="E739">
        <v>1</v>
      </c>
      <c r="F739" s="2" t="s">
        <v>2</v>
      </c>
      <c r="G739">
        <v>0</v>
      </c>
      <c r="H739">
        <v>5.5</v>
      </c>
      <c r="I739" s="2" t="s">
        <v>0</v>
      </c>
      <c r="J739">
        <v>1</v>
      </c>
      <c r="K739" s="2" t="s">
        <v>2</v>
      </c>
      <c r="L739">
        <v>0</v>
      </c>
      <c r="M739">
        <v>6.5</v>
      </c>
      <c r="N739" s="2" t="s">
        <v>731</v>
      </c>
      <c r="O739" t="str">
        <f>D739&amp;"-"&amp;E739&amp;"-"&amp;F739&amp;"-"&amp;G739&amp;"-"&amp;H739</f>
        <v>E-1-e-0-5.5</v>
      </c>
      <c r="P739" t="str">
        <f>I739&amp;"-"&amp;J739&amp;"-"&amp;K739&amp;"-"&amp;L739&amp;"-"&amp;M739</f>
        <v>X-1-e-0-6.5</v>
      </c>
      <c r="Q739">
        <f>A739+R739</f>
        <v>18990.329536999998</v>
      </c>
      <c r="R739">
        <f>_xlfn.IFNA(VLOOKUP(P739,PGOPHER!A$2:G$181,7,FALSE),_xlfn.IFNA(VLOOKUP(P739,en!A$2:I$768,7,FALSE),-10000))</f>
        <v>152.73562699999999</v>
      </c>
      <c r="S739">
        <f>IF(O739=O738,Q738+S738,Q739)</f>
        <v>37980.654448000001</v>
      </c>
      <c r="T739">
        <f>IF(O739=O738,T738+1,1)</f>
        <v>2</v>
      </c>
      <c r="U739" t="str">
        <f>IF(O739=O740,"",S739/T739)</f>
        <v/>
      </c>
      <c r="V739" t="str">
        <f>IF(U739="","",IF(ABS(Q739-U739)&gt;V$1,"error",""))</f>
        <v/>
      </c>
    </row>
    <row r="740" spans="1:22" x14ac:dyDescent="0.55000000000000004">
      <c r="A740">
        <v>18838.392510000001</v>
      </c>
      <c r="B740" s="1">
        <v>2.5000000000000001E-2</v>
      </c>
      <c r="C740" s="1">
        <v>2.5000000000000001E-2</v>
      </c>
      <c r="D740" s="2" t="s">
        <v>680</v>
      </c>
      <c r="E740">
        <v>1</v>
      </c>
      <c r="F740" s="2" t="s">
        <v>2</v>
      </c>
      <c r="G740">
        <v>0</v>
      </c>
      <c r="H740">
        <v>5.5</v>
      </c>
      <c r="I740" s="2" t="s">
        <v>0</v>
      </c>
      <c r="J740">
        <v>2</v>
      </c>
      <c r="K740" s="2" t="s">
        <v>1</v>
      </c>
      <c r="L740">
        <v>0</v>
      </c>
      <c r="M740">
        <v>5.5</v>
      </c>
      <c r="N740" s="2" t="s">
        <v>732</v>
      </c>
      <c r="O740" t="str">
        <f>D740&amp;"-"&amp;E740&amp;"-"&amp;F740&amp;"-"&amp;G740&amp;"-"&amp;H740</f>
        <v>E-1-e-0-5.5</v>
      </c>
      <c r="P740" t="str">
        <f>I740&amp;"-"&amp;J740&amp;"-"&amp;K740&amp;"-"&amp;L740&amp;"-"&amp;M740</f>
        <v>X-2-f-0-5.5</v>
      </c>
      <c r="Q740">
        <f>A740+R740</f>
        <v>18990.326075000001</v>
      </c>
      <c r="R740">
        <f>_xlfn.IFNA(VLOOKUP(P740,PGOPHER!A$2:G$181,7,FALSE),_xlfn.IFNA(VLOOKUP(P740,en!A$2:I$768,7,FALSE),-10000))</f>
        <v>151.93356499999999</v>
      </c>
      <c r="S740">
        <f>IF(O740=O739,Q739+S739,Q740)</f>
        <v>56970.983984999999</v>
      </c>
      <c r="T740">
        <f>IF(O740=O739,T739+1,1)</f>
        <v>3</v>
      </c>
      <c r="U740">
        <f>IF(O740=O741,"",S740/T740)</f>
        <v>18990.327995</v>
      </c>
      <c r="V740" t="str">
        <f>IF(U740="","",IF(ABS(Q740-U740)&gt;V$1,"error",""))</f>
        <v/>
      </c>
    </row>
    <row r="741" spans="1:22" x14ac:dyDescent="0.55000000000000004">
      <c r="A741">
        <v>18829.246419999999</v>
      </c>
      <c r="B741" s="1">
        <v>5.0000000000000001E-3</v>
      </c>
      <c r="C741" s="1">
        <v>5.0000000000000001E-3</v>
      </c>
      <c r="D741" s="2" t="s">
        <v>680</v>
      </c>
      <c r="E741">
        <v>1</v>
      </c>
      <c r="F741" s="2" t="s">
        <v>2</v>
      </c>
      <c r="G741">
        <v>1</v>
      </c>
      <c r="H741">
        <v>5.5</v>
      </c>
      <c r="I741" s="2" t="s">
        <v>0</v>
      </c>
      <c r="J741">
        <v>1</v>
      </c>
      <c r="K741" s="2" t="s">
        <v>2</v>
      </c>
      <c r="L741">
        <v>1</v>
      </c>
      <c r="M741">
        <v>6.5</v>
      </c>
      <c r="N741" s="2" t="s">
        <v>987</v>
      </c>
      <c r="O741" t="str">
        <f>D741&amp;"-"&amp;E741&amp;"-"&amp;F741&amp;"-"&amp;G741&amp;"-"&amp;H741</f>
        <v>E-1-e-1-5.5</v>
      </c>
      <c r="P741" t="str">
        <f>I741&amp;"-"&amp;J741&amp;"-"&amp;K741&amp;"-"&amp;L741&amp;"-"&amp;M741</f>
        <v>X-1-e-1-6.5</v>
      </c>
      <c r="Q741">
        <f>A741+R741</f>
        <v>20151.402236999998</v>
      </c>
      <c r="R741">
        <f>_xlfn.IFNA(VLOOKUP(P741,PGOPHER!A$2:G$181,7,FALSE),_xlfn.IFNA(VLOOKUP(P741,en!A$2:I$768,7,FALSE),-10000))</f>
        <v>1322.1558170000001</v>
      </c>
      <c r="S741">
        <f>IF(O741=O740,Q740+S740,Q741)</f>
        <v>20151.402236999998</v>
      </c>
      <c r="T741">
        <f>IF(O741=O740,T740+1,1)</f>
        <v>1</v>
      </c>
      <c r="U741" t="str">
        <f>IF(O741=O742,"",S741/T741)</f>
        <v/>
      </c>
      <c r="V741" t="str">
        <f>IF(U741="","",IF(ABS(Q741-U741)&gt;V$1,"error",""))</f>
        <v/>
      </c>
    </row>
    <row r="742" spans="1:22" x14ac:dyDescent="0.55000000000000004">
      <c r="A742">
        <v>18907.352480000001</v>
      </c>
      <c r="B742" s="1">
        <v>5.0000000000000001E-3</v>
      </c>
      <c r="C742" s="1">
        <v>5.0000000000000001E-3</v>
      </c>
      <c r="D742" s="2" t="s">
        <v>680</v>
      </c>
      <c r="E742">
        <v>1</v>
      </c>
      <c r="F742" s="2" t="s">
        <v>2</v>
      </c>
      <c r="G742">
        <v>1</v>
      </c>
      <c r="H742">
        <v>5.5</v>
      </c>
      <c r="I742" s="2" t="s">
        <v>0</v>
      </c>
      <c r="J742">
        <v>1</v>
      </c>
      <c r="K742" s="2" t="s">
        <v>2</v>
      </c>
      <c r="L742">
        <v>1</v>
      </c>
      <c r="M742">
        <v>4.5</v>
      </c>
      <c r="N742" s="2" t="s">
        <v>988</v>
      </c>
      <c r="O742" t="str">
        <f>D742&amp;"-"&amp;E742&amp;"-"&amp;F742&amp;"-"&amp;G742&amp;"-"&amp;H742</f>
        <v>E-1-e-1-5.5</v>
      </c>
      <c r="P742" t="str">
        <f>I742&amp;"-"&amp;J742&amp;"-"&amp;K742&amp;"-"&amp;L742&amp;"-"&amp;M742</f>
        <v>X-1-e-1-4.5</v>
      </c>
      <c r="Q742">
        <f>A742+R742</f>
        <v>20151.404015</v>
      </c>
      <c r="R742">
        <f>_xlfn.IFNA(VLOOKUP(P742,PGOPHER!A$2:G$181,7,FALSE),_xlfn.IFNA(VLOOKUP(P742,en!A$2:I$768,7,FALSE),-10000))</f>
        <v>1244.0515350000001</v>
      </c>
      <c r="S742">
        <f>IF(O742=O741,Q741+S741,Q742)</f>
        <v>40302.804473999997</v>
      </c>
      <c r="T742">
        <f>IF(O742=O741,T741+1,1)</f>
        <v>2</v>
      </c>
      <c r="U742" t="str">
        <f>IF(O742=O743,"",S742/T742)</f>
        <v/>
      </c>
      <c r="V742" t="str">
        <f>IF(U742="","",IF(ABS(Q742-U742)&gt;V$1,"error",""))</f>
        <v/>
      </c>
    </row>
    <row r="743" spans="1:22" x14ac:dyDescent="0.55000000000000004">
      <c r="A743">
        <v>18830.02275</v>
      </c>
      <c r="B743" s="1">
        <v>5.0000000000000001E-3</v>
      </c>
      <c r="C743" s="1">
        <v>5.0000000000000001E-3</v>
      </c>
      <c r="D743" s="2" t="s">
        <v>680</v>
      </c>
      <c r="E743">
        <v>1</v>
      </c>
      <c r="F743" s="2" t="s">
        <v>2</v>
      </c>
      <c r="G743">
        <v>1</v>
      </c>
      <c r="H743">
        <v>5.5</v>
      </c>
      <c r="I743" s="2" t="s">
        <v>0</v>
      </c>
      <c r="J743">
        <v>2</v>
      </c>
      <c r="K743" s="2" t="s">
        <v>1</v>
      </c>
      <c r="L743">
        <v>1</v>
      </c>
      <c r="M743">
        <v>5.5</v>
      </c>
      <c r="N743" s="2" t="s">
        <v>989</v>
      </c>
      <c r="O743" t="str">
        <f>D743&amp;"-"&amp;E743&amp;"-"&amp;F743&amp;"-"&amp;G743&amp;"-"&amp;H743</f>
        <v>E-1-e-1-5.5</v>
      </c>
      <c r="P743" t="str">
        <f>I743&amp;"-"&amp;J743&amp;"-"&amp;K743&amp;"-"&amp;L743&amp;"-"&amp;M743</f>
        <v>X-2-f-1-5.5</v>
      </c>
      <c r="Q743">
        <f>A743+R743</f>
        <v>20151.403869000002</v>
      </c>
      <c r="R743">
        <f>_xlfn.IFNA(VLOOKUP(P743,PGOPHER!A$2:G$181,7,FALSE),_xlfn.IFNA(VLOOKUP(P743,en!A$2:I$768,7,FALSE),-10000))</f>
        <v>1321.3811189999999</v>
      </c>
      <c r="S743">
        <f>IF(O743=O742,Q742+S742,Q743)</f>
        <v>60454.208488999997</v>
      </c>
      <c r="T743">
        <f>IF(O743=O742,T742+1,1)</f>
        <v>3</v>
      </c>
      <c r="U743">
        <f>IF(O743=O744,"",S743/T743)</f>
        <v>20151.402829666666</v>
      </c>
      <c r="V743" t="str">
        <f>IF(U743="","",IF(ABS(Q743-U743)&gt;V$1,"error",""))</f>
        <v/>
      </c>
    </row>
    <row r="744" spans="1:22" x14ac:dyDescent="0.55000000000000004">
      <c r="A744">
        <v>18788.155409999999</v>
      </c>
      <c r="B744" s="1">
        <v>5.5E-2</v>
      </c>
      <c r="C744" s="1">
        <v>5.5E-2</v>
      </c>
      <c r="D744" s="2" t="s">
        <v>680</v>
      </c>
      <c r="E744">
        <v>1</v>
      </c>
      <c r="F744" s="2" t="s">
        <v>1</v>
      </c>
      <c r="G744">
        <v>0</v>
      </c>
      <c r="H744">
        <v>5.5</v>
      </c>
      <c r="I744" s="2" t="s">
        <v>0</v>
      </c>
      <c r="J744">
        <v>2</v>
      </c>
      <c r="K744" s="2" t="s">
        <v>1</v>
      </c>
      <c r="L744">
        <v>0</v>
      </c>
      <c r="M744">
        <v>6.5</v>
      </c>
      <c r="N744" s="2" t="s">
        <v>733</v>
      </c>
      <c r="O744" t="str">
        <f>D744&amp;"-"&amp;E744&amp;"-"&amp;F744&amp;"-"&amp;G744&amp;"-"&amp;H744</f>
        <v>E-1-f-0-5.5</v>
      </c>
      <c r="P744" t="str">
        <f>I744&amp;"-"&amp;J744&amp;"-"&amp;K744&amp;"-"&amp;L744&amp;"-"&amp;M744</f>
        <v>X-2-f-0-6.5</v>
      </c>
      <c r="Q744">
        <f>A744+R744</f>
        <v>18990.711020999999</v>
      </c>
      <c r="R744">
        <f>_xlfn.IFNA(VLOOKUP(P744,PGOPHER!A$2:G$181,7,FALSE),_xlfn.IFNA(VLOOKUP(P744,en!A$2:I$768,7,FALSE),-10000))</f>
        <v>202.555611</v>
      </c>
      <c r="S744">
        <f>IF(O744=O743,Q743+S743,Q744)</f>
        <v>18990.711020999999</v>
      </c>
      <c r="T744">
        <f>IF(O744=O743,T743+1,1)</f>
        <v>1</v>
      </c>
      <c r="U744" t="str">
        <f>IF(O744=O745,"",S744/T744)</f>
        <v/>
      </c>
      <c r="V744" t="str">
        <f>IF(U744="","",IF(ABS(Q744-U744)&gt;V$1,"error",""))</f>
        <v/>
      </c>
    </row>
    <row r="745" spans="1:22" x14ac:dyDescent="0.55000000000000004">
      <c r="A745">
        <v>18882.199240000002</v>
      </c>
      <c r="B745" s="1">
        <v>5.5E-2</v>
      </c>
      <c r="C745" s="1">
        <v>5.5E-2</v>
      </c>
      <c r="D745" s="2" t="s">
        <v>680</v>
      </c>
      <c r="E745">
        <v>1</v>
      </c>
      <c r="F745" s="2" t="s">
        <v>1</v>
      </c>
      <c r="G745">
        <v>0</v>
      </c>
      <c r="H745">
        <v>5.5</v>
      </c>
      <c r="I745" s="2" t="s">
        <v>0</v>
      </c>
      <c r="J745">
        <v>2</v>
      </c>
      <c r="K745" s="2" t="s">
        <v>1</v>
      </c>
      <c r="L745">
        <v>0</v>
      </c>
      <c r="M745">
        <v>4.5</v>
      </c>
      <c r="N745" s="2" t="s">
        <v>734</v>
      </c>
      <c r="O745" t="str">
        <f>D745&amp;"-"&amp;E745&amp;"-"&amp;F745&amp;"-"&amp;G745&amp;"-"&amp;H745</f>
        <v>E-1-f-0-5.5</v>
      </c>
      <c r="P745" t="str">
        <f>I745&amp;"-"&amp;J745&amp;"-"&amp;K745&amp;"-"&amp;L745&amp;"-"&amp;M745</f>
        <v>X-2-f-0-4.5</v>
      </c>
      <c r="Q745">
        <f>A745+R745</f>
        <v>18990.710322000003</v>
      </c>
      <c r="R745">
        <f>_xlfn.IFNA(VLOOKUP(P745,PGOPHER!A$2:G$181,7,FALSE),_xlfn.IFNA(VLOOKUP(P745,en!A$2:I$768,7,FALSE),-10000))</f>
        <v>108.511082</v>
      </c>
      <c r="S745">
        <f>IF(O745=O744,Q744+S744,Q745)</f>
        <v>37981.422041999998</v>
      </c>
      <c r="T745">
        <f>IF(O745=O744,T744+1,1)</f>
        <v>2</v>
      </c>
      <c r="U745" t="str">
        <f>IF(O745=O746,"",S745/T745)</f>
        <v/>
      </c>
      <c r="V745" t="str">
        <f>IF(U745="","",IF(ABS(Q745-U745)&gt;V$1,"error",""))</f>
        <v/>
      </c>
    </row>
    <row r="746" spans="1:22" x14ac:dyDescent="0.55000000000000004">
      <c r="A746">
        <v>18881.524280000001</v>
      </c>
      <c r="B746" s="1">
        <v>5.5E-2</v>
      </c>
      <c r="C746" s="1">
        <v>5.5E-2</v>
      </c>
      <c r="D746" s="2" t="s">
        <v>680</v>
      </c>
      <c r="E746">
        <v>1</v>
      </c>
      <c r="F746" s="2" t="s">
        <v>1</v>
      </c>
      <c r="G746">
        <v>0</v>
      </c>
      <c r="H746">
        <v>5.5</v>
      </c>
      <c r="I746" s="2" t="s">
        <v>0</v>
      </c>
      <c r="J746">
        <v>1</v>
      </c>
      <c r="K746" s="2" t="s">
        <v>2</v>
      </c>
      <c r="L746">
        <v>0</v>
      </c>
      <c r="M746">
        <v>5.5</v>
      </c>
      <c r="N746" s="2" t="s">
        <v>735</v>
      </c>
      <c r="O746" t="str">
        <f>D746&amp;"-"&amp;E746&amp;"-"&amp;F746&amp;"-"&amp;G746&amp;"-"&amp;H746</f>
        <v>E-1-f-0-5.5</v>
      </c>
      <c r="P746" t="str">
        <f>I746&amp;"-"&amp;J746&amp;"-"&amp;K746&amp;"-"&amp;L746&amp;"-"&amp;M746</f>
        <v>X-1-e-0-5.5</v>
      </c>
      <c r="Q746">
        <f>A746+R746</f>
        <v>18990.714455000001</v>
      </c>
      <c r="R746">
        <f>_xlfn.IFNA(VLOOKUP(P746,PGOPHER!A$2:G$181,7,FALSE),_xlfn.IFNA(VLOOKUP(P746,en!A$2:I$768,7,FALSE),-10000))</f>
        <v>109.190175</v>
      </c>
      <c r="S746">
        <f>IF(O746=O745,Q745+S745,Q746)</f>
        <v>56972.132364000005</v>
      </c>
      <c r="T746">
        <f>IF(O746=O745,T745+1,1)</f>
        <v>3</v>
      </c>
      <c r="U746">
        <f>IF(O746=O747,"",S746/T746)</f>
        <v>18990.710788</v>
      </c>
      <c r="V746" t="str">
        <f>IF(U746="","",IF(ABS(Q746-U746)&gt;V$1,"error",""))</f>
        <v/>
      </c>
    </row>
    <row r="747" spans="1:22" x14ac:dyDescent="0.55000000000000004">
      <c r="A747">
        <v>18872.803390000001</v>
      </c>
      <c r="B747" s="1">
        <v>5.0000000000000001E-3</v>
      </c>
      <c r="C747" s="1">
        <v>5.0000000000000001E-3</v>
      </c>
      <c r="D747" s="2" t="s">
        <v>680</v>
      </c>
      <c r="E747">
        <v>1</v>
      </c>
      <c r="F747" s="2" t="s">
        <v>1</v>
      </c>
      <c r="G747">
        <v>1</v>
      </c>
      <c r="H747">
        <v>5.5</v>
      </c>
      <c r="I747" s="2" t="s">
        <v>0</v>
      </c>
      <c r="J747">
        <v>2</v>
      </c>
      <c r="K747" s="2" t="s">
        <v>1</v>
      </c>
      <c r="L747">
        <v>1</v>
      </c>
      <c r="M747">
        <v>4.5</v>
      </c>
      <c r="N747" s="2" t="s">
        <v>990</v>
      </c>
      <c r="O747" t="str">
        <f>D747&amp;"-"&amp;E747&amp;"-"&amp;F747&amp;"-"&amp;G747&amp;"-"&amp;H747</f>
        <v>E-1-f-1-5.5</v>
      </c>
      <c r="P747" t="str">
        <f>I747&amp;"-"&amp;J747&amp;"-"&amp;K747&amp;"-"&amp;L747&amp;"-"&amp;M747</f>
        <v>X-2-f-1-4.5</v>
      </c>
      <c r="Q747">
        <f>A747+R747</f>
        <v>20151.720856</v>
      </c>
      <c r="R747">
        <f>_xlfn.IFNA(VLOOKUP(P747,PGOPHER!A$2:G$181,7,FALSE),_xlfn.IFNA(VLOOKUP(P747,en!A$2:I$768,7,FALSE),-10000))</f>
        <v>1278.9174660000001</v>
      </c>
      <c r="S747">
        <f>IF(O747=O746,Q746+S746,Q747)</f>
        <v>20151.720856</v>
      </c>
      <c r="T747">
        <f>IF(O747=O746,T746+1,1)</f>
        <v>1</v>
      </c>
      <c r="U747" t="str">
        <f>IF(O747=O748,"",S747/T747)</f>
        <v/>
      </c>
      <c r="V747" t="str">
        <f>IF(U747="","",IF(ABS(Q747-U747)&gt;V$1,"error",""))</f>
        <v/>
      </c>
    </row>
    <row r="748" spans="1:22" x14ac:dyDescent="0.55000000000000004">
      <c r="A748">
        <v>18780.831819999999</v>
      </c>
      <c r="B748" s="1">
        <v>8.8800000000000007E-3</v>
      </c>
      <c r="C748" s="1">
        <v>8.8800000000000007E-3</v>
      </c>
      <c r="D748" s="2" t="s">
        <v>680</v>
      </c>
      <c r="E748">
        <v>1</v>
      </c>
      <c r="F748" s="2" t="s">
        <v>1</v>
      </c>
      <c r="G748">
        <v>1</v>
      </c>
      <c r="H748">
        <v>5.5</v>
      </c>
      <c r="I748" s="2" t="s">
        <v>0</v>
      </c>
      <c r="J748">
        <v>2</v>
      </c>
      <c r="K748" s="2" t="s">
        <v>1</v>
      </c>
      <c r="L748">
        <v>1</v>
      </c>
      <c r="M748">
        <v>6.5</v>
      </c>
      <c r="N748" s="2" t="s">
        <v>991</v>
      </c>
      <c r="O748" t="str">
        <f>D748&amp;"-"&amp;E748&amp;"-"&amp;F748&amp;"-"&amp;G748&amp;"-"&amp;H748</f>
        <v>E-1-f-1-5.5</v>
      </c>
      <c r="P748" t="str">
        <f>I748&amp;"-"&amp;J748&amp;"-"&amp;K748&amp;"-"&amp;L748&amp;"-"&amp;M748</f>
        <v>X-2-f-1-6.5</v>
      </c>
      <c r="Q748">
        <f>A748+R748</f>
        <v>20151.712340999999</v>
      </c>
      <c r="R748">
        <f>_xlfn.IFNA(VLOOKUP(P748,PGOPHER!A$2:G$181,7,FALSE),_xlfn.IFNA(VLOOKUP(P748,en!A$2:I$768,7,FALSE),-10000))</f>
        <v>1370.880521</v>
      </c>
      <c r="S748">
        <f>IF(O748=O747,Q747+S747,Q748)</f>
        <v>40303.441712</v>
      </c>
      <c r="T748">
        <f>IF(O748=O747,T747+1,1)</f>
        <v>2</v>
      </c>
      <c r="U748" t="str">
        <f>IF(O748=O749,"",S748/T748)</f>
        <v/>
      </c>
      <c r="V748" t="str">
        <f>IF(U748="","",IF(ABS(Q748-U748)&gt;V$1,"error",""))</f>
        <v/>
      </c>
    </row>
    <row r="749" spans="1:22" x14ac:dyDescent="0.55000000000000004">
      <c r="A749">
        <v>18872.14848</v>
      </c>
      <c r="B749" s="1">
        <v>5.0000000000000001E-3</v>
      </c>
      <c r="C749" s="1">
        <v>5.0000000000000001E-3</v>
      </c>
      <c r="D749" s="2" t="s">
        <v>680</v>
      </c>
      <c r="E749">
        <v>1</v>
      </c>
      <c r="F749" s="2" t="s">
        <v>1</v>
      </c>
      <c r="G749">
        <v>1</v>
      </c>
      <c r="H749">
        <v>5.5</v>
      </c>
      <c r="I749" s="2" t="s">
        <v>0</v>
      </c>
      <c r="J749">
        <v>1</v>
      </c>
      <c r="K749" s="2" t="s">
        <v>2</v>
      </c>
      <c r="L749">
        <v>1</v>
      </c>
      <c r="M749">
        <v>5.5</v>
      </c>
      <c r="N749" s="2" t="s">
        <v>992</v>
      </c>
      <c r="O749" t="str">
        <f>D749&amp;"-"&amp;E749&amp;"-"&amp;F749&amp;"-"&amp;G749&amp;"-"&amp;H749</f>
        <v>E-1-f-1-5.5</v>
      </c>
      <c r="P749" t="str">
        <f>I749&amp;"-"&amp;J749&amp;"-"&amp;K749&amp;"-"&amp;L749&amp;"-"&amp;M749</f>
        <v>X-1-e-1-5.5</v>
      </c>
      <c r="Q749">
        <f>A749+R749</f>
        <v>20151.723044999999</v>
      </c>
      <c r="R749">
        <f>_xlfn.IFNA(VLOOKUP(P749,PGOPHER!A$2:G$181,7,FALSE),_xlfn.IFNA(VLOOKUP(P749,en!A$2:I$768,7,FALSE),-10000))</f>
        <v>1279.5745649999999</v>
      </c>
      <c r="S749">
        <f>IF(O749=O748,Q748+S748,Q749)</f>
        <v>60455.154052999998</v>
      </c>
      <c r="T749">
        <f>IF(O749=O748,T748+1,1)</f>
        <v>3</v>
      </c>
      <c r="U749">
        <f>IF(O749=O750,"",S749/T749)</f>
        <v>20151.718017666666</v>
      </c>
      <c r="V749" t="str">
        <f>IF(U749="","",IF(ABS(Q749-U749)&gt;V$1,"error",""))</f>
        <v/>
      </c>
    </row>
    <row r="750" spans="1:22" x14ac:dyDescent="0.55000000000000004">
      <c r="A750">
        <v>19031.33798</v>
      </c>
      <c r="B750" s="1">
        <v>5.0000000000000001E-3</v>
      </c>
      <c r="C750" s="1">
        <v>5.0000000000000001E-3</v>
      </c>
      <c r="D750" s="2" t="s">
        <v>680</v>
      </c>
      <c r="E750">
        <v>2</v>
      </c>
      <c r="F750" s="2" t="s">
        <v>2</v>
      </c>
      <c r="G750">
        <v>0</v>
      </c>
      <c r="H750">
        <v>5.5</v>
      </c>
      <c r="I750" s="2" t="s">
        <v>0</v>
      </c>
      <c r="J750">
        <v>1</v>
      </c>
      <c r="K750" s="2" t="s">
        <v>2</v>
      </c>
      <c r="L750">
        <v>0</v>
      </c>
      <c r="M750">
        <v>4.5</v>
      </c>
      <c r="N750" s="2" t="s">
        <v>736</v>
      </c>
      <c r="O750" t="str">
        <f>D750&amp;"-"&amp;E750&amp;"-"&amp;F750&amp;"-"&amp;G750&amp;"-"&amp;H750</f>
        <v>E-2-e-0-5.5</v>
      </c>
      <c r="P750" t="str">
        <f>I750&amp;"-"&amp;J750&amp;"-"&amp;K750&amp;"-"&amp;L750&amp;"-"&amp;M750</f>
        <v>X-1-e-0-4.5</v>
      </c>
      <c r="Q750">
        <f>A750+R750</f>
        <v>19104.199484000001</v>
      </c>
      <c r="R750">
        <f>_xlfn.IFNA(VLOOKUP(P750,PGOPHER!A$2:G$181,7,FALSE),_xlfn.IFNA(VLOOKUP(P750,en!A$2:I$768,7,FALSE),-10000))</f>
        <v>72.861503999999996</v>
      </c>
      <c r="S750">
        <f>IF(O750=O749,Q749+S749,Q750)</f>
        <v>19104.199484000001</v>
      </c>
      <c r="T750">
        <f>IF(O750=O749,T749+1,1)</f>
        <v>1</v>
      </c>
      <c r="U750" t="str">
        <f>IF(O750=O751,"",S750/T750)</f>
        <v/>
      </c>
      <c r="V750" t="str">
        <f>IF(U750="","",IF(ABS(Q750-U750)&gt;V$1,"error",""))</f>
        <v/>
      </c>
    </row>
    <row r="751" spans="1:22" x14ac:dyDescent="0.55000000000000004">
      <c r="A751">
        <v>18951.462739999999</v>
      </c>
      <c r="B751" s="1">
        <v>5.0000000000000001E-3</v>
      </c>
      <c r="C751" s="1">
        <v>5.0000000000000001E-3</v>
      </c>
      <c r="D751" s="2" t="s">
        <v>680</v>
      </c>
      <c r="E751">
        <v>2</v>
      </c>
      <c r="F751" s="2" t="s">
        <v>2</v>
      </c>
      <c r="G751">
        <v>0</v>
      </c>
      <c r="H751">
        <v>5.5</v>
      </c>
      <c r="I751" s="2" t="s">
        <v>0</v>
      </c>
      <c r="J751">
        <v>1</v>
      </c>
      <c r="K751" s="2" t="s">
        <v>2</v>
      </c>
      <c r="L751">
        <v>0</v>
      </c>
      <c r="M751">
        <v>6.5</v>
      </c>
      <c r="N751" s="2" t="s">
        <v>737</v>
      </c>
      <c r="O751" t="str">
        <f>D751&amp;"-"&amp;E751&amp;"-"&amp;F751&amp;"-"&amp;G751&amp;"-"&amp;H751</f>
        <v>E-2-e-0-5.5</v>
      </c>
      <c r="P751" t="str">
        <f>I751&amp;"-"&amp;J751&amp;"-"&amp;K751&amp;"-"&amp;L751&amp;"-"&amp;M751</f>
        <v>X-1-e-0-6.5</v>
      </c>
      <c r="Q751">
        <f>A751+R751</f>
        <v>19104.198366999997</v>
      </c>
      <c r="R751">
        <f>_xlfn.IFNA(VLOOKUP(P751,PGOPHER!A$2:G$181,7,FALSE),_xlfn.IFNA(VLOOKUP(P751,en!A$2:I$768,7,FALSE),-10000))</f>
        <v>152.73562699999999</v>
      </c>
      <c r="S751">
        <f>IF(O751=O750,Q750+S750,Q751)</f>
        <v>38208.398968000001</v>
      </c>
      <c r="T751">
        <f>IF(O751=O750,T750+1,1)</f>
        <v>2</v>
      </c>
      <c r="U751" t="str">
        <f>IF(O751=O752,"",S751/T751)</f>
        <v/>
      </c>
      <c r="V751" t="str">
        <f>IF(U751="","",IF(ABS(Q751-U751)&gt;V$1,"error",""))</f>
        <v/>
      </c>
    </row>
    <row r="752" spans="1:22" x14ac:dyDescent="0.55000000000000004">
      <c r="A752">
        <v>18952.263869999999</v>
      </c>
      <c r="B752" s="1">
        <v>5.0000000000000001E-3</v>
      </c>
      <c r="C752" s="1">
        <v>5.0000000000000001E-3</v>
      </c>
      <c r="D752" s="2" t="s">
        <v>680</v>
      </c>
      <c r="E752">
        <v>2</v>
      </c>
      <c r="F752" s="2" t="s">
        <v>2</v>
      </c>
      <c r="G752">
        <v>0</v>
      </c>
      <c r="H752">
        <v>5.5</v>
      </c>
      <c r="I752" s="2" t="s">
        <v>0</v>
      </c>
      <c r="J752">
        <v>2</v>
      </c>
      <c r="K752" s="2" t="s">
        <v>1</v>
      </c>
      <c r="L752">
        <v>0</v>
      </c>
      <c r="M752">
        <v>5.5</v>
      </c>
      <c r="N752" s="2" t="s">
        <v>738</v>
      </c>
      <c r="O752" t="str">
        <f>D752&amp;"-"&amp;E752&amp;"-"&amp;F752&amp;"-"&amp;G752&amp;"-"&amp;H752</f>
        <v>E-2-e-0-5.5</v>
      </c>
      <c r="P752" t="str">
        <f>I752&amp;"-"&amp;J752&amp;"-"&amp;K752&amp;"-"&amp;L752&amp;"-"&amp;M752</f>
        <v>X-2-f-0-5.5</v>
      </c>
      <c r="Q752">
        <f>A752+R752</f>
        <v>19104.197434999998</v>
      </c>
      <c r="R752">
        <f>_xlfn.IFNA(VLOOKUP(P752,PGOPHER!A$2:G$181,7,FALSE),_xlfn.IFNA(VLOOKUP(P752,en!A$2:I$768,7,FALSE),-10000))</f>
        <v>151.93356499999999</v>
      </c>
      <c r="S752">
        <f>IF(O752=O751,Q751+S751,Q752)</f>
        <v>57312.597334999999</v>
      </c>
      <c r="T752">
        <f>IF(O752=O751,T751+1,1)</f>
        <v>3</v>
      </c>
      <c r="U752">
        <f>IF(O752=O753,"",S752/T752)</f>
        <v>19104.199111666665</v>
      </c>
      <c r="V752" t="str">
        <f>IF(U752="","",IF(ABS(Q752-U752)&gt;V$1,"error",""))</f>
        <v/>
      </c>
    </row>
    <row r="753" spans="1:22" x14ac:dyDescent="0.55000000000000004">
      <c r="A753">
        <v>19024.243259999999</v>
      </c>
      <c r="B753" s="1">
        <v>5.0000000000000001E-3</v>
      </c>
      <c r="C753" s="1">
        <v>5.0000000000000001E-3</v>
      </c>
      <c r="D753" s="2" t="s">
        <v>680</v>
      </c>
      <c r="E753">
        <v>2</v>
      </c>
      <c r="F753" s="2" t="s">
        <v>2</v>
      </c>
      <c r="G753">
        <v>1</v>
      </c>
      <c r="H753">
        <v>5.5</v>
      </c>
      <c r="I753" s="2" t="s">
        <v>0</v>
      </c>
      <c r="J753">
        <v>1</v>
      </c>
      <c r="K753" s="2" t="s">
        <v>2</v>
      </c>
      <c r="L753">
        <v>1</v>
      </c>
      <c r="M753">
        <v>4.5</v>
      </c>
      <c r="N753" s="2" t="s">
        <v>993</v>
      </c>
      <c r="O753" t="str">
        <f>D753&amp;"-"&amp;E753&amp;"-"&amp;F753&amp;"-"&amp;G753&amp;"-"&amp;H753</f>
        <v>E-2-e-1-5.5</v>
      </c>
      <c r="P753" t="str">
        <f>I753&amp;"-"&amp;J753&amp;"-"&amp;K753&amp;"-"&amp;L753&amp;"-"&amp;M753</f>
        <v>X-1-e-1-4.5</v>
      </c>
      <c r="Q753">
        <f>A753+R753</f>
        <v>20268.294794999998</v>
      </c>
      <c r="R753">
        <f>_xlfn.IFNA(VLOOKUP(P753,PGOPHER!A$2:G$181,7,FALSE),_xlfn.IFNA(VLOOKUP(P753,en!A$2:I$768,7,FALSE),-10000))</f>
        <v>1244.0515350000001</v>
      </c>
      <c r="S753">
        <f>IF(O753=O752,Q752+S752,Q753)</f>
        <v>20268.294794999998</v>
      </c>
      <c r="T753">
        <f>IF(O753=O752,T752+1,1)</f>
        <v>1</v>
      </c>
      <c r="U753" t="str">
        <f>IF(O753=O754,"",S753/T753)</f>
        <v/>
      </c>
      <c r="V753" t="str">
        <f>IF(U753="","",IF(ABS(Q753-U753)&gt;V$1,"error",""))</f>
        <v/>
      </c>
    </row>
    <row r="754" spans="1:22" x14ac:dyDescent="0.55000000000000004">
      <c r="A754">
        <v>18946.13175</v>
      </c>
      <c r="B754" s="1">
        <v>5.0000000000000001E-3</v>
      </c>
      <c r="C754" s="1">
        <v>5.0000000000000001E-3</v>
      </c>
      <c r="D754" s="2" t="s">
        <v>680</v>
      </c>
      <c r="E754">
        <v>2</v>
      </c>
      <c r="F754" s="2" t="s">
        <v>2</v>
      </c>
      <c r="G754">
        <v>1</v>
      </c>
      <c r="H754">
        <v>5.5</v>
      </c>
      <c r="I754" s="2" t="s">
        <v>0</v>
      </c>
      <c r="J754">
        <v>1</v>
      </c>
      <c r="K754" s="2" t="s">
        <v>2</v>
      </c>
      <c r="L754">
        <v>1</v>
      </c>
      <c r="M754">
        <v>6.5</v>
      </c>
      <c r="N754" s="2" t="s">
        <v>994</v>
      </c>
      <c r="O754" t="str">
        <f>D754&amp;"-"&amp;E754&amp;"-"&amp;F754&amp;"-"&amp;G754&amp;"-"&amp;H754</f>
        <v>E-2-e-1-5.5</v>
      </c>
      <c r="P754" t="str">
        <f>I754&amp;"-"&amp;J754&amp;"-"&amp;K754&amp;"-"&amp;L754&amp;"-"&amp;M754</f>
        <v>X-1-e-1-6.5</v>
      </c>
      <c r="Q754">
        <f>A754+R754</f>
        <v>20268.287566999999</v>
      </c>
      <c r="R754">
        <f>_xlfn.IFNA(VLOOKUP(P754,PGOPHER!A$2:G$181,7,FALSE),_xlfn.IFNA(VLOOKUP(P754,en!A$2:I$768,7,FALSE),-10000))</f>
        <v>1322.1558170000001</v>
      </c>
      <c r="S754">
        <f>IF(O754=O753,Q753+S753,Q754)</f>
        <v>40536.589589999996</v>
      </c>
      <c r="T754">
        <f>IF(O754=O753,T753+1,1)</f>
        <v>2</v>
      </c>
      <c r="U754" t="str">
        <f>IF(O754=O755,"",S754/T754)</f>
        <v/>
      </c>
      <c r="V754" t="str">
        <f>IF(U754="","",IF(ABS(Q754-U754)&gt;V$1,"error",""))</f>
        <v/>
      </c>
    </row>
    <row r="755" spans="1:22" x14ac:dyDescent="0.55000000000000004">
      <c r="A755">
        <v>18946.911039999999</v>
      </c>
      <c r="B755" s="1">
        <v>5.0000000000000001E-3</v>
      </c>
      <c r="C755" s="1">
        <v>5.0000000000000001E-3</v>
      </c>
      <c r="D755" s="2" t="s">
        <v>680</v>
      </c>
      <c r="E755">
        <v>2</v>
      </c>
      <c r="F755" s="2" t="s">
        <v>2</v>
      </c>
      <c r="G755">
        <v>1</v>
      </c>
      <c r="H755">
        <v>5.5</v>
      </c>
      <c r="I755" s="2" t="s">
        <v>0</v>
      </c>
      <c r="J755">
        <v>2</v>
      </c>
      <c r="K755" s="2" t="s">
        <v>1</v>
      </c>
      <c r="L755">
        <v>1</v>
      </c>
      <c r="M755">
        <v>5.5</v>
      </c>
      <c r="N755" s="2" t="s">
        <v>995</v>
      </c>
      <c r="O755" t="str">
        <f>D755&amp;"-"&amp;E755&amp;"-"&amp;F755&amp;"-"&amp;G755&amp;"-"&amp;H755</f>
        <v>E-2-e-1-5.5</v>
      </c>
      <c r="P755" t="str">
        <f>I755&amp;"-"&amp;J755&amp;"-"&amp;K755&amp;"-"&amp;L755&amp;"-"&amp;M755</f>
        <v>X-2-f-1-5.5</v>
      </c>
      <c r="Q755">
        <f>A755+R755</f>
        <v>20268.292159000001</v>
      </c>
      <c r="R755">
        <f>_xlfn.IFNA(VLOOKUP(P755,PGOPHER!A$2:G$181,7,FALSE),_xlfn.IFNA(VLOOKUP(P755,en!A$2:I$768,7,FALSE),-10000))</f>
        <v>1321.3811189999999</v>
      </c>
      <c r="S755">
        <f>IF(O755=O754,Q754+S754,Q755)</f>
        <v>60804.877156999995</v>
      </c>
      <c r="T755">
        <f>IF(O755=O754,T754+1,1)</f>
        <v>3</v>
      </c>
      <c r="U755">
        <f>IF(O755=O756,"",S755/T755)</f>
        <v>20268.292385666664</v>
      </c>
      <c r="V755" t="str">
        <f>IF(U755="","",IF(ABS(Q755-U755)&gt;V$1,"error",""))</f>
        <v/>
      </c>
    </row>
    <row r="756" spans="1:22" x14ac:dyDescent="0.55000000000000004">
      <c r="A756">
        <v>18995.830590000001</v>
      </c>
      <c r="B756" s="1">
        <v>5.0000000000000001E-3</v>
      </c>
      <c r="C756" s="1">
        <v>5.0000000000000001E-3</v>
      </c>
      <c r="D756" s="2" t="s">
        <v>680</v>
      </c>
      <c r="E756">
        <v>2</v>
      </c>
      <c r="F756" s="2" t="s">
        <v>1</v>
      </c>
      <c r="G756">
        <v>0</v>
      </c>
      <c r="H756">
        <v>5.5</v>
      </c>
      <c r="I756" s="2" t="s">
        <v>0</v>
      </c>
      <c r="J756">
        <v>2</v>
      </c>
      <c r="K756" s="2" t="s">
        <v>1</v>
      </c>
      <c r="L756">
        <v>0</v>
      </c>
      <c r="M756">
        <v>4.5</v>
      </c>
      <c r="N756" s="2" t="s">
        <v>739</v>
      </c>
      <c r="O756" t="str">
        <f>D756&amp;"-"&amp;E756&amp;"-"&amp;F756&amp;"-"&amp;G756&amp;"-"&amp;H756</f>
        <v>E-2-f-0-5.5</v>
      </c>
      <c r="P756" t="str">
        <f>I756&amp;"-"&amp;J756&amp;"-"&amp;K756&amp;"-"&amp;L756&amp;"-"&amp;M756</f>
        <v>X-2-f-0-4.5</v>
      </c>
      <c r="Q756">
        <f>A756+R756</f>
        <v>19104.341672000002</v>
      </c>
      <c r="R756">
        <f>_xlfn.IFNA(VLOOKUP(P756,PGOPHER!A$2:G$181,7,FALSE),_xlfn.IFNA(VLOOKUP(P756,en!A$2:I$768,7,FALSE),-10000))</f>
        <v>108.511082</v>
      </c>
      <c r="S756">
        <f>IF(O756=O755,Q755+S755,Q756)</f>
        <v>19104.341672000002</v>
      </c>
      <c r="T756">
        <f>IF(O756=O755,T755+1,1)</f>
        <v>1</v>
      </c>
      <c r="U756" t="str">
        <f>IF(O756=O757,"",S756/T756)</f>
        <v/>
      </c>
      <c r="V756" t="str">
        <f>IF(U756="","",IF(ABS(Q756-U756)&gt;V$1,"error",""))</f>
        <v/>
      </c>
    </row>
    <row r="757" spans="1:22" x14ac:dyDescent="0.55000000000000004">
      <c r="A757">
        <v>18901.78543</v>
      </c>
      <c r="B757" s="1">
        <v>5.0000000000000001E-3</v>
      </c>
      <c r="C757" s="1">
        <v>5.0000000000000001E-3</v>
      </c>
      <c r="D757" s="2" t="s">
        <v>680</v>
      </c>
      <c r="E757">
        <v>2</v>
      </c>
      <c r="F757" s="2" t="s">
        <v>1</v>
      </c>
      <c r="G757">
        <v>0</v>
      </c>
      <c r="H757">
        <v>5.5</v>
      </c>
      <c r="I757" s="2" t="s">
        <v>0</v>
      </c>
      <c r="J757">
        <v>2</v>
      </c>
      <c r="K757" s="2" t="s">
        <v>1</v>
      </c>
      <c r="L757">
        <v>0</v>
      </c>
      <c r="M757">
        <v>6.5</v>
      </c>
      <c r="N757" s="2" t="s">
        <v>740</v>
      </c>
      <c r="O757" t="str">
        <f>D757&amp;"-"&amp;E757&amp;"-"&amp;F757&amp;"-"&amp;G757&amp;"-"&amp;H757</f>
        <v>E-2-f-0-5.5</v>
      </c>
      <c r="P757" t="str">
        <f>I757&amp;"-"&amp;J757&amp;"-"&amp;K757&amp;"-"&amp;L757&amp;"-"&amp;M757</f>
        <v>X-2-f-0-6.5</v>
      </c>
      <c r="Q757">
        <f>A757+R757</f>
        <v>19104.341041</v>
      </c>
      <c r="R757">
        <f>_xlfn.IFNA(VLOOKUP(P757,PGOPHER!A$2:G$181,7,FALSE),_xlfn.IFNA(VLOOKUP(P757,en!A$2:I$768,7,FALSE),-10000))</f>
        <v>202.555611</v>
      </c>
      <c r="S757">
        <f>IF(O757=O756,Q756+S756,Q757)</f>
        <v>38208.683344000005</v>
      </c>
      <c r="T757">
        <f>IF(O757=O756,T756+1,1)</f>
        <v>2</v>
      </c>
      <c r="U757" t="str">
        <f>IF(O757=O758,"",S757/T757)</f>
        <v/>
      </c>
      <c r="V757" t="str">
        <f>IF(U757="","",IF(ABS(Q757-U757)&gt;V$1,"error",""))</f>
        <v/>
      </c>
    </row>
    <row r="758" spans="1:22" x14ac:dyDescent="0.55000000000000004">
      <c r="A758">
        <v>18995.15108</v>
      </c>
      <c r="B758" s="1">
        <v>5.0000000000000001E-3</v>
      </c>
      <c r="C758" s="1">
        <v>5.0000000000000001E-3</v>
      </c>
      <c r="D758" s="2" t="s">
        <v>680</v>
      </c>
      <c r="E758">
        <v>2</v>
      </c>
      <c r="F758" s="2" t="s">
        <v>1</v>
      </c>
      <c r="G758">
        <v>0</v>
      </c>
      <c r="H758">
        <v>5.5</v>
      </c>
      <c r="I758" s="2" t="s">
        <v>0</v>
      </c>
      <c r="J758">
        <v>1</v>
      </c>
      <c r="K758" s="2" t="s">
        <v>2</v>
      </c>
      <c r="L758">
        <v>0</v>
      </c>
      <c r="M758">
        <v>5.5</v>
      </c>
      <c r="N758" s="2" t="s">
        <v>741</v>
      </c>
      <c r="O758" t="str">
        <f>D758&amp;"-"&amp;E758&amp;"-"&amp;F758&amp;"-"&amp;G758&amp;"-"&amp;H758</f>
        <v>E-2-f-0-5.5</v>
      </c>
      <c r="P758" t="str">
        <f>I758&amp;"-"&amp;J758&amp;"-"&amp;K758&amp;"-"&amp;L758&amp;"-"&amp;M758</f>
        <v>X-1-e-0-5.5</v>
      </c>
      <c r="Q758">
        <f>A758+R758</f>
        <v>19104.341254999999</v>
      </c>
      <c r="R758">
        <f>_xlfn.IFNA(VLOOKUP(P758,PGOPHER!A$2:G$181,7,FALSE),_xlfn.IFNA(VLOOKUP(P758,en!A$2:I$768,7,FALSE),-10000))</f>
        <v>109.190175</v>
      </c>
      <c r="S758">
        <f>IF(O758=O757,Q757+S757,Q758)</f>
        <v>57313.024385000004</v>
      </c>
      <c r="T758">
        <f>IF(O758=O757,T757+1,1)</f>
        <v>3</v>
      </c>
      <c r="U758">
        <f>IF(O758=O759,"",S758/T758)</f>
        <v>19104.341461666667</v>
      </c>
      <c r="V758" t="str">
        <f>IF(U758="","",IF(ABS(Q758-U758)&gt;V$1,"error",""))</f>
        <v/>
      </c>
    </row>
    <row r="759" spans="1:22" x14ac:dyDescent="0.55000000000000004">
      <c r="A759">
        <v>18988.8351</v>
      </c>
      <c r="B759" s="1">
        <v>5.0000000000000001E-3</v>
      </c>
      <c r="C759" s="1">
        <v>5.0000000000000001E-3</v>
      </c>
      <c r="D759" s="2" t="s">
        <v>680</v>
      </c>
      <c r="E759">
        <v>2</v>
      </c>
      <c r="F759" s="2" t="s">
        <v>1</v>
      </c>
      <c r="G759">
        <v>1</v>
      </c>
      <c r="H759">
        <v>5.5</v>
      </c>
      <c r="I759" s="2" t="s">
        <v>0</v>
      </c>
      <c r="J759">
        <v>1</v>
      </c>
      <c r="K759" s="2" t="s">
        <v>2</v>
      </c>
      <c r="L759">
        <v>1</v>
      </c>
      <c r="M759">
        <v>5.5</v>
      </c>
      <c r="N759" s="2" t="s">
        <v>996</v>
      </c>
      <c r="O759" t="str">
        <f>D759&amp;"-"&amp;E759&amp;"-"&amp;F759&amp;"-"&amp;G759&amp;"-"&amp;H759</f>
        <v>E-2-f-1-5.5</v>
      </c>
      <c r="P759" t="str">
        <f>I759&amp;"-"&amp;J759&amp;"-"&amp;K759&amp;"-"&amp;L759&amp;"-"&amp;M759</f>
        <v>X-1-e-1-5.5</v>
      </c>
      <c r="Q759">
        <f>A759+R759</f>
        <v>20268.409664999999</v>
      </c>
      <c r="R759">
        <f>_xlfn.IFNA(VLOOKUP(P759,PGOPHER!A$2:G$181,7,FALSE),_xlfn.IFNA(VLOOKUP(P759,en!A$2:I$768,7,FALSE),-10000))</f>
        <v>1279.5745649999999</v>
      </c>
      <c r="S759">
        <f>IF(O759=O758,Q758+S758,Q759)</f>
        <v>20268.409664999999</v>
      </c>
      <c r="T759">
        <f>IF(O759=O758,T758+1,1)</f>
        <v>1</v>
      </c>
      <c r="U759" t="str">
        <f>IF(O759=O760,"",S759/T759)</f>
        <v/>
      </c>
      <c r="V759" t="str">
        <f>IF(U759="","",IF(ABS(Q759-U759)&gt;V$1,"error",""))</f>
        <v/>
      </c>
    </row>
    <row r="760" spans="1:22" x14ac:dyDescent="0.55000000000000004">
      <c r="A760">
        <v>18989.493429999999</v>
      </c>
      <c r="B760" s="1">
        <v>5.0000000000000001E-3</v>
      </c>
      <c r="C760" s="1">
        <v>5.0000000000000001E-3</v>
      </c>
      <c r="D760" s="2" t="s">
        <v>680</v>
      </c>
      <c r="E760">
        <v>2</v>
      </c>
      <c r="F760" s="2" t="s">
        <v>1</v>
      </c>
      <c r="G760">
        <v>1</v>
      </c>
      <c r="H760">
        <v>5.5</v>
      </c>
      <c r="I760" s="2" t="s">
        <v>0</v>
      </c>
      <c r="J760">
        <v>2</v>
      </c>
      <c r="K760" s="2" t="s">
        <v>1</v>
      </c>
      <c r="L760">
        <v>1</v>
      </c>
      <c r="M760">
        <v>4.5</v>
      </c>
      <c r="N760" s="2" t="s">
        <v>997</v>
      </c>
      <c r="O760" t="str">
        <f>D760&amp;"-"&amp;E760&amp;"-"&amp;F760&amp;"-"&amp;G760&amp;"-"&amp;H760</f>
        <v>E-2-f-1-5.5</v>
      </c>
      <c r="P760" t="str">
        <f>I760&amp;"-"&amp;J760&amp;"-"&amp;K760&amp;"-"&amp;L760&amp;"-"&amp;M760</f>
        <v>X-2-f-1-4.5</v>
      </c>
      <c r="Q760">
        <f>A760+R760</f>
        <v>20268.410895999998</v>
      </c>
      <c r="R760">
        <f>_xlfn.IFNA(VLOOKUP(P760,PGOPHER!A$2:G$181,7,FALSE),_xlfn.IFNA(VLOOKUP(P760,en!A$2:I$768,7,FALSE),-10000))</f>
        <v>1278.9174660000001</v>
      </c>
      <c r="S760">
        <f>IF(O760=O759,Q759+S759,Q760)</f>
        <v>40536.819329999998</v>
      </c>
      <c r="T760">
        <f>IF(O760=O759,T759+1,1)</f>
        <v>2</v>
      </c>
      <c r="U760" t="str">
        <f>IF(O760=O761,"",S760/T760)</f>
        <v/>
      </c>
      <c r="V760" t="str">
        <f>IF(U760="","",IF(ABS(Q760-U760)&gt;V$1,"error",""))</f>
        <v/>
      </c>
    </row>
    <row r="761" spans="1:22" x14ac:dyDescent="0.55000000000000004">
      <c r="A761">
        <v>18897.525580000001</v>
      </c>
      <c r="B761" s="1">
        <v>5.0000000000000001E-3</v>
      </c>
      <c r="C761" s="1">
        <v>5.0000000000000001E-3</v>
      </c>
      <c r="D761" s="2" t="s">
        <v>680</v>
      </c>
      <c r="E761">
        <v>2</v>
      </c>
      <c r="F761" s="2" t="s">
        <v>1</v>
      </c>
      <c r="G761">
        <v>1</v>
      </c>
      <c r="H761">
        <v>5.5</v>
      </c>
      <c r="I761" s="2" t="s">
        <v>0</v>
      </c>
      <c r="J761">
        <v>2</v>
      </c>
      <c r="K761" s="2" t="s">
        <v>1</v>
      </c>
      <c r="L761">
        <v>1</v>
      </c>
      <c r="M761">
        <v>6.5</v>
      </c>
      <c r="N761" s="2" t="s">
        <v>998</v>
      </c>
      <c r="O761" t="str">
        <f>D761&amp;"-"&amp;E761&amp;"-"&amp;F761&amp;"-"&amp;G761&amp;"-"&amp;H761</f>
        <v>E-2-f-1-5.5</v>
      </c>
      <c r="P761" t="str">
        <f>I761&amp;"-"&amp;J761&amp;"-"&amp;K761&amp;"-"&amp;L761&amp;"-"&amp;M761</f>
        <v>X-2-f-1-6.5</v>
      </c>
      <c r="Q761">
        <f>A761+R761</f>
        <v>20268.406101</v>
      </c>
      <c r="R761">
        <f>_xlfn.IFNA(VLOOKUP(P761,PGOPHER!A$2:G$181,7,FALSE),_xlfn.IFNA(VLOOKUP(P761,en!A$2:I$768,7,FALSE),-10000))</f>
        <v>1370.880521</v>
      </c>
      <c r="S761">
        <f>IF(O761=O760,Q760+S760,Q761)</f>
        <v>60805.230226</v>
      </c>
      <c r="T761">
        <f>IF(O761=O760,T760+1,1)</f>
        <v>3</v>
      </c>
      <c r="U761">
        <f>IF(O761=O762,"",S761/T761)</f>
        <v>20268.410075333333</v>
      </c>
      <c r="V761" t="str">
        <f>IF(U761="","",IF(ABS(Q761-U761)&gt;V$1,"error",""))</f>
        <v/>
      </c>
    </row>
    <row r="762" spans="1:22" x14ac:dyDescent="0.55000000000000004">
      <c r="A762">
        <v>18927.999820000001</v>
      </c>
      <c r="B762" s="1">
        <v>5.5E-2</v>
      </c>
      <c r="C762" s="1">
        <v>5.5E-2</v>
      </c>
      <c r="D762" s="2" t="s">
        <v>680</v>
      </c>
      <c r="E762">
        <v>1</v>
      </c>
      <c r="F762" s="2" t="s">
        <v>2</v>
      </c>
      <c r="G762">
        <v>0</v>
      </c>
      <c r="H762">
        <v>6.5</v>
      </c>
      <c r="I762" s="2" t="s">
        <v>0</v>
      </c>
      <c r="J762">
        <v>1</v>
      </c>
      <c r="K762" s="2" t="s">
        <v>2</v>
      </c>
      <c r="L762">
        <v>0</v>
      </c>
      <c r="M762">
        <v>5.5</v>
      </c>
      <c r="N762" s="2" t="s">
        <v>742</v>
      </c>
      <c r="O762" t="str">
        <f>D762&amp;"-"&amp;E762&amp;"-"&amp;F762&amp;"-"&amp;G762&amp;"-"&amp;H762</f>
        <v>E-1-e-0-6.5</v>
      </c>
      <c r="P762" t="str">
        <f>I762&amp;"-"&amp;J762&amp;"-"&amp;K762&amp;"-"&amp;L762&amp;"-"&amp;M762</f>
        <v>X-1-e-0-5.5</v>
      </c>
      <c r="Q762">
        <f>A762+R762</f>
        <v>19037.189995000001</v>
      </c>
      <c r="R762">
        <f>_xlfn.IFNA(VLOOKUP(P762,PGOPHER!A$2:G$181,7,FALSE),_xlfn.IFNA(VLOOKUP(P762,en!A$2:I$768,7,FALSE),-10000))</f>
        <v>109.190175</v>
      </c>
      <c r="S762">
        <f>IF(O762=O761,Q761+S761,Q762)</f>
        <v>19037.189995000001</v>
      </c>
      <c r="T762">
        <f>IF(O762=O761,T761+1,1)</f>
        <v>1</v>
      </c>
      <c r="U762" t="str">
        <f>IF(O762=O763,"",S762/T762)</f>
        <v/>
      </c>
      <c r="V762" t="str">
        <f>IF(U762="","",IF(ABS(Q762-U762)&gt;V$1,"error",""))</f>
        <v/>
      </c>
    </row>
    <row r="763" spans="1:22" x14ac:dyDescent="0.55000000000000004">
      <c r="A763">
        <v>18833.706569999998</v>
      </c>
      <c r="B763" s="1">
        <v>5.5E-2</v>
      </c>
      <c r="C763" s="1">
        <v>5.5E-2</v>
      </c>
      <c r="D763" s="2" t="s">
        <v>680</v>
      </c>
      <c r="E763">
        <v>1</v>
      </c>
      <c r="F763" s="2" t="s">
        <v>2</v>
      </c>
      <c r="G763">
        <v>0</v>
      </c>
      <c r="H763">
        <v>6.5</v>
      </c>
      <c r="I763" s="2" t="s">
        <v>0</v>
      </c>
      <c r="J763">
        <v>1</v>
      </c>
      <c r="K763" s="2" t="s">
        <v>2</v>
      </c>
      <c r="L763">
        <v>0</v>
      </c>
      <c r="M763">
        <v>7.5</v>
      </c>
      <c r="N763" s="2" t="s">
        <v>743</v>
      </c>
      <c r="O763" t="str">
        <f>D763&amp;"-"&amp;E763&amp;"-"&amp;F763&amp;"-"&amp;G763&amp;"-"&amp;H763</f>
        <v>E-1-e-0-6.5</v>
      </c>
      <c r="P763" t="str">
        <f>I763&amp;"-"&amp;J763&amp;"-"&amp;K763&amp;"-"&amp;L763&amp;"-"&amp;M763</f>
        <v>X-1-e-0-7.5</v>
      </c>
      <c r="Q763">
        <f>A763+R763</f>
        <v>19037.186093</v>
      </c>
      <c r="R763">
        <f>_xlfn.IFNA(VLOOKUP(P763,PGOPHER!A$2:G$181,7,FALSE),_xlfn.IFNA(VLOOKUP(P763,en!A$2:I$768,7,FALSE),-10000))</f>
        <v>203.479523</v>
      </c>
      <c r="S763">
        <f>IF(O763=O762,Q762+S762,Q763)</f>
        <v>38074.379990000001</v>
      </c>
      <c r="T763">
        <f>IF(O763=O762,T762+1,1)</f>
        <v>2</v>
      </c>
      <c r="U763" t="str">
        <f>IF(O763=O764,"",S763/T763)</f>
        <v/>
      </c>
      <c r="V763" t="str">
        <f>IF(U763="","",IF(ABS(Q763-U763)&gt;V$1,"error",""))</f>
        <v/>
      </c>
    </row>
    <row r="764" spans="1:22" x14ac:dyDescent="0.55000000000000004">
      <c r="A764">
        <v>18834.630929999999</v>
      </c>
      <c r="B764" s="1">
        <v>5.5E-2</v>
      </c>
      <c r="C764" s="1">
        <v>5.5E-2</v>
      </c>
      <c r="D764" s="2" t="s">
        <v>680</v>
      </c>
      <c r="E764">
        <v>1</v>
      </c>
      <c r="F764" s="2" t="s">
        <v>2</v>
      </c>
      <c r="G764">
        <v>0</v>
      </c>
      <c r="H764">
        <v>6.5</v>
      </c>
      <c r="I764" s="2" t="s">
        <v>0</v>
      </c>
      <c r="J764">
        <v>2</v>
      </c>
      <c r="K764" s="2" t="s">
        <v>1</v>
      </c>
      <c r="L764">
        <v>0</v>
      </c>
      <c r="M764">
        <v>6.5</v>
      </c>
      <c r="N764" s="2" t="s">
        <v>744</v>
      </c>
      <c r="O764" t="str">
        <f>D764&amp;"-"&amp;E764&amp;"-"&amp;F764&amp;"-"&amp;G764&amp;"-"&amp;H764</f>
        <v>E-1-e-0-6.5</v>
      </c>
      <c r="P764" t="str">
        <f>I764&amp;"-"&amp;J764&amp;"-"&amp;K764&amp;"-"&amp;L764&amp;"-"&amp;M764</f>
        <v>X-2-f-0-6.5</v>
      </c>
      <c r="Q764">
        <f>A764+R764</f>
        <v>19037.186540999999</v>
      </c>
      <c r="R764">
        <f>_xlfn.IFNA(VLOOKUP(P764,PGOPHER!A$2:G$181,7,FALSE),_xlfn.IFNA(VLOOKUP(P764,en!A$2:I$768,7,FALSE),-10000))</f>
        <v>202.555611</v>
      </c>
      <c r="S764">
        <f>IF(O764=O763,Q763+S763,Q764)</f>
        <v>57111.566082999998</v>
      </c>
      <c r="T764">
        <f>IF(O764=O763,T763+1,1)</f>
        <v>3</v>
      </c>
      <c r="U764">
        <f>IF(O764=O765,"",S764/T764)</f>
        <v>19037.188694333334</v>
      </c>
      <c r="V764" t="str">
        <f>IF(U764="","",IF(ABS(Q764-U764)&gt;V$1,"error",""))</f>
        <v/>
      </c>
    </row>
    <row r="765" spans="1:22" x14ac:dyDescent="0.55000000000000004">
      <c r="A765">
        <v>18825.34792</v>
      </c>
      <c r="B765" s="1">
        <v>5.0000000000000001E-3</v>
      </c>
      <c r="C765" s="1">
        <v>5.0000000000000001E-3</v>
      </c>
      <c r="D765" s="2" t="s">
        <v>680</v>
      </c>
      <c r="E765">
        <v>1</v>
      </c>
      <c r="F765" s="2" t="s">
        <v>2</v>
      </c>
      <c r="G765">
        <v>1</v>
      </c>
      <c r="H765">
        <v>6.5</v>
      </c>
      <c r="I765" s="2" t="s">
        <v>0</v>
      </c>
      <c r="J765">
        <v>1</v>
      </c>
      <c r="K765" s="2" t="s">
        <v>2</v>
      </c>
      <c r="L765">
        <v>1</v>
      </c>
      <c r="M765">
        <v>7.5</v>
      </c>
      <c r="N765" s="2" t="s">
        <v>999</v>
      </c>
      <c r="O765" t="str">
        <f>D765&amp;"-"&amp;E765&amp;"-"&amp;F765&amp;"-"&amp;G765&amp;"-"&amp;H765</f>
        <v>E-1-e-1-6.5</v>
      </c>
      <c r="P765" t="str">
        <f>I765&amp;"-"&amp;J765&amp;"-"&amp;K765&amp;"-"&amp;L765&amp;"-"&amp;M765</f>
        <v>X-1-e-1-7.5</v>
      </c>
      <c r="Q765">
        <f>A765+R765</f>
        <v>20197.122016000001</v>
      </c>
      <c r="R765">
        <f>_xlfn.IFNA(VLOOKUP(P765,PGOPHER!A$2:G$181,7,FALSE),_xlfn.IFNA(VLOOKUP(P765,en!A$2:I$768,7,FALSE),-10000))</f>
        <v>1371.7740960000001</v>
      </c>
      <c r="S765">
        <f>IF(O765=O764,Q764+S764,Q765)</f>
        <v>20197.122016000001</v>
      </c>
      <c r="T765">
        <f>IF(O765=O764,T764+1,1)</f>
        <v>1</v>
      </c>
      <c r="U765" t="str">
        <f>IF(O765=O766,"",S765/T765)</f>
        <v/>
      </c>
      <c r="V765" t="str">
        <f>IF(U765="","",IF(ABS(Q765-U765)&gt;V$1,"error",""))</f>
        <v/>
      </c>
    </row>
    <row r="766" spans="1:22" x14ac:dyDescent="0.55000000000000004">
      <c r="A766">
        <v>18917.549080000001</v>
      </c>
      <c r="B766" s="1">
        <v>5.0000000000000001E-3</v>
      </c>
      <c r="C766" s="1">
        <v>5.0000000000000001E-3</v>
      </c>
      <c r="D766" s="2" t="s">
        <v>680</v>
      </c>
      <c r="E766">
        <v>1</v>
      </c>
      <c r="F766" s="2" t="s">
        <v>2</v>
      </c>
      <c r="G766">
        <v>1</v>
      </c>
      <c r="H766">
        <v>6.5</v>
      </c>
      <c r="I766" s="2" t="s">
        <v>0</v>
      </c>
      <c r="J766">
        <v>1</v>
      </c>
      <c r="K766" s="2" t="s">
        <v>2</v>
      </c>
      <c r="L766">
        <v>1</v>
      </c>
      <c r="M766">
        <v>5.5</v>
      </c>
      <c r="N766" s="2" t="s">
        <v>1000</v>
      </c>
      <c r="O766" t="str">
        <f>D766&amp;"-"&amp;E766&amp;"-"&amp;F766&amp;"-"&amp;G766&amp;"-"&amp;H766</f>
        <v>E-1-e-1-6.5</v>
      </c>
      <c r="P766" t="str">
        <f>I766&amp;"-"&amp;J766&amp;"-"&amp;K766&amp;"-"&amp;L766&amp;"-"&amp;M766</f>
        <v>X-1-e-1-5.5</v>
      </c>
      <c r="Q766">
        <f>A766+R766</f>
        <v>20197.123645</v>
      </c>
      <c r="R766">
        <f>_xlfn.IFNA(VLOOKUP(P766,PGOPHER!A$2:G$181,7,FALSE),_xlfn.IFNA(VLOOKUP(P766,en!A$2:I$768,7,FALSE),-10000))</f>
        <v>1279.5745649999999</v>
      </c>
      <c r="S766">
        <f>IF(O766=O765,Q765+S765,Q766)</f>
        <v>40394.244032000002</v>
      </c>
      <c r="T766">
        <f>IF(O766=O765,T765+1,1)</f>
        <v>2</v>
      </c>
      <c r="U766" t="str">
        <f>IF(O766=O767,"",S766/T766)</f>
        <v/>
      </c>
      <c r="V766" t="str">
        <f>IF(U766="","",IF(ABS(Q766-U766)&gt;V$1,"error",""))</f>
        <v/>
      </c>
    </row>
    <row r="767" spans="1:22" x14ac:dyDescent="0.55000000000000004">
      <c r="A767">
        <v>18826.24007</v>
      </c>
      <c r="B767" s="1">
        <v>5.0000000000000001E-3</v>
      </c>
      <c r="C767" s="1">
        <v>5.0000000000000001E-3</v>
      </c>
      <c r="D767" s="2" t="s">
        <v>680</v>
      </c>
      <c r="E767">
        <v>1</v>
      </c>
      <c r="F767" s="2" t="s">
        <v>2</v>
      </c>
      <c r="G767">
        <v>1</v>
      </c>
      <c r="H767">
        <v>6.5</v>
      </c>
      <c r="I767" s="2" t="s">
        <v>0</v>
      </c>
      <c r="J767">
        <v>2</v>
      </c>
      <c r="K767" s="2" t="s">
        <v>1</v>
      </c>
      <c r="L767">
        <v>1</v>
      </c>
      <c r="M767">
        <v>6.5</v>
      </c>
      <c r="N767" s="2" t="s">
        <v>1001</v>
      </c>
      <c r="O767" t="str">
        <f>D767&amp;"-"&amp;E767&amp;"-"&amp;F767&amp;"-"&amp;G767&amp;"-"&amp;H767</f>
        <v>E-1-e-1-6.5</v>
      </c>
      <c r="P767" t="str">
        <f>I767&amp;"-"&amp;J767&amp;"-"&amp;K767&amp;"-"&amp;L767&amp;"-"&amp;M767</f>
        <v>X-2-f-1-6.5</v>
      </c>
      <c r="Q767">
        <f>A767+R767</f>
        <v>20197.120590999999</v>
      </c>
      <c r="R767">
        <f>_xlfn.IFNA(VLOOKUP(P767,PGOPHER!A$2:G$181,7,FALSE),_xlfn.IFNA(VLOOKUP(P767,en!A$2:I$768,7,FALSE),-10000))</f>
        <v>1370.880521</v>
      </c>
      <c r="S767">
        <f>IF(O767=O766,Q766+S766,Q767)</f>
        <v>60591.367677000002</v>
      </c>
      <c r="T767">
        <f>IF(O767=O766,T766+1,1)</f>
        <v>3</v>
      </c>
      <c r="U767">
        <f>IF(O767=O768,"",S767/T767)</f>
        <v>20197.122558999999</v>
      </c>
      <c r="V767" t="str">
        <f>IF(U767="","",IF(ABS(Q767-U767)&gt;V$1,"error",""))</f>
        <v/>
      </c>
    </row>
    <row r="768" spans="1:22" x14ac:dyDescent="0.55000000000000004">
      <c r="A768">
        <v>18777.22813</v>
      </c>
      <c r="B768" s="1">
        <v>0.105</v>
      </c>
      <c r="C768" s="1">
        <v>0.105</v>
      </c>
      <c r="D768" s="2" t="s">
        <v>680</v>
      </c>
      <c r="E768">
        <v>1</v>
      </c>
      <c r="F768" s="2" t="s">
        <v>1</v>
      </c>
      <c r="G768">
        <v>0</v>
      </c>
      <c r="H768">
        <v>6.5</v>
      </c>
      <c r="I768" s="2" t="s">
        <v>0</v>
      </c>
      <c r="J768">
        <v>2</v>
      </c>
      <c r="K768" s="2" t="s">
        <v>1</v>
      </c>
      <c r="L768">
        <v>0</v>
      </c>
      <c r="M768">
        <v>7.5</v>
      </c>
      <c r="N768" s="2" t="s">
        <v>745</v>
      </c>
      <c r="O768" t="str">
        <f>D768&amp;"-"&amp;E768&amp;"-"&amp;F768&amp;"-"&amp;G768&amp;"-"&amp;H768</f>
        <v>E-1-f-0-6.5</v>
      </c>
      <c r="P768" t="str">
        <f>I768&amp;"-"&amp;J768&amp;"-"&amp;K768&amp;"-"&amp;L768&amp;"-"&amp;M768</f>
        <v>X-2-f-0-7.5</v>
      </c>
      <c r="Q768">
        <f>A768+R768</f>
        <v>19037.580260999999</v>
      </c>
      <c r="R768">
        <f>_xlfn.IFNA(VLOOKUP(P768,PGOPHER!A$2:G$181,7,FALSE),_xlfn.IFNA(VLOOKUP(P768,en!A$2:I$768,7,FALSE),-10000))</f>
        <v>260.35213099999999</v>
      </c>
      <c r="S768">
        <f>IF(O768=O767,Q767+S767,Q768)</f>
        <v>19037.580260999999</v>
      </c>
      <c r="T768">
        <f>IF(O768=O767,T767+1,1)</f>
        <v>1</v>
      </c>
      <c r="U768" t="str">
        <f>IF(O768=O769,"",S768/T768)</f>
        <v/>
      </c>
      <c r="V768" t="str">
        <f>IF(U768="","",IF(ABS(Q768-U768)&gt;V$1,"error",""))</f>
        <v/>
      </c>
    </row>
    <row r="769" spans="1:22" x14ac:dyDescent="0.55000000000000004">
      <c r="A769">
        <v>18885.648379999999</v>
      </c>
      <c r="B769" s="1">
        <v>0.105</v>
      </c>
      <c r="C769" s="1">
        <v>0.105</v>
      </c>
      <c r="D769" s="2" t="s">
        <v>680</v>
      </c>
      <c r="E769">
        <v>1</v>
      </c>
      <c r="F769" s="2" t="s">
        <v>1</v>
      </c>
      <c r="G769">
        <v>0</v>
      </c>
      <c r="H769">
        <v>6.5</v>
      </c>
      <c r="I769" s="2" t="s">
        <v>0</v>
      </c>
      <c r="J769">
        <v>2</v>
      </c>
      <c r="K769" s="2" t="s">
        <v>1</v>
      </c>
      <c r="L769">
        <v>0</v>
      </c>
      <c r="M769">
        <v>5.5</v>
      </c>
      <c r="N769" s="2" t="s">
        <v>746</v>
      </c>
      <c r="O769" t="str">
        <f>D769&amp;"-"&amp;E769&amp;"-"&amp;F769&amp;"-"&amp;G769&amp;"-"&amp;H769</f>
        <v>E-1-f-0-6.5</v>
      </c>
      <c r="P769" t="str">
        <f>I769&amp;"-"&amp;J769&amp;"-"&amp;K769&amp;"-"&amp;L769&amp;"-"&amp;M769</f>
        <v>X-2-f-0-5.5</v>
      </c>
      <c r="Q769">
        <f>A769+R769</f>
        <v>19037.581944999998</v>
      </c>
      <c r="R769">
        <f>_xlfn.IFNA(VLOOKUP(P769,PGOPHER!A$2:G$181,7,FALSE),_xlfn.IFNA(VLOOKUP(P769,en!A$2:I$768,7,FALSE),-10000))</f>
        <v>151.93356499999999</v>
      </c>
      <c r="S769">
        <f>IF(O769=O768,Q768+S768,Q769)</f>
        <v>38075.160521999998</v>
      </c>
      <c r="T769">
        <f>IF(O769=O768,T768+1,1)</f>
        <v>2</v>
      </c>
      <c r="U769" t="str">
        <f>IF(O769=O770,"",S769/T769)</f>
        <v/>
      </c>
      <c r="V769" t="str">
        <f>IF(U769="","",IF(ABS(Q769-U769)&gt;V$1,"error",""))</f>
        <v/>
      </c>
    </row>
    <row r="770" spans="1:22" x14ac:dyDescent="0.55000000000000004">
      <c r="A770">
        <v>18884.845239999999</v>
      </c>
      <c r="B770" s="1">
        <v>0.105</v>
      </c>
      <c r="C770" s="1">
        <v>0.105</v>
      </c>
      <c r="D770" s="2" t="s">
        <v>680</v>
      </c>
      <c r="E770">
        <v>1</v>
      </c>
      <c r="F770" s="2" t="s">
        <v>1</v>
      </c>
      <c r="G770">
        <v>0</v>
      </c>
      <c r="H770">
        <v>6.5</v>
      </c>
      <c r="I770" s="2" t="s">
        <v>0</v>
      </c>
      <c r="J770">
        <v>1</v>
      </c>
      <c r="K770" s="2" t="s">
        <v>2</v>
      </c>
      <c r="L770">
        <v>0</v>
      </c>
      <c r="M770">
        <v>6.5</v>
      </c>
      <c r="N770" s="2" t="s">
        <v>747</v>
      </c>
      <c r="O770" t="str">
        <f>D770&amp;"-"&amp;E770&amp;"-"&amp;F770&amp;"-"&amp;G770&amp;"-"&amp;H770</f>
        <v>E-1-f-0-6.5</v>
      </c>
      <c r="P770" t="str">
        <f>I770&amp;"-"&amp;J770&amp;"-"&amp;K770&amp;"-"&amp;L770&amp;"-"&amp;M770</f>
        <v>X-1-e-0-6.5</v>
      </c>
      <c r="Q770">
        <f>A770+R770</f>
        <v>19037.580866999997</v>
      </c>
      <c r="R770">
        <f>_xlfn.IFNA(VLOOKUP(P770,PGOPHER!A$2:G$181,7,FALSE),_xlfn.IFNA(VLOOKUP(P770,en!A$2:I$768,7,FALSE),-10000))</f>
        <v>152.73562699999999</v>
      </c>
      <c r="S770">
        <f>IF(O770=O769,Q769+S769,Q770)</f>
        <v>57112.742466999996</v>
      </c>
      <c r="T770">
        <f>IF(O770=O769,T769+1,1)</f>
        <v>3</v>
      </c>
      <c r="U770">
        <f>IF(O770=O771,"",S770/T770)</f>
        <v>19037.580822333333</v>
      </c>
      <c r="V770" t="str">
        <f>IF(U770="","",IF(ABS(Q770-U770)&gt;V$1,"error",""))</f>
        <v/>
      </c>
    </row>
    <row r="771" spans="1:22" x14ac:dyDescent="0.55000000000000004">
      <c r="A771">
        <v>18876.06825</v>
      </c>
      <c r="B771" s="1">
        <v>5.0000000000000001E-3</v>
      </c>
      <c r="C771" s="1">
        <v>5.0000000000000001E-3</v>
      </c>
      <c r="D771" s="2" t="s">
        <v>680</v>
      </c>
      <c r="E771">
        <v>1</v>
      </c>
      <c r="F771" s="2" t="s">
        <v>1</v>
      </c>
      <c r="G771">
        <v>1</v>
      </c>
      <c r="H771">
        <v>6.5</v>
      </c>
      <c r="I771" s="2" t="s">
        <v>0</v>
      </c>
      <c r="J771">
        <v>2</v>
      </c>
      <c r="K771" s="2" t="s">
        <v>1</v>
      </c>
      <c r="L771">
        <v>1</v>
      </c>
      <c r="M771">
        <v>5.5</v>
      </c>
      <c r="N771" s="2" t="s">
        <v>1002</v>
      </c>
      <c r="O771" t="str">
        <f>D771&amp;"-"&amp;E771&amp;"-"&amp;F771&amp;"-"&amp;G771&amp;"-"&amp;H771</f>
        <v>E-1-f-1-6.5</v>
      </c>
      <c r="P771" t="str">
        <f>I771&amp;"-"&amp;J771&amp;"-"&amp;K771&amp;"-"&amp;L771&amp;"-"&amp;M771</f>
        <v>X-2-f-1-5.5</v>
      </c>
      <c r="Q771">
        <f>A771+R771</f>
        <v>20197.449369000002</v>
      </c>
      <c r="R771">
        <f>_xlfn.IFNA(VLOOKUP(P771,PGOPHER!A$2:G$181,7,FALSE),_xlfn.IFNA(VLOOKUP(P771,en!A$2:I$768,7,FALSE),-10000))</f>
        <v>1321.3811189999999</v>
      </c>
      <c r="S771">
        <f>IF(O771=O770,Q770+S770,Q771)</f>
        <v>20197.449369000002</v>
      </c>
      <c r="T771">
        <f>IF(O771=O770,T770+1,1)</f>
        <v>1</v>
      </c>
      <c r="U771" t="str">
        <f>IF(O771=O772,"",S771/T771)</f>
        <v/>
      </c>
      <c r="V771" t="str">
        <f>IF(U771="","",IF(ABS(Q771-U771)&gt;V$1,"error",""))</f>
        <v/>
      </c>
    </row>
    <row r="772" spans="1:22" x14ac:dyDescent="0.55000000000000004">
      <c r="A772">
        <v>18770.052469999999</v>
      </c>
      <c r="B772" s="1">
        <v>5.0000000000000001E-3</v>
      </c>
      <c r="C772" s="1">
        <v>5.0000000000000001E-3</v>
      </c>
      <c r="D772" s="2" t="s">
        <v>680</v>
      </c>
      <c r="E772">
        <v>1</v>
      </c>
      <c r="F772" s="2" t="s">
        <v>1</v>
      </c>
      <c r="G772">
        <v>1</v>
      </c>
      <c r="H772">
        <v>6.5</v>
      </c>
      <c r="I772" s="2" t="s">
        <v>0</v>
      </c>
      <c r="J772">
        <v>2</v>
      </c>
      <c r="K772" s="2" t="s">
        <v>1</v>
      </c>
      <c r="L772">
        <v>1</v>
      </c>
      <c r="M772">
        <v>7.5</v>
      </c>
      <c r="N772" s="2" t="s">
        <v>1003</v>
      </c>
      <c r="O772" t="str">
        <f>D772&amp;"-"&amp;E772&amp;"-"&amp;F772&amp;"-"&amp;G772&amp;"-"&amp;H772</f>
        <v>E-1-f-1-6.5</v>
      </c>
      <c r="P772" t="str">
        <f>I772&amp;"-"&amp;J772&amp;"-"&amp;K772&amp;"-"&amp;L772&amp;"-"&amp;M772</f>
        <v>X-2-f-1-7.5</v>
      </c>
      <c r="Q772">
        <f>A772+R772</f>
        <v>20197.448978</v>
      </c>
      <c r="R772">
        <f>_xlfn.IFNA(VLOOKUP(P772,PGOPHER!A$2:G$181,7,FALSE),_xlfn.IFNA(VLOOKUP(P772,en!A$2:I$768,7,FALSE),-10000))</f>
        <v>1427.396508</v>
      </c>
      <c r="S772">
        <f>IF(O772=O771,Q771+S771,Q772)</f>
        <v>40394.898738000004</v>
      </c>
      <c r="T772">
        <f>IF(O772=O771,T771+1,1)</f>
        <v>2</v>
      </c>
      <c r="U772" t="str">
        <f>IF(O772=O773,"",S772/T772)</f>
        <v/>
      </c>
      <c r="V772" t="str">
        <f>IF(U772="","",IF(ABS(Q772-U772)&gt;V$1,"error",""))</f>
        <v/>
      </c>
    </row>
    <row r="773" spans="1:22" x14ac:dyDescent="0.55000000000000004">
      <c r="A773">
        <v>18875.279910000001</v>
      </c>
      <c r="B773" s="1">
        <v>1.4619999999999999E-2</v>
      </c>
      <c r="C773" s="1">
        <v>1.4619999999999999E-2</v>
      </c>
      <c r="D773" s="2" t="s">
        <v>680</v>
      </c>
      <c r="E773">
        <v>1</v>
      </c>
      <c r="F773" s="2" t="s">
        <v>1</v>
      </c>
      <c r="G773">
        <v>1</v>
      </c>
      <c r="H773">
        <v>6.5</v>
      </c>
      <c r="I773" s="2" t="s">
        <v>0</v>
      </c>
      <c r="J773">
        <v>1</v>
      </c>
      <c r="K773" s="2" t="s">
        <v>2</v>
      </c>
      <c r="L773">
        <v>1</v>
      </c>
      <c r="M773">
        <v>6.5</v>
      </c>
      <c r="N773" s="2" t="s">
        <v>1004</v>
      </c>
      <c r="O773" t="str">
        <f>D773&amp;"-"&amp;E773&amp;"-"&amp;F773&amp;"-"&amp;G773&amp;"-"&amp;H773</f>
        <v>E-1-f-1-6.5</v>
      </c>
      <c r="P773" t="str">
        <f>I773&amp;"-"&amp;J773&amp;"-"&amp;K773&amp;"-"&amp;L773&amp;"-"&amp;M773</f>
        <v>X-1-e-1-6.5</v>
      </c>
      <c r="Q773">
        <f>A773+R773</f>
        <v>20197.435727</v>
      </c>
      <c r="R773">
        <f>_xlfn.IFNA(VLOOKUP(P773,PGOPHER!A$2:G$181,7,FALSE),_xlfn.IFNA(VLOOKUP(P773,en!A$2:I$768,7,FALSE),-10000))</f>
        <v>1322.1558170000001</v>
      </c>
      <c r="S773">
        <f>IF(O773=O772,Q772+S772,Q773)</f>
        <v>60592.347716000004</v>
      </c>
      <c r="T773">
        <f>IF(O773=O772,T772+1,1)</f>
        <v>3</v>
      </c>
      <c r="U773">
        <f>IF(O773=O774,"",S773/T773)</f>
        <v>20197.449238666668</v>
      </c>
      <c r="V773" t="str">
        <f>IF(U773="","",IF(ABS(Q773-U773)&gt;V$1,"error",""))</f>
        <v/>
      </c>
    </row>
    <row r="774" spans="1:22" x14ac:dyDescent="0.55000000000000004">
      <c r="A774">
        <v>19045.387050000001</v>
      </c>
      <c r="B774" s="1">
        <v>1.4999999999999999E-2</v>
      </c>
      <c r="C774" s="1">
        <v>1.4999999999999999E-2</v>
      </c>
      <c r="D774" s="2" t="s">
        <v>680</v>
      </c>
      <c r="E774">
        <v>2</v>
      </c>
      <c r="F774" s="2" t="s">
        <v>2</v>
      </c>
      <c r="G774">
        <v>0</v>
      </c>
      <c r="H774">
        <v>6.5</v>
      </c>
      <c r="I774" s="2" t="s">
        <v>0</v>
      </c>
      <c r="J774">
        <v>1</v>
      </c>
      <c r="K774" s="2" t="s">
        <v>2</v>
      </c>
      <c r="L774">
        <v>0</v>
      </c>
      <c r="M774">
        <v>5.5</v>
      </c>
      <c r="N774" s="2" t="s">
        <v>748</v>
      </c>
      <c r="O774" t="str">
        <f>D774&amp;"-"&amp;E774&amp;"-"&amp;F774&amp;"-"&amp;G774&amp;"-"&amp;H774</f>
        <v>E-2-e-0-6.5</v>
      </c>
      <c r="P774" t="str">
        <f>I774&amp;"-"&amp;J774&amp;"-"&amp;K774&amp;"-"&amp;L774&amp;"-"&amp;M774</f>
        <v>X-1-e-0-5.5</v>
      </c>
      <c r="Q774">
        <f>A774+R774</f>
        <v>19154.577225000001</v>
      </c>
      <c r="R774">
        <f>_xlfn.IFNA(VLOOKUP(P774,PGOPHER!A$2:G$181,7,FALSE),_xlfn.IFNA(VLOOKUP(P774,en!A$2:I$768,7,FALSE),-10000))</f>
        <v>109.190175</v>
      </c>
      <c r="S774">
        <f>IF(O774=O773,Q773+S773,Q774)</f>
        <v>19154.577225000001</v>
      </c>
      <c r="T774">
        <f>IF(O774=O773,T773+1,1)</f>
        <v>1</v>
      </c>
      <c r="U774" t="str">
        <f>IF(O774=O775,"",S774/T774)</f>
        <v/>
      </c>
      <c r="V774" t="str">
        <f>IF(U774="","",IF(ABS(Q774-U774)&gt;V$1,"error",""))</f>
        <v/>
      </c>
    </row>
    <row r="775" spans="1:22" x14ac:dyDescent="0.55000000000000004">
      <c r="A775">
        <v>18951.085620000002</v>
      </c>
      <c r="B775" s="1">
        <v>5.0000000000000001E-3</v>
      </c>
      <c r="C775" s="1">
        <v>5.0000000000000001E-3</v>
      </c>
      <c r="D775" s="2" t="s">
        <v>680</v>
      </c>
      <c r="E775">
        <v>2</v>
      </c>
      <c r="F775" s="2" t="s">
        <v>2</v>
      </c>
      <c r="G775">
        <v>0</v>
      </c>
      <c r="H775">
        <v>6.5</v>
      </c>
      <c r="I775" s="2" t="s">
        <v>0</v>
      </c>
      <c r="J775">
        <v>1</v>
      </c>
      <c r="K775" s="2" t="s">
        <v>2</v>
      </c>
      <c r="L775">
        <v>0</v>
      </c>
      <c r="M775">
        <v>7.5</v>
      </c>
      <c r="N775" s="2" t="s">
        <v>749</v>
      </c>
      <c r="O775" t="str">
        <f>D775&amp;"-"&amp;E775&amp;"-"&amp;F775&amp;"-"&amp;G775&amp;"-"&amp;H775</f>
        <v>E-2-e-0-6.5</v>
      </c>
      <c r="P775" t="str">
        <f>I775&amp;"-"&amp;J775&amp;"-"&amp;K775&amp;"-"&amp;L775&amp;"-"&amp;M775</f>
        <v>X-1-e-0-7.5</v>
      </c>
      <c r="Q775">
        <f>A775+R775</f>
        <v>19154.565143000003</v>
      </c>
      <c r="R775">
        <f>_xlfn.IFNA(VLOOKUP(P775,PGOPHER!A$2:G$181,7,FALSE),_xlfn.IFNA(VLOOKUP(P775,en!A$2:I$768,7,FALSE),-10000))</f>
        <v>203.479523</v>
      </c>
      <c r="S775">
        <f>IF(O775=O774,Q774+S774,Q775)</f>
        <v>38309.154450000002</v>
      </c>
      <c r="T775">
        <f>IF(O775=O774,T774+1,1)</f>
        <v>2</v>
      </c>
      <c r="U775" t="str">
        <f>IF(O775=O776,"",S775/T775)</f>
        <v/>
      </c>
      <c r="V775" t="str">
        <f>IF(U775="","",IF(ABS(Q775-U775)&gt;V$1,"error",""))</f>
        <v/>
      </c>
    </row>
    <row r="776" spans="1:22" x14ac:dyDescent="0.55000000000000004">
      <c r="A776">
        <v>18952.012030000002</v>
      </c>
      <c r="B776" s="1">
        <v>5.0000000000000001E-3</v>
      </c>
      <c r="C776" s="1">
        <v>5.0000000000000001E-3</v>
      </c>
      <c r="D776" s="2" t="s">
        <v>680</v>
      </c>
      <c r="E776">
        <v>2</v>
      </c>
      <c r="F776" s="2" t="s">
        <v>2</v>
      </c>
      <c r="G776">
        <v>0</v>
      </c>
      <c r="H776">
        <v>6.5</v>
      </c>
      <c r="I776" s="2" t="s">
        <v>0</v>
      </c>
      <c r="J776">
        <v>2</v>
      </c>
      <c r="K776" s="2" t="s">
        <v>1</v>
      </c>
      <c r="L776">
        <v>0</v>
      </c>
      <c r="M776">
        <v>6.5</v>
      </c>
      <c r="N776" s="2" t="s">
        <v>750</v>
      </c>
      <c r="O776" t="str">
        <f>D776&amp;"-"&amp;E776&amp;"-"&amp;F776&amp;"-"&amp;G776&amp;"-"&amp;H776</f>
        <v>E-2-e-0-6.5</v>
      </c>
      <c r="P776" t="str">
        <f>I776&amp;"-"&amp;J776&amp;"-"&amp;K776&amp;"-"&amp;L776&amp;"-"&amp;M776</f>
        <v>X-2-f-0-6.5</v>
      </c>
      <c r="Q776">
        <f>A776+R776</f>
        <v>19154.567641000001</v>
      </c>
      <c r="R776">
        <f>_xlfn.IFNA(VLOOKUP(P776,PGOPHER!A$2:G$181,7,FALSE),_xlfn.IFNA(VLOOKUP(P776,en!A$2:I$768,7,FALSE),-10000))</f>
        <v>202.555611</v>
      </c>
      <c r="S776">
        <f>IF(O776=O775,Q775+S775,Q776)</f>
        <v>57463.719593000002</v>
      </c>
      <c r="T776">
        <f>IF(O776=O775,T775+1,1)</f>
        <v>3</v>
      </c>
      <c r="U776">
        <f>IF(O776=O777,"",S776/T776)</f>
        <v>19154.573197666668</v>
      </c>
      <c r="V776" t="str">
        <f>IF(U776="","",IF(ABS(Q776-U776)&gt;V$1,"error",""))</f>
        <v/>
      </c>
    </row>
    <row r="777" spans="1:22" x14ac:dyDescent="0.55000000000000004">
      <c r="A777">
        <v>19037.689999999999</v>
      </c>
      <c r="B777" s="1">
        <v>5.0000000000000001E-3</v>
      </c>
      <c r="C777" s="1">
        <v>5.0000000000000001E-3</v>
      </c>
      <c r="D777" s="2" t="s">
        <v>680</v>
      </c>
      <c r="E777">
        <v>2</v>
      </c>
      <c r="F777" s="2" t="s">
        <v>2</v>
      </c>
      <c r="G777">
        <v>1</v>
      </c>
      <c r="H777">
        <v>6.5</v>
      </c>
      <c r="I777" s="2" t="s">
        <v>0</v>
      </c>
      <c r="J777">
        <v>1</v>
      </c>
      <c r="K777" s="2" t="s">
        <v>2</v>
      </c>
      <c r="L777">
        <v>1</v>
      </c>
      <c r="M777">
        <v>5.5</v>
      </c>
      <c r="N777" s="2" t="s">
        <v>1005</v>
      </c>
      <c r="O777" t="str">
        <f>D777&amp;"-"&amp;E777&amp;"-"&amp;F777&amp;"-"&amp;G777&amp;"-"&amp;H777</f>
        <v>E-2-e-1-6.5</v>
      </c>
      <c r="P777" t="str">
        <f>I777&amp;"-"&amp;J777&amp;"-"&amp;K777&amp;"-"&amp;L777&amp;"-"&amp;M777</f>
        <v>X-1-e-1-5.5</v>
      </c>
      <c r="Q777">
        <f>A777+R777</f>
        <v>20317.264564999998</v>
      </c>
      <c r="R777">
        <f>_xlfn.IFNA(VLOOKUP(P777,PGOPHER!A$2:G$181,7,FALSE),_xlfn.IFNA(VLOOKUP(P777,en!A$2:I$768,7,FALSE),-10000))</f>
        <v>1279.5745649999999</v>
      </c>
      <c r="S777">
        <f>IF(O777=O776,Q776+S776,Q777)</f>
        <v>20317.264564999998</v>
      </c>
      <c r="T777">
        <f>IF(O777=O776,T776+1,1)</f>
        <v>1</v>
      </c>
      <c r="U777" t="str">
        <f>IF(O777=O778,"",S777/T777)</f>
        <v/>
      </c>
      <c r="V777" t="str">
        <f>IF(U777="","",IF(ABS(Q777-U777)&gt;V$1,"error",""))</f>
        <v/>
      </c>
    </row>
    <row r="778" spans="1:22" x14ac:dyDescent="0.55000000000000004">
      <c r="A778">
        <v>18945.483250000001</v>
      </c>
      <c r="B778" s="1">
        <v>5.0000000000000001E-3</v>
      </c>
      <c r="C778" s="1">
        <v>5.0000000000000001E-3</v>
      </c>
      <c r="D778" s="2" t="s">
        <v>680</v>
      </c>
      <c r="E778">
        <v>2</v>
      </c>
      <c r="F778" s="2" t="s">
        <v>2</v>
      </c>
      <c r="G778">
        <v>1</v>
      </c>
      <c r="H778">
        <v>6.5</v>
      </c>
      <c r="I778" s="2" t="s">
        <v>0</v>
      </c>
      <c r="J778">
        <v>1</v>
      </c>
      <c r="K778" s="2" t="s">
        <v>2</v>
      </c>
      <c r="L778">
        <v>1</v>
      </c>
      <c r="M778">
        <v>7.5</v>
      </c>
      <c r="N778" s="2" t="s">
        <v>1006</v>
      </c>
      <c r="O778" t="str">
        <f>D778&amp;"-"&amp;E778&amp;"-"&amp;F778&amp;"-"&amp;G778&amp;"-"&amp;H778</f>
        <v>E-2-e-1-6.5</v>
      </c>
      <c r="P778" t="str">
        <f>I778&amp;"-"&amp;J778&amp;"-"&amp;K778&amp;"-"&amp;L778&amp;"-"&amp;M778</f>
        <v>X-1-e-1-7.5</v>
      </c>
      <c r="Q778">
        <f>A778+R778</f>
        <v>20317.257346000002</v>
      </c>
      <c r="R778">
        <f>_xlfn.IFNA(VLOOKUP(P778,PGOPHER!A$2:G$181,7,FALSE),_xlfn.IFNA(VLOOKUP(P778,en!A$2:I$768,7,FALSE),-10000))</f>
        <v>1371.7740960000001</v>
      </c>
      <c r="S778">
        <f>IF(O778=O777,Q777+S777,Q778)</f>
        <v>40634.529129999995</v>
      </c>
      <c r="T778">
        <f>IF(O778=O777,T777+1,1)</f>
        <v>2</v>
      </c>
      <c r="U778" t="str">
        <f>IF(O778=O779,"",S778/T778)</f>
        <v/>
      </c>
      <c r="V778" t="str">
        <f>IF(U778="","",IF(ABS(Q778-U778)&gt;V$1,"error",""))</f>
        <v/>
      </c>
    </row>
    <row r="779" spans="1:22" x14ac:dyDescent="0.55000000000000004">
      <c r="A779">
        <v>18946.37687</v>
      </c>
      <c r="B779" s="1">
        <v>5.0000000000000001E-3</v>
      </c>
      <c r="C779" s="1">
        <v>5.0000000000000001E-3</v>
      </c>
      <c r="D779" s="2" t="s">
        <v>680</v>
      </c>
      <c r="E779">
        <v>2</v>
      </c>
      <c r="F779" s="2" t="s">
        <v>2</v>
      </c>
      <c r="G779">
        <v>1</v>
      </c>
      <c r="H779">
        <v>6.5</v>
      </c>
      <c r="I779" s="2" t="s">
        <v>0</v>
      </c>
      <c r="J779">
        <v>2</v>
      </c>
      <c r="K779" s="2" t="s">
        <v>1</v>
      </c>
      <c r="L779">
        <v>1</v>
      </c>
      <c r="M779">
        <v>6.5</v>
      </c>
      <c r="N779" s="2" t="s">
        <v>1007</v>
      </c>
      <c r="O779" t="str">
        <f>D779&amp;"-"&amp;E779&amp;"-"&amp;F779&amp;"-"&amp;G779&amp;"-"&amp;H779</f>
        <v>E-2-e-1-6.5</v>
      </c>
      <c r="P779" t="str">
        <f>I779&amp;"-"&amp;J779&amp;"-"&amp;K779&amp;"-"&amp;L779&amp;"-"&amp;M779</f>
        <v>X-2-f-1-6.5</v>
      </c>
      <c r="Q779">
        <f>A779+R779</f>
        <v>20317.257390999999</v>
      </c>
      <c r="R779">
        <f>_xlfn.IFNA(VLOOKUP(P779,PGOPHER!A$2:G$181,7,FALSE),_xlfn.IFNA(VLOOKUP(P779,en!A$2:I$768,7,FALSE),-10000))</f>
        <v>1370.880521</v>
      </c>
      <c r="S779">
        <f>IF(O779=O778,Q778+S778,Q779)</f>
        <v>60951.786475999994</v>
      </c>
      <c r="T779">
        <f>IF(O779=O778,T778+1,1)</f>
        <v>3</v>
      </c>
      <c r="U779">
        <f>IF(O779=O780,"",S779/T779)</f>
        <v>20317.262158666665</v>
      </c>
      <c r="V779" t="str">
        <f>IF(U779="","",IF(ABS(Q779-U779)&gt;V$1,"error",""))</f>
        <v/>
      </c>
    </row>
    <row r="780" spans="1:22" x14ac:dyDescent="0.55000000000000004">
      <c r="A780">
        <v>19002.869620000001</v>
      </c>
      <c r="B780" s="1">
        <v>2.3E-2</v>
      </c>
      <c r="C780" s="1">
        <v>2.3E-2</v>
      </c>
      <c r="D780" s="2" t="s">
        <v>680</v>
      </c>
      <c r="E780">
        <v>2</v>
      </c>
      <c r="F780" s="2" t="s">
        <v>1</v>
      </c>
      <c r="G780">
        <v>0</v>
      </c>
      <c r="H780">
        <v>6.5</v>
      </c>
      <c r="I780" s="2" t="s">
        <v>0</v>
      </c>
      <c r="J780">
        <v>2</v>
      </c>
      <c r="K780" s="2" t="s">
        <v>1</v>
      </c>
      <c r="L780">
        <v>0</v>
      </c>
      <c r="M780">
        <v>5.5</v>
      </c>
      <c r="N780" s="2" t="s">
        <v>751</v>
      </c>
      <c r="O780" t="str">
        <f>D780&amp;"-"&amp;E780&amp;"-"&amp;F780&amp;"-"&amp;G780&amp;"-"&amp;H780</f>
        <v>E-2-f-0-6.5</v>
      </c>
      <c r="P780" t="str">
        <f>I780&amp;"-"&amp;J780&amp;"-"&amp;K780&amp;"-"&amp;L780&amp;"-"&amp;M780</f>
        <v>X-2-f-0-5.5</v>
      </c>
      <c r="Q780">
        <f>A780+R780</f>
        <v>19154.803185000001</v>
      </c>
      <c r="R780">
        <f>_xlfn.IFNA(VLOOKUP(P780,PGOPHER!A$2:G$181,7,FALSE),_xlfn.IFNA(VLOOKUP(P780,en!A$2:I$768,7,FALSE),-10000))</f>
        <v>151.93356499999999</v>
      </c>
      <c r="S780">
        <f>IF(O780=O779,Q779+S779,Q780)</f>
        <v>19154.803185000001</v>
      </c>
      <c r="T780">
        <f>IF(O780=O779,T779+1,1)</f>
        <v>1</v>
      </c>
      <c r="U780" t="str">
        <f>IF(O780=O781,"",S780/T780)</f>
        <v/>
      </c>
      <c r="V780" t="str">
        <f>IF(U780="","",IF(ABS(Q780-U780)&gt;V$1,"error",""))</f>
        <v/>
      </c>
    </row>
    <row r="781" spans="1:22" x14ac:dyDescent="0.55000000000000004">
      <c r="A781">
        <v>18894.43936</v>
      </c>
      <c r="B781" s="1">
        <v>5.0000000000000001E-3</v>
      </c>
      <c r="C781" s="1">
        <v>5.0000000000000001E-3</v>
      </c>
      <c r="D781" s="2" t="s">
        <v>680</v>
      </c>
      <c r="E781">
        <v>2</v>
      </c>
      <c r="F781" s="2" t="s">
        <v>1</v>
      </c>
      <c r="G781">
        <v>0</v>
      </c>
      <c r="H781">
        <v>6.5</v>
      </c>
      <c r="I781" s="2" t="s">
        <v>0</v>
      </c>
      <c r="J781">
        <v>2</v>
      </c>
      <c r="K781" s="2" t="s">
        <v>1</v>
      </c>
      <c r="L781">
        <v>0</v>
      </c>
      <c r="M781">
        <v>7.5</v>
      </c>
      <c r="N781" s="2" t="s">
        <v>752</v>
      </c>
      <c r="O781" t="str">
        <f>D781&amp;"-"&amp;E781&amp;"-"&amp;F781&amp;"-"&amp;G781&amp;"-"&amp;H781</f>
        <v>E-2-f-0-6.5</v>
      </c>
      <c r="P781" t="str">
        <f>I781&amp;"-"&amp;J781&amp;"-"&amp;K781&amp;"-"&amp;L781&amp;"-"&amp;M781</f>
        <v>X-2-f-0-7.5</v>
      </c>
      <c r="Q781">
        <f>A781+R781</f>
        <v>19154.791491</v>
      </c>
      <c r="R781">
        <f>_xlfn.IFNA(VLOOKUP(P781,PGOPHER!A$2:G$181,7,FALSE),_xlfn.IFNA(VLOOKUP(P781,en!A$2:I$768,7,FALSE),-10000))</f>
        <v>260.35213099999999</v>
      </c>
      <c r="S781">
        <f>IF(O781=O780,Q780+S780,Q781)</f>
        <v>38309.606370000001</v>
      </c>
      <c r="T781">
        <f>IF(O781=O780,T780+1,1)</f>
        <v>2</v>
      </c>
      <c r="U781" t="str">
        <f>IF(O781=O782,"",S781/T781)</f>
        <v/>
      </c>
      <c r="V781" t="str">
        <f>IF(U781="","",IF(ABS(Q781-U781)&gt;V$1,"error",""))</f>
        <v/>
      </c>
    </row>
    <row r="782" spans="1:22" x14ac:dyDescent="0.55000000000000004">
      <c r="A782">
        <v>19002.06206</v>
      </c>
      <c r="B782" s="1">
        <v>1.4999999999999999E-2</v>
      </c>
      <c r="C782" s="1">
        <v>1.4999999999999999E-2</v>
      </c>
      <c r="D782" s="2" t="s">
        <v>680</v>
      </c>
      <c r="E782">
        <v>2</v>
      </c>
      <c r="F782" s="2" t="s">
        <v>1</v>
      </c>
      <c r="G782">
        <v>0</v>
      </c>
      <c r="H782">
        <v>6.5</v>
      </c>
      <c r="I782" s="2" t="s">
        <v>0</v>
      </c>
      <c r="J782">
        <v>1</v>
      </c>
      <c r="K782" s="2" t="s">
        <v>2</v>
      </c>
      <c r="L782">
        <v>0</v>
      </c>
      <c r="M782">
        <v>6.5</v>
      </c>
      <c r="N782" s="2" t="s">
        <v>753</v>
      </c>
      <c r="O782" t="str">
        <f>D782&amp;"-"&amp;E782&amp;"-"&amp;F782&amp;"-"&amp;G782&amp;"-"&amp;H782</f>
        <v>E-2-f-0-6.5</v>
      </c>
      <c r="P782" t="str">
        <f>I782&amp;"-"&amp;J782&amp;"-"&amp;K782&amp;"-"&amp;L782&amp;"-"&amp;M782</f>
        <v>X-1-e-0-6.5</v>
      </c>
      <c r="Q782">
        <f>A782+R782</f>
        <v>19154.797686999998</v>
      </c>
      <c r="R782">
        <f>_xlfn.IFNA(VLOOKUP(P782,PGOPHER!A$2:G$181,7,FALSE),_xlfn.IFNA(VLOOKUP(P782,en!A$2:I$768,7,FALSE),-10000))</f>
        <v>152.73562699999999</v>
      </c>
      <c r="S782">
        <f>IF(O782=O781,Q781+S781,Q782)</f>
        <v>57464.397861000005</v>
      </c>
      <c r="T782">
        <f>IF(O782=O781,T781+1,1)</f>
        <v>3</v>
      </c>
      <c r="U782">
        <f>IF(O782=O783,"",S782/T782)</f>
        <v>19154.799287000002</v>
      </c>
      <c r="V782" t="str">
        <f>IF(U782="","",IF(ABS(Q782-U782)&gt;V$1,"error",""))</f>
        <v/>
      </c>
    </row>
    <row r="783" spans="1:22" x14ac:dyDescent="0.55000000000000004">
      <c r="A783">
        <v>18995.288909999999</v>
      </c>
      <c r="B783" s="1">
        <v>5.0000000000000001E-3</v>
      </c>
      <c r="C783" s="1">
        <v>5.0000000000000001E-3</v>
      </c>
      <c r="D783" s="2" t="s">
        <v>680</v>
      </c>
      <c r="E783">
        <v>2</v>
      </c>
      <c r="F783" s="2" t="s">
        <v>1</v>
      </c>
      <c r="G783">
        <v>1</v>
      </c>
      <c r="H783">
        <v>6.5</v>
      </c>
      <c r="I783" s="2" t="s">
        <v>0</v>
      </c>
      <c r="J783">
        <v>1</v>
      </c>
      <c r="K783" s="2" t="s">
        <v>2</v>
      </c>
      <c r="L783">
        <v>1</v>
      </c>
      <c r="M783">
        <v>6.5</v>
      </c>
      <c r="N783" s="2" t="s">
        <v>1008</v>
      </c>
      <c r="O783" t="str">
        <f>D783&amp;"-"&amp;E783&amp;"-"&amp;F783&amp;"-"&amp;G783&amp;"-"&amp;H783</f>
        <v>E-2-f-1-6.5</v>
      </c>
      <c r="P783" t="str">
        <f>I783&amp;"-"&amp;J783&amp;"-"&amp;K783&amp;"-"&amp;L783&amp;"-"&amp;M783</f>
        <v>X-1-e-1-6.5</v>
      </c>
      <c r="Q783">
        <f>A783+R783</f>
        <v>20317.444726999998</v>
      </c>
      <c r="R783">
        <f>_xlfn.IFNA(VLOOKUP(P783,PGOPHER!A$2:G$181,7,FALSE),_xlfn.IFNA(VLOOKUP(P783,en!A$2:I$768,7,FALSE),-10000))</f>
        <v>1322.1558170000001</v>
      </c>
      <c r="S783">
        <f>IF(O783=O782,Q782+S782,Q783)</f>
        <v>20317.444726999998</v>
      </c>
      <c r="T783">
        <f>IF(O783=O782,T782+1,1)</f>
        <v>1</v>
      </c>
      <c r="U783" t="str">
        <f>IF(O783=O784,"",S783/T783)</f>
        <v/>
      </c>
      <c r="V783" t="str">
        <f>IF(U783="","",IF(ABS(Q783-U783)&gt;V$1,"error",""))</f>
        <v/>
      </c>
    </row>
    <row r="784" spans="1:22" x14ac:dyDescent="0.55000000000000004">
      <c r="A784">
        <v>18996.06337</v>
      </c>
      <c r="B784" s="1">
        <v>5.0000000000000001E-3</v>
      </c>
      <c r="C784" s="1">
        <v>5.0000000000000001E-3</v>
      </c>
      <c r="D784" s="2" t="s">
        <v>680</v>
      </c>
      <c r="E784">
        <v>2</v>
      </c>
      <c r="F784" s="2" t="s">
        <v>1</v>
      </c>
      <c r="G784">
        <v>1</v>
      </c>
      <c r="H784">
        <v>6.5</v>
      </c>
      <c r="I784" s="2" t="s">
        <v>0</v>
      </c>
      <c r="J784">
        <v>2</v>
      </c>
      <c r="K784" s="2" t="s">
        <v>1</v>
      </c>
      <c r="L784">
        <v>1</v>
      </c>
      <c r="M784">
        <v>5.5</v>
      </c>
      <c r="N784" s="2" t="s">
        <v>1009</v>
      </c>
      <c r="O784" t="str">
        <f>D784&amp;"-"&amp;E784&amp;"-"&amp;F784&amp;"-"&amp;G784&amp;"-"&amp;H784</f>
        <v>E-2-f-1-6.5</v>
      </c>
      <c r="P784" t="str">
        <f>I784&amp;"-"&amp;J784&amp;"-"&amp;K784&amp;"-"&amp;L784&amp;"-"&amp;M784</f>
        <v>X-2-f-1-5.5</v>
      </c>
      <c r="Q784">
        <f>A784+R784</f>
        <v>20317.444489000001</v>
      </c>
      <c r="R784">
        <f>_xlfn.IFNA(VLOOKUP(P784,PGOPHER!A$2:G$181,7,FALSE),_xlfn.IFNA(VLOOKUP(P784,en!A$2:I$768,7,FALSE),-10000))</f>
        <v>1321.3811189999999</v>
      </c>
      <c r="S784">
        <f>IF(O784=O783,Q783+S783,Q784)</f>
        <v>40634.889453999996</v>
      </c>
      <c r="T784">
        <f>IF(O784=O783,T783+1,1)</f>
        <v>2</v>
      </c>
      <c r="U784" t="str">
        <f>IF(O784=O785,"",S784/T784)</f>
        <v/>
      </c>
      <c r="V784" t="str">
        <f>IF(U784="","",IF(ABS(Q784-U784)&gt;V$1,"error",""))</f>
        <v/>
      </c>
    </row>
    <row r="785" spans="1:22" x14ac:dyDescent="0.55000000000000004">
      <c r="A785">
        <v>18890.039830000002</v>
      </c>
      <c r="B785" s="1">
        <v>6.7999999999999996E-3</v>
      </c>
      <c r="C785" s="1">
        <v>6.7999999999999996E-3</v>
      </c>
      <c r="D785" s="2" t="s">
        <v>680</v>
      </c>
      <c r="E785">
        <v>2</v>
      </c>
      <c r="F785" s="2" t="s">
        <v>1</v>
      </c>
      <c r="G785">
        <v>1</v>
      </c>
      <c r="H785">
        <v>6.5</v>
      </c>
      <c r="I785" s="2" t="s">
        <v>0</v>
      </c>
      <c r="J785">
        <v>2</v>
      </c>
      <c r="K785" s="2" t="s">
        <v>1</v>
      </c>
      <c r="L785">
        <v>1</v>
      </c>
      <c r="M785">
        <v>7.5</v>
      </c>
      <c r="N785" s="2" t="s">
        <v>1010</v>
      </c>
      <c r="O785" t="str">
        <f>D785&amp;"-"&amp;E785&amp;"-"&amp;F785&amp;"-"&amp;G785&amp;"-"&amp;H785</f>
        <v>E-2-f-1-6.5</v>
      </c>
      <c r="P785" t="str">
        <f>I785&amp;"-"&amp;J785&amp;"-"&amp;K785&amp;"-"&amp;L785&amp;"-"&amp;M785</f>
        <v>X-2-f-1-7.5</v>
      </c>
      <c r="Q785">
        <f>A785+R785</f>
        <v>20317.436338000003</v>
      </c>
      <c r="R785">
        <f>_xlfn.IFNA(VLOOKUP(P785,PGOPHER!A$2:G$181,7,FALSE),_xlfn.IFNA(VLOOKUP(P785,en!A$2:I$768,7,FALSE),-10000))</f>
        <v>1427.396508</v>
      </c>
      <c r="S785">
        <f>IF(O785=O784,Q784+S784,Q785)</f>
        <v>60952.333942999998</v>
      </c>
      <c r="T785">
        <f>IF(O785=O784,T784+1,1)</f>
        <v>3</v>
      </c>
      <c r="U785">
        <f>IF(O785=O786,"",S785/T785)</f>
        <v>20317.444647666667</v>
      </c>
      <c r="V785" t="str">
        <f>IF(U785="","",IF(ABS(Q785-U785)&gt;V$1,"error",""))</f>
        <v/>
      </c>
    </row>
    <row r="786" spans="1:22" x14ac:dyDescent="0.55000000000000004">
      <c r="A786">
        <v>18938.538990000001</v>
      </c>
      <c r="B786" s="1">
        <v>5.5E-2</v>
      </c>
      <c r="C786" s="1">
        <v>5.5E-2</v>
      </c>
      <c r="D786" s="2" t="s">
        <v>680</v>
      </c>
      <c r="E786">
        <v>1</v>
      </c>
      <c r="F786" s="2" t="s">
        <v>2</v>
      </c>
      <c r="G786">
        <v>0</v>
      </c>
      <c r="H786">
        <v>7.5</v>
      </c>
      <c r="I786" s="2" t="s">
        <v>0</v>
      </c>
      <c r="J786">
        <v>1</v>
      </c>
      <c r="K786" s="2" t="s">
        <v>2</v>
      </c>
      <c r="L786">
        <v>0</v>
      </c>
      <c r="M786">
        <v>6.5</v>
      </c>
      <c r="N786" s="2" t="s">
        <v>754</v>
      </c>
      <c r="O786" t="str">
        <f>D786&amp;"-"&amp;E786&amp;"-"&amp;F786&amp;"-"&amp;G786&amp;"-"&amp;H786</f>
        <v>E-1-e-0-7.5</v>
      </c>
      <c r="P786" t="str">
        <f>I786&amp;"-"&amp;J786&amp;"-"&amp;K786&amp;"-"&amp;L786&amp;"-"&amp;M786</f>
        <v>X-1-e-0-6.5</v>
      </c>
      <c r="Q786">
        <f>A786+R786</f>
        <v>19091.274616999999</v>
      </c>
      <c r="R786">
        <f>_xlfn.IFNA(VLOOKUP(P786,PGOPHER!A$2:G$181,7,FALSE),_xlfn.IFNA(VLOOKUP(P786,en!A$2:I$768,7,FALSE),-10000))</f>
        <v>152.73562699999999</v>
      </c>
      <c r="S786">
        <f>IF(O786=O785,Q785+S785,Q786)</f>
        <v>19091.274616999999</v>
      </c>
      <c r="T786">
        <f>IF(O786=O785,T785+1,1)</f>
        <v>1</v>
      </c>
      <c r="U786" t="str">
        <f>IF(O786=O787,"",S786/T786)</f>
        <v/>
      </c>
      <c r="V786" t="str">
        <f>IF(U786="","",IF(ABS(Q786-U786)&gt;V$1,"error",""))</f>
        <v/>
      </c>
    </row>
    <row r="787" spans="1:22" x14ac:dyDescent="0.55000000000000004">
      <c r="A787">
        <v>18829.871309999999</v>
      </c>
      <c r="B787" s="1">
        <v>0.105</v>
      </c>
      <c r="C787" s="1">
        <v>0.105</v>
      </c>
      <c r="D787" s="2" t="s">
        <v>680</v>
      </c>
      <c r="E787">
        <v>1</v>
      </c>
      <c r="F787" s="2" t="s">
        <v>2</v>
      </c>
      <c r="G787">
        <v>0</v>
      </c>
      <c r="H787">
        <v>7.5</v>
      </c>
      <c r="I787" s="2" t="s">
        <v>0</v>
      </c>
      <c r="J787">
        <v>1</v>
      </c>
      <c r="K787" s="2" t="s">
        <v>2</v>
      </c>
      <c r="L787">
        <v>0</v>
      </c>
      <c r="M787">
        <v>8.5</v>
      </c>
      <c r="N787" s="2" t="s">
        <v>755</v>
      </c>
      <c r="O787" t="str">
        <f>D787&amp;"-"&amp;E787&amp;"-"&amp;F787&amp;"-"&amp;G787&amp;"-"&amp;H787</f>
        <v>E-1-e-0-7.5</v>
      </c>
      <c r="P787" t="str">
        <f>I787&amp;"-"&amp;J787&amp;"-"&amp;K787&amp;"-"&amp;L787&amp;"-"&amp;M787</f>
        <v>X-1-e-0-8.5</v>
      </c>
      <c r="Q787">
        <f>A787+R787</f>
        <v>19091.269366999997</v>
      </c>
      <c r="R787">
        <f>_xlfn.IFNA(VLOOKUP(P787,PGOPHER!A$2:G$181,7,FALSE),_xlfn.IFNA(VLOOKUP(P787,en!A$2:I$768,7,FALSE),-10000))</f>
        <v>261.39805699999999</v>
      </c>
      <c r="S787">
        <f>IF(O787=O786,Q786+S786,Q787)</f>
        <v>38182.549233999998</v>
      </c>
      <c r="T787">
        <f>IF(O787=O786,T786+1,1)</f>
        <v>2</v>
      </c>
      <c r="U787" t="str">
        <f>IF(O787=O788,"",S787/T787)</f>
        <v/>
      </c>
      <c r="V787" t="str">
        <f>IF(U787="","",IF(ABS(Q787-U787)&gt;V$1,"error",""))</f>
        <v/>
      </c>
    </row>
    <row r="788" spans="1:22" x14ac:dyDescent="0.55000000000000004">
      <c r="A788">
        <v>18830.91876</v>
      </c>
      <c r="B788" s="1">
        <v>0.105</v>
      </c>
      <c r="C788" s="1">
        <v>0.105</v>
      </c>
      <c r="D788" s="2" t="s">
        <v>680</v>
      </c>
      <c r="E788">
        <v>1</v>
      </c>
      <c r="F788" s="2" t="s">
        <v>2</v>
      </c>
      <c r="G788">
        <v>0</v>
      </c>
      <c r="H788">
        <v>7.5</v>
      </c>
      <c r="I788" s="2" t="s">
        <v>0</v>
      </c>
      <c r="J788">
        <v>2</v>
      </c>
      <c r="K788" s="2" t="s">
        <v>1</v>
      </c>
      <c r="L788">
        <v>0</v>
      </c>
      <c r="M788">
        <v>7.5</v>
      </c>
      <c r="N788" s="2" t="s">
        <v>756</v>
      </c>
      <c r="O788" t="str">
        <f>D788&amp;"-"&amp;E788&amp;"-"&amp;F788&amp;"-"&amp;G788&amp;"-"&amp;H788</f>
        <v>E-1-e-0-7.5</v>
      </c>
      <c r="P788" t="str">
        <f>I788&amp;"-"&amp;J788&amp;"-"&amp;K788&amp;"-"&amp;L788&amp;"-"&amp;M788</f>
        <v>X-2-f-0-7.5</v>
      </c>
      <c r="Q788">
        <f>A788+R788</f>
        <v>19091.270891</v>
      </c>
      <c r="R788">
        <f>_xlfn.IFNA(VLOOKUP(P788,PGOPHER!A$2:G$181,7,FALSE),_xlfn.IFNA(VLOOKUP(P788,en!A$2:I$768,7,FALSE),-10000))</f>
        <v>260.35213099999999</v>
      </c>
      <c r="S788">
        <f>IF(O788=O787,Q787+S787,Q788)</f>
        <v>57273.818600999992</v>
      </c>
      <c r="T788">
        <f>IF(O788=O787,T787+1,1)</f>
        <v>3</v>
      </c>
      <c r="U788">
        <f>IF(O788=O789,"",S788/T788)</f>
        <v>19091.272866999996</v>
      </c>
      <c r="V788" t="str">
        <f>IF(U788="","",IF(ABS(Q788-U788)&gt;V$1,"error",""))</f>
        <v/>
      </c>
    </row>
    <row r="789" spans="1:22" x14ac:dyDescent="0.55000000000000004">
      <c r="A789">
        <v>18821.468099999998</v>
      </c>
      <c r="B789" s="1">
        <v>5.0000000000000001E-3</v>
      </c>
      <c r="C789" s="1">
        <v>5.0000000000000001E-3</v>
      </c>
      <c r="D789" s="2" t="s">
        <v>680</v>
      </c>
      <c r="E789">
        <v>1</v>
      </c>
      <c r="F789" s="2" t="s">
        <v>2</v>
      </c>
      <c r="G789">
        <v>1</v>
      </c>
      <c r="H789">
        <v>7.5</v>
      </c>
      <c r="I789" s="2" t="s">
        <v>0</v>
      </c>
      <c r="J789">
        <v>1</v>
      </c>
      <c r="K789" s="2" t="s">
        <v>2</v>
      </c>
      <c r="L789">
        <v>1</v>
      </c>
      <c r="M789">
        <v>8.5</v>
      </c>
      <c r="N789" s="2" t="s">
        <v>1011</v>
      </c>
      <c r="O789" t="str">
        <f>D789&amp;"-"&amp;E789&amp;"-"&amp;F789&amp;"-"&amp;G789&amp;"-"&amp;H789</f>
        <v>E-1-e-1-7.5</v>
      </c>
      <c r="P789" t="str">
        <f>I789&amp;"-"&amp;J789&amp;"-"&amp;K789&amp;"-"&amp;L789&amp;"-"&amp;M789</f>
        <v>X-1-e-1-8.5</v>
      </c>
      <c r="Q789">
        <f>A789+R789</f>
        <v>20249.875755999998</v>
      </c>
      <c r="R789">
        <f>_xlfn.IFNA(VLOOKUP(P789,PGOPHER!A$2:G$181,7,FALSE),_xlfn.IFNA(VLOOKUP(P789,en!A$2:I$768,7,FALSE),-10000))</f>
        <v>1428.4076560000001</v>
      </c>
      <c r="S789">
        <f>IF(O789=O788,Q788+S788,Q789)</f>
        <v>20249.875755999998</v>
      </c>
      <c r="T789">
        <f>IF(O789=O788,T788+1,1)</f>
        <v>1</v>
      </c>
      <c r="U789" t="str">
        <f>IF(O789=O790,"",S789/T789)</f>
        <v/>
      </c>
      <c r="V789" t="str">
        <f>IF(U789="","",IF(ABS(Q789-U789)&gt;V$1,"error",""))</f>
        <v/>
      </c>
    </row>
    <row r="790" spans="1:22" x14ac:dyDescent="0.55000000000000004">
      <c r="A790">
        <v>18927.724129999999</v>
      </c>
      <c r="B790" s="1">
        <v>5.0000000000000001E-3</v>
      </c>
      <c r="C790" s="1">
        <v>5.0000000000000001E-3</v>
      </c>
      <c r="D790" s="2" t="s">
        <v>680</v>
      </c>
      <c r="E790">
        <v>1</v>
      </c>
      <c r="F790" s="2" t="s">
        <v>2</v>
      </c>
      <c r="G790">
        <v>1</v>
      </c>
      <c r="H790">
        <v>7.5</v>
      </c>
      <c r="I790" s="2" t="s">
        <v>0</v>
      </c>
      <c r="J790">
        <v>1</v>
      </c>
      <c r="K790" s="2" t="s">
        <v>2</v>
      </c>
      <c r="L790">
        <v>1</v>
      </c>
      <c r="M790">
        <v>6.5</v>
      </c>
      <c r="N790" s="2" t="s">
        <v>1012</v>
      </c>
      <c r="O790" t="str">
        <f>D790&amp;"-"&amp;E790&amp;"-"&amp;F790&amp;"-"&amp;G790&amp;"-"&amp;H790</f>
        <v>E-1-e-1-7.5</v>
      </c>
      <c r="P790" t="str">
        <f>I790&amp;"-"&amp;J790&amp;"-"&amp;K790&amp;"-"&amp;L790&amp;"-"&amp;M790</f>
        <v>X-1-e-1-6.5</v>
      </c>
      <c r="Q790">
        <f>A790+R790</f>
        <v>20249.879946999998</v>
      </c>
      <c r="R790">
        <f>_xlfn.IFNA(VLOOKUP(P790,PGOPHER!A$2:G$181,7,FALSE),_xlfn.IFNA(VLOOKUP(P790,en!A$2:I$768,7,FALSE),-10000))</f>
        <v>1322.1558170000001</v>
      </c>
      <c r="S790">
        <f>IF(O790=O789,Q789+S789,Q790)</f>
        <v>40499.751511999995</v>
      </c>
      <c r="T790">
        <f>IF(O790=O789,T789+1,1)</f>
        <v>2</v>
      </c>
      <c r="U790" t="str">
        <f>IF(O790=O791,"",S790/T790)</f>
        <v/>
      </c>
      <c r="V790" t="str">
        <f>IF(U790="","",IF(ABS(Q790-U790)&gt;V$1,"error",""))</f>
        <v/>
      </c>
    </row>
    <row r="791" spans="1:22" x14ac:dyDescent="0.55000000000000004">
      <c r="A791">
        <v>18822.48199</v>
      </c>
      <c r="B791" s="1">
        <v>5.0000000000000001E-3</v>
      </c>
      <c r="C791" s="1">
        <v>5.0000000000000001E-3</v>
      </c>
      <c r="D791" s="2" t="s">
        <v>680</v>
      </c>
      <c r="E791">
        <v>1</v>
      </c>
      <c r="F791" s="2" t="s">
        <v>2</v>
      </c>
      <c r="G791">
        <v>1</v>
      </c>
      <c r="H791">
        <v>7.5</v>
      </c>
      <c r="I791" s="2" t="s">
        <v>0</v>
      </c>
      <c r="J791">
        <v>2</v>
      </c>
      <c r="K791" s="2" t="s">
        <v>1</v>
      </c>
      <c r="L791">
        <v>1</v>
      </c>
      <c r="M791">
        <v>7.5</v>
      </c>
      <c r="N791" s="2" t="s">
        <v>1013</v>
      </c>
      <c r="O791" t="str">
        <f>D791&amp;"-"&amp;E791&amp;"-"&amp;F791&amp;"-"&amp;G791&amp;"-"&amp;H791</f>
        <v>E-1-e-1-7.5</v>
      </c>
      <c r="P791" t="str">
        <f>I791&amp;"-"&amp;J791&amp;"-"&amp;K791&amp;"-"&amp;L791&amp;"-"&amp;M791</f>
        <v>X-2-f-1-7.5</v>
      </c>
      <c r="Q791">
        <f>A791+R791</f>
        <v>20249.878498000002</v>
      </c>
      <c r="R791">
        <f>_xlfn.IFNA(VLOOKUP(P791,PGOPHER!A$2:G$181,7,FALSE),_xlfn.IFNA(VLOOKUP(P791,en!A$2:I$768,7,FALSE),-10000))</f>
        <v>1427.396508</v>
      </c>
      <c r="S791">
        <f>IF(O791=O790,Q790+S790,Q791)</f>
        <v>60749.631458999997</v>
      </c>
      <c r="T791">
        <f>IF(O791=O790,T790+1,1)</f>
        <v>3</v>
      </c>
      <c r="U791">
        <f>IF(O791=O792,"",S791/T791)</f>
        <v>20249.877152999998</v>
      </c>
      <c r="V791" t="str">
        <f>IF(U791="","",IF(ABS(Q791-U791)&gt;V$1,"error",""))</f>
        <v/>
      </c>
    </row>
    <row r="792" spans="1:22" x14ac:dyDescent="0.55000000000000004">
      <c r="A792">
        <v>18766.349869999998</v>
      </c>
      <c r="B792" s="1">
        <v>0.105</v>
      </c>
      <c r="C792" s="1">
        <v>0.105</v>
      </c>
      <c r="D792" s="2" t="s">
        <v>680</v>
      </c>
      <c r="E792">
        <v>1</v>
      </c>
      <c r="F792" s="2" t="s">
        <v>1</v>
      </c>
      <c r="G792">
        <v>0</v>
      </c>
      <c r="H792">
        <v>7.5</v>
      </c>
      <c r="I792" s="2" t="s">
        <v>0</v>
      </c>
      <c r="J792">
        <v>2</v>
      </c>
      <c r="K792" s="2" t="s">
        <v>1</v>
      </c>
      <c r="L792">
        <v>0</v>
      </c>
      <c r="M792">
        <v>8.5</v>
      </c>
      <c r="N792" s="2" t="s">
        <v>757</v>
      </c>
      <c r="O792" t="str">
        <f>D792&amp;"-"&amp;E792&amp;"-"&amp;F792&amp;"-"&amp;G792&amp;"-"&amp;H792</f>
        <v>E-1-f-0-7.5</v>
      </c>
      <c r="P792" t="str">
        <f>I792&amp;"-"&amp;J792&amp;"-"&amp;K792&amp;"-"&amp;L792&amp;"-"&amp;M792</f>
        <v>X-2-f-0-8.5</v>
      </c>
      <c r="Q792">
        <f>A792+R792</f>
        <v>19091.650595999999</v>
      </c>
      <c r="R792">
        <f>_xlfn.IFNA(VLOOKUP(P792,PGOPHER!A$2:G$181,7,FALSE),_xlfn.IFNA(VLOOKUP(P792,en!A$2:I$768,7,FALSE),-10000))</f>
        <v>325.300726</v>
      </c>
      <c r="S792">
        <f>IF(O792=O791,Q791+S791,Q792)</f>
        <v>19091.650595999999</v>
      </c>
      <c r="T792">
        <f>IF(O792=O791,T791+1,1)</f>
        <v>1</v>
      </c>
      <c r="U792" t="str">
        <f>IF(O792=O793,"",S792/T792)</f>
        <v/>
      </c>
      <c r="V792" t="str">
        <f>IF(U792="","",IF(ABS(Q792-U792)&gt;V$1,"error",""))</f>
        <v/>
      </c>
    </row>
    <row r="793" spans="1:22" x14ac:dyDescent="0.55000000000000004">
      <c r="A793">
        <v>18889.092949999998</v>
      </c>
      <c r="B793" s="1">
        <v>0.105</v>
      </c>
      <c r="C793" s="1">
        <v>0.105</v>
      </c>
      <c r="D793" s="2" t="s">
        <v>680</v>
      </c>
      <c r="E793">
        <v>1</v>
      </c>
      <c r="F793" s="2" t="s">
        <v>1</v>
      </c>
      <c r="G793">
        <v>0</v>
      </c>
      <c r="H793">
        <v>7.5</v>
      </c>
      <c r="I793" s="2" t="s">
        <v>0</v>
      </c>
      <c r="J793">
        <v>2</v>
      </c>
      <c r="K793" s="2" t="s">
        <v>1</v>
      </c>
      <c r="L793">
        <v>0</v>
      </c>
      <c r="M793">
        <v>6.5</v>
      </c>
      <c r="N793" s="2" t="s">
        <v>758</v>
      </c>
      <c r="O793" t="str">
        <f>D793&amp;"-"&amp;E793&amp;"-"&amp;F793&amp;"-"&amp;G793&amp;"-"&amp;H793</f>
        <v>E-1-f-0-7.5</v>
      </c>
      <c r="P793" t="str">
        <f>I793&amp;"-"&amp;J793&amp;"-"&amp;K793&amp;"-"&amp;L793&amp;"-"&amp;M793</f>
        <v>X-2-f-0-6.5</v>
      </c>
      <c r="Q793">
        <f>A793+R793</f>
        <v>19091.648560999998</v>
      </c>
      <c r="R793">
        <f>_xlfn.IFNA(VLOOKUP(P793,PGOPHER!A$2:G$181,7,FALSE),_xlfn.IFNA(VLOOKUP(P793,en!A$2:I$768,7,FALSE),-10000))</f>
        <v>202.555611</v>
      </c>
      <c r="S793">
        <f>IF(O793=O792,Q792+S792,Q793)</f>
        <v>38183.301191999999</v>
      </c>
      <c r="T793">
        <f>IF(O793=O792,T792+1,1)</f>
        <v>2</v>
      </c>
      <c r="U793" t="str">
        <f>IF(O793=O794,"",S793/T793)</f>
        <v/>
      </c>
      <c r="V793" t="str">
        <f>IF(U793="","",IF(ABS(Q793-U793)&gt;V$1,"error",""))</f>
        <v/>
      </c>
    </row>
    <row r="794" spans="1:22" x14ac:dyDescent="0.55000000000000004">
      <c r="A794">
        <v>18888.17136</v>
      </c>
      <c r="B794" s="1">
        <v>0.105</v>
      </c>
      <c r="C794" s="1">
        <v>0.105</v>
      </c>
      <c r="D794" s="2" t="s">
        <v>680</v>
      </c>
      <c r="E794">
        <v>1</v>
      </c>
      <c r="F794" s="2" t="s">
        <v>1</v>
      </c>
      <c r="G794">
        <v>0</v>
      </c>
      <c r="H794">
        <v>7.5</v>
      </c>
      <c r="I794" s="2" t="s">
        <v>0</v>
      </c>
      <c r="J794">
        <v>1</v>
      </c>
      <c r="K794" s="2" t="s">
        <v>2</v>
      </c>
      <c r="L794">
        <v>0</v>
      </c>
      <c r="M794">
        <v>7.5</v>
      </c>
      <c r="N794" s="2" t="s">
        <v>759</v>
      </c>
      <c r="O794" t="str">
        <f>D794&amp;"-"&amp;E794&amp;"-"&amp;F794&amp;"-"&amp;G794&amp;"-"&amp;H794</f>
        <v>E-1-f-0-7.5</v>
      </c>
      <c r="P794" t="str">
        <f>I794&amp;"-"&amp;J794&amp;"-"&amp;K794&amp;"-"&amp;L794&amp;"-"&amp;M794</f>
        <v>X-1-e-0-7.5</v>
      </c>
      <c r="Q794">
        <f>A794+R794</f>
        <v>19091.650883000002</v>
      </c>
      <c r="R794">
        <f>_xlfn.IFNA(VLOOKUP(P794,PGOPHER!A$2:G$181,7,FALSE),_xlfn.IFNA(VLOOKUP(P794,en!A$2:I$768,7,FALSE),-10000))</f>
        <v>203.479523</v>
      </c>
      <c r="S794">
        <f>IF(O794=O793,Q793+S793,Q794)</f>
        <v>57274.949752999994</v>
      </c>
      <c r="T794">
        <f>IF(O794=O793,T793+1,1)</f>
        <v>3</v>
      </c>
      <c r="U794">
        <f>IF(O794=O795,"",S794/T794)</f>
        <v>19091.649917666666</v>
      </c>
      <c r="V794" t="str">
        <f>IF(U794="","",IF(ABS(Q794-U794)&gt;V$1,"error",""))</f>
        <v/>
      </c>
    </row>
    <row r="795" spans="1:22" x14ac:dyDescent="0.55000000000000004">
      <c r="A795">
        <v>18879.30342</v>
      </c>
      <c r="B795" s="1">
        <v>5.0000000000000001E-3</v>
      </c>
      <c r="C795" s="1">
        <v>5.0000000000000001E-3</v>
      </c>
      <c r="D795" s="2" t="s">
        <v>680</v>
      </c>
      <c r="E795">
        <v>1</v>
      </c>
      <c r="F795" s="2" t="s">
        <v>1</v>
      </c>
      <c r="G795">
        <v>1</v>
      </c>
      <c r="H795">
        <v>7.5</v>
      </c>
      <c r="I795" s="2" t="s">
        <v>0</v>
      </c>
      <c r="J795">
        <v>2</v>
      </c>
      <c r="K795" s="2" t="s">
        <v>1</v>
      </c>
      <c r="L795">
        <v>1</v>
      </c>
      <c r="M795">
        <v>6.5</v>
      </c>
      <c r="N795" s="2" t="s">
        <v>1014</v>
      </c>
      <c r="O795" t="str">
        <f>D795&amp;"-"&amp;E795&amp;"-"&amp;F795&amp;"-"&amp;G795&amp;"-"&amp;H795</f>
        <v>E-1-f-1-7.5</v>
      </c>
      <c r="P795" t="str">
        <f>I795&amp;"-"&amp;J795&amp;"-"&amp;K795&amp;"-"&amp;L795&amp;"-"&amp;M795</f>
        <v>X-2-f-1-6.5</v>
      </c>
      <c r="Q795">
        <f>A795+R795</f>
        <v>20250.183940999999</v>
      </c>
      <c r="R795">
        <f>_xlfn.IFNA(VLOOKUP(P795,PGOPHER!A$2:G$181,7,FALSE),_xlfn.IFNA(VLOOKUP(P795,en!A$2:I$768,7,FALSE),-10000))</f>
        <v>1370.880521</v>
      </c>
      <c r="S795">
        <f>IF(O795=O794,Q794+S794,Q795)</f>
        <v>20250.183940999999</v>
      </c>
      <c r="T795">
        <f>IF(O795=O794,T794+1,1)</f>
        <v>1</v>
      </c>
      <c r="U795" t="str">
        <f>IF(O795=O796,"",S795/T795)</f>
        <v/>
      </c>
      <c r="V795" t="str">
        <f>IF(U795="","",IF(ABS(Q795-U795)&gt;V$1,"error",""))</f>
        <v/>
      </c>
    </row>
    <row r="796" spans="1:22" x14ac:dyDescent="0.55000000000000004">
      <c r="A796">
        <v>18759.272519999999</v>
      </c>
      <c r="B796" s="1">
        <v>0.01</v>
      </c>
      <c r="C796" s="1">
        <v>0.01</v>
      </c>
      <c r="D796" s="2" t="s">
        <v>680</v>
      </c>
      <c r="E796">
        <v>1</v>
      </c>
      <c r="F796" s="2" t="s">
        <v>1</v>
      </c>
      <c r="G796">
        <v>1</v>
      </c>
      <c r="H796">
        <v>7.5</v>
      </c>
      <c r="I796" s="2" t="s">
        <v>0</v>
      </c>
      <c r="J796">
        <v>2</v>
      </c>
      <c r="K796" s="2" t="s">
        <v>1</v>
      </c>
      <c r="L796">
        <v>1</v>
      </c>
      <c r="M796">
        <v>8.5</v>
      </c>
      <c r="N796" s="2" t="s">
        <v>1015</v>
      </c>
      <c r="O796" t="str">
        <f>D796&amp;"-"&amp;E796&amp;"-"&amp;F796&amp;"-"&amp;G796&amp;"-"&amp;H796</f>
        <v>E-1-f-1-7.5</v>
      </c>
      <c r="P796" t="str">
        <f>I796&amp;"-"&amp;J796&amp;"-"&amp;K796&amp;"-"&amp;L796&amp;"-"&amp;M796</f>
        <v>X-2-f-1-8.5</v>
      </c>
      <c r="Q796">
        <f>A796+R796</f>
        <v>20250.174404999998</v>
      </c>
      <c r="R796">
        <f>_xlfn.IFNA(VLOOKUP(P796,PGOPHER!A$2:G$181,7,FALSE),_xlfn.IFNA(VLOOKUP(P796,en!A$2:I$768,7,FALSE),-10000))</f>
        <v>1490.901885</v>
      </c>
      <c r="S796">
        <f>IF(O796=O795,Q795+S795,Q796)</f>
        <v>40500.367881999999</v>
      </c>
      <c r="T796">
        <f>IF(O796=O795,T795+1,1)</f>
        <v>2</v>
      </c>
      <c r="U796" t="str">
        <f>IF(O796=O797,"",S796/T796)</f>
        <v/>
      </c>
      <c r="V796" t="str">
        <f>IF(U796="","",IF(ABS(Q796-U796)&gt;V$1,"error",""))</f>
        <v/>
      </c>
    </row>
    <row r="797" spans="1:22" x14ac:dyDescent="0.55000000000000004">
      <c r="A797">
        <v>18878.41257</v>
      </c>
      <c r="B797" s="1">
        <v>5.0000000000000001E-3</v>
      </c>
      <c r="C797" s="1">
        <v>5.0000000000000001E-3</v>
      </c>
      <c r="D797" s="2" t="s">
        <v>680</v>
      </c>
      <c r="E797">
        <v>1</v>
      </c>
      <c r="F797" s="2" t="s">
        <v>1</v>
      </c>
      <c r="G797">
        <v>1</v>
      </c>
      <c r="H797">
        <v>7.5</v>
      </c>
      <c r="I797" s="2" t="s">
        <v>0</v>
      </c>
      <c r="J797">
        <v>1</v>
      </c>
      <c r="K797" s="2" t="s">
        <v>2</v>
      </c>
      <c r="L797">
        <v>1</v>
      </c>
      <c r="M797">
        <v>7.5</v>
      </c>
      <c r="N797" s="2" t="s">
        <v>1016</v>
      </c>
      <c r="O797" t="str">
        <f>D797&amp;"-"&amp;E797&amp;"-"&amp;F797&amp;"-"&amp;G797&amp;"-"&amp;H797</f>
        <v>E-1-f-1-7.5</v>
      </c>
      <c r="P797" t="str">
        <f>I797&amp;"-"&amp;J797&amp;"-"&amp;K797&amp;"-"&amp;L797&amp;"-"&amp;M797</f>
        <v>X-1-e-1-7.5</v>
      </c>
      <c r="Q797">
        <f>A797+R797</f>
        <v>20250.186666000001</v>
      </c>
      <c r="R797">
        <f>_xlfn.IFNA(VLOOKUP(P797,PGOPHER!A$2:G$181,7,FALSE),_xlfn.IFNA(VLOOKUP(P797,en!A$2:I$768,7,FALSE),-10000))</f>
        <v>1371.7740960000001</v>
      </c>
      <c r="S797">
        <f>IF(O797=O796,Q796+S796,Q797)</f>
        <v>60750.542286999997</v>
      </c>
      <c r="T797">
        <f>IF(O797=O796,T796+1,1)</f>
        <v>3</v>
      </c>
      <c r="U797">
        <f>IF(O797=O798,"",S797/T797)</f>
        <v>20250.180762333333</v>
      </c>
      <c r="V797" t="str">
        <f>IF(U797="","",IF(ABS(Q797-U797)&gt;V$1,"error",""))</f>
        <v/>
      </c>
    </row>
    <row r="798" spans="1:22" x14ac:dyDescent="0.55000000000000004">
      <c r="A798">
        <v>19059.81855</v>
      </c>
      <c r="B798" s="1">
        <v>5.0000000000000001E-3</v>
      </c>
      <c r="C798" s="1">
        <v>5.0000000000000001E-3</v>
      </c>
      <c r="D798" s="2" t="s">
        <v>680</v>
      </c>
      <c r="E798">
        <v>2</v>
      </c>
      <c r="F798" s="2" t="s">
        <v>2</v>
      </c>
      <c r="G798">
        <v>0</v>
      </c>
      <c r="H798">
        <v>7.5</v>
      </c>
      <c r="I798" s="2" t="s">
        <v>0</v>
      </c>
      <c r="J798">
        <v>1</v>
      </c>
      <c r="K798" s="2" t="s">
        <v>2</v>
      </c>
      <c r="L798">
        <v>0</v>
      </c>
      <c r="M798">
        <v>6.5</v>
      </c>
      <c r="N798" s="2" t="s">
        <v>760</v>
      </c>
      <c r="O798" t="str">
        <f>D798&amp;"-"&amp;E798&amp;"-"&amp;F798&amp;"-"&amp;G798&amp;"-"&amp;H798</f>
        <v>E-2-e-0-7.5</v>
      </c>
      <c r="P798" t="str">
        <f>I798&amp;"-"&amp;J798&amp;"-"&amp;K798&amp;"-"&amp;L798&amp;"-"&amp;M798</f>
        <v>X-1-e-0-6.5</v>
      </c>
      <c r="Q798">
        <f>A798+R798</f>
        <v>19212.554176999998</v>
      </c>
      <c r="R798">
        <f>_xlfn.IFNA(VLOOKUP(P798,PGOPHER!A$2:G$181,7,FALSE),_xlfn.IFNA(VLOOKUP(P798,en!A$2:I$768,7,FALSE),-10000))</f>
        <v>152.73562699999999</v>
      </c>
      <c r="S798">
        <f>IF(O798=O797,Q797+S797,Q798)</f>
        <v>19212.554176999998</v>
      </c>
      <c r="T798">
        <f>IF(O798=O797,T797+1,1)</f>
        <v>1</v>
      </c>
      <c r="U798" t="str">
        <f>IF(O798=O799,"",S798/T798)</f>
        <v/>
      </c>
      <c r="V798" t="str">
        <f>IF(U798="","",IF(ABS(Q798-U798)&gt;V$1,"error",""))</f>
        <v/>
      </c>
    </row>
    <row r="799" spans="1:22" x14ac:dyDescent="0.55000000000000004">
      <c r="A799">
        <v>18951.149580000001</v>
      </c>
      <c r="B799" s="1">
        <v>5.0000000000000001E-3</v>
      </c>
      <c r="C799" s="1">
        <v>5.0000000000000001E-3</v>
      </c>
      <c r="D799" s="2" t="s">
        <v>680</v>
      </c>
      <c r="E799">
        <v>2</v>
      </c>
      <c r="F799" s="2" t="s">
        <v>2</v>
      </c>
      <c r="G799">
        <v>0</v>
      </c>
      <c r="H799">
        <v>7.5</v>
      </c>
      <c r="I799" s="2" t="s">
        <v>0</v>
      </c>
      <c r="J799">
        <v>1</v>
      </c>
      <c r="K799" s="2" t="s">
        <v>2</v>
      </c>
      <c r="L799">
        <v>0</v>
      </c>
      <c r="M799">
        <v>8.5</v>
      </c>
      <c r="N799" s="2" t="s">
        <v>761</v>
      </c>
      <c r="O799" t="str">
        <f>D799&amp;"-"&amp;E799&amp;"-"&amp;F799&amp;"-"&amp;G799&amp;"-"&amp;H799</f>
        <v>E-2-e-0-7.5</v>
      </c>
      <c r="P799" t="str">
        <f>I799&amp;"-"&amp;J799&amp;"-"&amp;K799&amp;"-"&amp;L799&amp;"-"&amp;M799</f>
        <v>X-1-e-0-8.5</v>
      </c>
      <c r="Q799">
        <f>A799+R799</f>
        <v>19212.547637</v>
      </c>
      <c r="R799">
        <f>_xlfn.IFNA(VLOOKUP(P799,PGOPHER!A$2:G$181,7,FALSE),_xlfn.IFNA(VLOOKUP(P799,en!A$2:I$768,7,FALSE),-10000))</f>
        <v>261.39805699999999</v>
      </c>
      <c r="S799">
        <f>IF(O799=O798,Q798+S798,Q799)</f>
        <v>38425.108353999996</v>
      </c>
      <c r="T799">
        <f>IF(O799=O798,T798+1,1)</f>
        <v>2</v>
      </c>
      <c r="U799" t="str">
        <f>IF(O799=O800,"",S799/T799)</f>
        <v/>
      </c>
      <c r="V799" t="str">
        <f>IF(U799="","",IF(ABS(Q799-U799)&gt;V$1,"error",""))</f>
        <v/>
      </c>
    </row>
    <row r="800" spans="1:22" x14ac:dyDescent="0.55000000000000004">
      <c r="A800">
        <v>18952.205440000002</v>
      </c>
      <c r="B800" s="1">
        <v>1.4999999999999999E-2</v>
      </c>
      <c r="C800" s="1">
        <v>1.4999999999999999E-2</v>
      </c>
      <c r="D800" s="2" t="s">
        <v>680</v>
      </c>
      <c r="E800">
        <v>2</v>
      </c>
      <c r="F800" s="2" t="s">
        <v>2</v>
      </c>
      <c r="G800">
        <v>0</v>
      </c>
      <c r="H800">
        <v>7.5</v>
      </c>
      <c r="I800" s="2" t="s">
        <v>0</v>
      </c>
      <c r="J800">
        <v>2</v>
      </c>
      <c r="K800" s="2" t="s">
        <v>1</v>
      </c>
      <c r="L800">
        <v>0</v>
      </c>
      <c r="M800">
        <v>7.5</v>
      </c>
      <c r="N800" s="2" t="s">
        <v>762</v>
      </c>
      <c r="O800" t="str">
        <f>D800&amp;"-"&amp;E800&amp;"-"&amp;F800&amp;"-"&amp;G800&amp;"-"&amp;H800</f>
        <v>E-2-e-0-7.5</v>
      </c>
      <c r="P800" t="str">
        <f>I800&amp;"-"&amp;J800&amp;"-"&amp;K800&amp;"-"&amp;L800&amp;"-"&amp;M800</f>
        <v>X-2-f-0-7.5</v>
      </c>
      <c r="Q800">
        <f>A800+R800</f>
        <v>19212.557571000001</v>
      </c>
      <c r="R800">
        <f>_xlfn.IFNA(VLOOKUP(P800,PGOPHER!A$2:G$181,7,FALSE),_xlfn.IFNA(VLOOKUP(P800,en!A$2:I$768,7,FALSE),-10000))</f>
        <v>260.35213099999999</v>
      </c>
      <c r="S800">
        <f>IF(O800=O799,Q799+S799,Q800)</f>
        <v>57637.655990999992</v>
      </c>
      <c r="T800">
        <f>IF(O800=O799,T799+1,1)</f>
        <v>3</v>
      </c>
      <c r="U800">
        <f>IF(O800=O801,"",S800/T800)</f>
        <v>19212.551996999999</v>
      </c>
      <c r="V800" t="str">
        <f>IF(U800="","",IF(ABS(Q800-U800)&gt;V$1,"error",""))</f>
        <v/>
      </c>
    </row>
    <row r="801" spans="1:22" x14ac:dyDescent="0.55000000000000004">
      <c r="A801">
        <v>19051.478139999999</v>
      </c>
      <c r="B801" s="1">
        <v>5.0000000000000001E-3</v>
      </c>
      <c r="C801" s="1">
        <v>5.0000000000000001E-3</v>
      </c>
      <c r="D801" s="2" t="s">
        <v>680</v>
      </c>
      <c r="E801">
        <v>2</v>
      </c>
      <c r="F801" s="2" t="s">
        <v>2</v>
      </c>
      <c r="G801">
        <v>1</v>
      </c>
      <c r="H801">
        <v>7.5</v>
      </c>
      <c r="I801" s="2" t="s">
        <v>0</v>
      </c>
      <c r="J801">
        <v>1</v>
      </c>
      <c r="K801" s="2" t="s">
        <v>2</v>
      </c>
      <c r="L801">
        <v>1</v>
      </c>
      <c r="M801">
        <v>6.5</v>
      </c>
      <c r="N801" s="2" t="s">
        <v>1017</v>
      </c>
      <c r="O801" t="str">
        <f>D801&amp;"-"&amp;E801&amp;"-"&amp;F801&amp;"-"&amp;G801&amp;"-"&amp;H801</f>
        <v>E-2-e-1-7.5</v>
      </c>
      <c r="P801" t="str">
        <f>I801&amp;"-"&amp;J801&amp;"-"&amp;K801&amp;"-"&amp;L801&amp;"-"&amp;M801</f>
        <v>X-1-e-1-6.5</v>
      </c>
      <c r="Q801">
        <f>A801+R801</f>
        <v>20373.633956999998</v>
      </c>
      <c r="R801">
        <f>_xlfn.IFNA(VLOOKUP(P801,PGOPHER!A$2:G$181,7,FALSE),_xlfn.IFNA(VLOOKUP(P801,en!A$2:I$768,7,FALSE),-10000))</f>
        <v>1322.1558170000001</v>
      </c>
      <c r="S801">
        <f>IF(O801=O800,Q800+S800,Q801)</f>
        <v>20373.633956999998</v>
      </c>
      <c r="T801">
        <f>IF(O801=O800,T800+1,1)</f>
        <v>1</v>
      </c>
      <c r="U801" t="str">
        <f>IF(O801=O802,"",S801/T801)</f>
        <v/>
      </c>
      <c r="V801" t="str">
        <f>IF(U801="","",IF(ABS(Q801-U801)&gt;V$1,"error",""))</f>
        <v/>
      </c>
    </row>
    <row r="802" spans="1:22" x14ac:dyDescent="0.55000000000000004">
      <c r="A802">
        <v>18945.225859999999</v>
      </c>
      <c r="B802" s="1">
        <v>5.0000000000000001E-3</v>
      </c>
      <c r="C802" s="1">
        <v>5.0000000000000001E-3</v>
      </c>
      <c r="D802" s="2" t="s">
        <v>680</v>
      </c>
      <c r="E802">
        <v>2</v>
      </c>
      <c r="F802" s="2" t="s">
        <v>2</v>
      </c>
      <c r="G802">
        <v>1</v>
      </c>
      <c r="H802">
        <v>7.5</v>
      </c>
      <c r="I802" s="2" t="s">
        <v>0</v>
      </c>
      <c r="J802">
        <v>1</v>
      </c>
      <c r="K802" s="2" t="s">
        <v>2</v>
      </c>
      <c r="L802">
        <v>1</v>
      </c>
      <c r="M802">
        <v>8.5</v>
      </c>
      <c r="N802" s="2" t="s">
        <v>1018</v>
      </c>
      <c r="O802" t="str">
        <f>D802&amp;"-"&amp;E802&amp;"-"&amp;F802&amp;"-"&amp;G802&amp;"-"&amp;H802</f>
        <v>E-2-e-1-7.5</v>
      </c>
      <c r="P802" t="str">
        <f>I802&amp;"-"&amp;J802&amp;"-"&amp;K802&amp;"-"&amp;L802&amp;"-"&amp;M802</f>
        <v>X-1-e-1-8.5</v>
      </c>
      <c r="Q802">
        <f>A802+R802</f>
        <v>20373.633515999998</v>
      </c>
      <c r="R802">
        <f>_xlfn.IFNA(VLOOKUP(P802,PGOPHER!A$2:G$181,7,FALSE),_xlfn.IFNA(VLOOKUP(P802,en!A$2:I$768,7,FALSE),-10000))</f>
        <v>1428.4076560000001</v>
      </c>
      <c r="S802">
        <f>IF(O802=O801,Q801+S801,Q802)</f>
        <v>40747.267913999996</v>
      </c>
      <c r="T802">
        <f>IF(O802=O801,T801+1,1)</f>
        <v>2</v>
      </c>
      <c r="U802" t="str">
        <f>IF(O802=O803,"",S802/T802)</f>
        <v/>
      </c>
      <c r="V802" t="str">
        <f>IF(U802="","",IF(ABS(Q802-U802)&gt;V$1,"error",""))</f>
        <v/>
      </c>
    </row>
    <row r="803" spans="1:22" x14ac:dyDescent="0.55000000000000004">
      <c r="A803">
        <v>18946.236550000001</v>
      </c>
      <c r="B803" s="1">
        <v>5.0000000000000001E-3</v>
      </c>
      <c r="C803" s="1">
        <v>5.0000000000000001E-3</v>
      </c>
      <c r="D803" s="2" t="s">
        <v>680</v>
      </c>
      <c r="E803">
        <v>2</v>
      </c>
      <c r="F803" s="2" t="s">
        <v>2</v>
      </c>
      <c r="G803">
        <v>1</v>
      </c>
      <c r="H803">
        <v>7.5</v>
      </c>
      <c r="I803" s="2" t="s">
        <v>0</v>
      </c>
      <c r="J803">
        <v>2</v>
      </c>
      <c r="K803" s="2" t="s">
        <v>1</v>
      </c>
      <c r="L803">
        <v>1</v>
      </c>
      <c r="M803">
        <v>7.5</v>
      </c>
      <c r="N803" s="2" t="s">
        <v>1019</v>
      </c>
      <c r="O803" t="str">
        <f>D803&amp;"-"&amp;E803&amp;"-"&amp;F803&amp;"-"&amp;G803&amp;"-"&amp;H803</f>
        <v>E-2-e-1-7.5</v>
      </c>
      <c r="P803" t="str">
        <f>I803&amp;"-"&amp;J803&amp;"-"&amp;K803&amp;"-"&amp;L803&amp;"-"&amp;M803</f>
        <v>X-2-f-1-7.5</v>
      </c>
      <c r="Q803">
        <f>A803+R803</f>
        <v>20373.633058000003</v>
      </c>
      <c r="R803">
        <f>_xlfn.IFNA(VLOOKUP(P803,PGOPHER!A$2:G$181,7,FALSE),_xlfn.IFNA(VLOOKUP(P803,en!A$2:I$768,7,FALSE),-10000))</f>
        <v>1427.396508</v>
      </c>
      <c r="S803">
        <f>IF(O803=O802,Q802+S802,Q803)</f>
        <v>61120.901429999998</v>
      </c>
      <c r="T803">
        <f>IF(O803=O802,T802+1,1)</f>
        <v>3</v>
      </c>
      <c r="U803">
        <f>IF(O803=O804,"",S803/T803)</f>
        <v>20373.633809999999</v>
      </c>
      <c r="V803" t="str">
        <f>IF(U803="","",IF(ABS(Q803-U803)&gt;V$1,"error",""))</f>
        <v/>
      </c>
    </row>
    <row r="804" spans="1:22" x14ac:dyDescent="0.55000000000000004">
      <c r="A804">
        <v>19010.316309999998</v>
      </c>
      <c r="B804" s="1">
        <v>1.4999999999999999E-2</v>
      </c>
      <c r="C804" s="1">
        <v>1.4999999999999999E-2</v>
      </c>
      <c r="D804" s="2" t="s">
        <v>680</v>
      </c>
      <c r="E804">
        <v>2</v>
      </c>
      <c r="F804" s="2" t="s">
        <v>1</v>
      </c>
      <c r="G804">
        <v>0</v>
      </c>
      <c r="H804">
        <v>7.5</v>
      </c>
      <c r="I804" s="2" t="s">
        <v>0</v>
      </c>
      <c r="J804">
        <v>2</v>
      </c>
      <c r="K804" s="2" t="s">
        <v>1</v>
      </c>
      <c r="L804">
        <v>0</v>
      </c>
      <c r="M804">
        <v>6.5</v>
      </c>
      <c r="N804" s="2" t="s">
        <v>763</v>
      </c>
      <c r="O804" t="str">
        <f>D804&amp;"-"&amp;E804&amp;"-"&amp;F804&amp;"-"&amp;G804&amp;"-"&amp;H804</f>
        <v>E-2-f-0-7.5</v>
      </c>
      <c r="P804" t="str">
        <f>I804&amp;"-"&amp;J804&amp;"-"&amp;K804&amp;"-"&amp;L804&amp;"-"&amp;M804</f>
        <v>X-2-f-0-6.5</v>
      </c>
      <c r="Q804">
        <f>A804+R804</f>
        <v>19212.871920999998</v>
      </c>
      <c r="R804">
        <f>_xlfn.IFNA(VLOOKUP(P804,PGOPHER!A$2:G$181,7,FALSE),_xlfn.IFNA(VLOOKUP(P804,en!A$2:I$768,7,FALSE),-10000))</f>
        <v>202.555611</v>
      </c>
      <c r="S804">
        <f>IF(O804=O803,Q803+S803,Q804)</f>
        <v>19212.871920999998</v>
      </c>
      <c r="T804">
        <f>IF(O804=O803,T803+1,1)</f>
        <v>1</v>
      </c>
      <c r="U804" t="str">
        <f>IF(O804=O805,"",S804/T804)</f>
        <v/>
      </c>
      <c r="V804" t="str">
        <f>IF(U804="","",IF(ABS(Q804-U804)&gt;V$1,"error",""))</f>
        <v/>
      </c>
    </row>
    <row r="805" spans="1:22" x14ac:dyDescent="0.55000000000000004">
      <c r="A805">
        <v>18887.56955</v>
      </c>
      <c r="B805" s="1">
        <v>5.0000000000000001E-3</v>
      </c>
      <c r="C805" s="1">
        <v>5.0000000000000001E-3</v>
      </c>
      <c r="D805" s="2" t="s">
        <v>680</v>
      </c>
      <c r="E805">
        <v>2</v>
      </c>
      <c r="F805" s="2" t="s">
        <v>1</v>
      </c>
      <c r="G805">
        <v>0</v>
      </c>
      <c r="H805">
        <v>7.5</v>
      </c>
      <c r="I805" s="2" t="s">
        <v>0</v>
      </c>
      <c r="J805">
        <v>2</v>
      </c>
      <c r="K805" s="2" t="s">
        <v>1</v>
      </c>
      <c r="L805">
        <v>0</v>
      </c>
      <c r="M805">
        <v>8.5</v>
      </c>
      <c r="N805" s="2" t="s">
        <v>764</v>
      </c>
      <c r="O805" t="str">
        <f>D805&amp;"-"&amp;E805&amp;"-"&amp;F805&amp;"-"&amp;G805&amp;"-"&amp;H805</f>
        <v>E-2-f-0-7.5</v>
      </c>
      <c r="P805" t="str">
        <f>I805&amp;"-"&amp;J805&amp;"-"&amp;K805&amp;"-"&amp;L805&amp;"-"&amp;M805</f>
        <v>X-2-f-0-8.5</v>
      </c>
      <c r="Q805">
        <f>A805+R805</f>
        <v>19212.870276000001</v>
      </c>
      <c r="R805">
        <f>_xlfn.IFNA(VLOOKUP(P805,PGOPHER!A$2:G$181,7,FALSE),_xlfn.IFNA(VLOOKUP(P805,en!A$2:I$768,7,FALSE),-10000))</f>
        <v>325.300726</v>
      </c>
      <c r="S805">
        <f>IF(O805=O804,Q804+S804,Q805)</f>
        <v>38425.743841999996</v>
      </c>
      <c r="T805">
        <f>IF(O805=O804,T804+1,1)</f>
        <v>2</v>
      </c>
      <c r="U805" t="str">
        <f>IF(O805=O806,"",S805/T805)</f>
        <v/>
      </c>
      <c r="V805" t="str">
        <f>IF(U805="","",IF(ABS(Q805-U805)&gt;V$1,"error",""))</f>
        <v/>
      </c>
    </row>
    <row r="806" spans="1:22" x14ac:dyDescent="0.55000000000000004">
      <c r="A806">
        <v>19009.397110000002</v>
      </c>
      <c r="B806" s="1">
        <v>1.4999999999999999E-2</v>
      </c>
      <c r="C806" s="1">
        <v>1.4999999999999999E-2</v>
      </c>
      <c r="D806" s="2" t="s">
        <v>680</v>
      </c>
      <c r="E806">
        <v>2</v>
      </c>
      <c r="F806" s="2" t="s">
        <v>1</v>
      </c>
      <c r="G806">
        <v>0</v>
      </c>
      <c r="H806">
        <v>7.5</v>
      </c>
      <c r="I806" s="2" t="s">
        <v>0</v>
      </c>
      <c r="J806">
        <v>1</v>
      </c>
      <c r="K806" s="2" t="s">
        <v>2</v>
      </c>
      <c r="L806">
        <v>0</v>
      </c>
      <c r="M806">
        <v>7.5</v>
      </c>
      <c r="N806" s="2" t="s">
        <v>765</v>
      </c>
      <c r="O806" t="str">
        <f>D806&amp;"-"&amp;E806&amp;"-"&amp;F806&amp;"-"&amp;G806&amp;"-"&amp;H806</f>
        <v>E-2-f-0-7.5</v>
      </c>
      <c r="P806" t="str">
        <f>I806&amp;"-"&amp;J806&amp;"-"&amp;K806&amp;"-"&amp;L806&amp;"-"&amp;M806</f>
        <v>X-1-e-0-7.5</v>
      </c>
      <c r="Q806">
        <f>A806+R806</f>
        <v>19212.876633000003</v>
      </c>
      <c r="R806">
        <f>_xlfn.IFNA(VLOOKUP(P806,PGOPHER!A$2:G$181,7,FALSE),_xlfn.IFNA(VLOOKUP(P806,en!A$2:I$768,7,FALSE),-10000))</f>
        <v>203.479523</v>
      </c>
      <c r="S806">
        <f>IF(O806=O805,Q805+S805,Q806)</f>
        <v>57638.614117999998</v>
      </c>
      <c r="T806">
        <f>IF(O806=O805,T805+1,1)</f>
        <v>3</v>
      </c>
      <c r="U806">
        <f>IF(O806=O807,"",S806/T806)</f>
        <v>19212.871372666665</v>
      </c>
      <c r="V806" t="str">
        <f>IF(U806="","",IF(ABS(Q806-U806)&gt;V$1,"error",""))</f>
        <v/>
      </c>
    </row>
    <row r="807" spans="1:22" x14ac:dyDescent="0.55000000000000004">
      <c r="A807">
        <v>18882.994019999998</v>
      </c>
      <c r="B807" s="1">
        <v>5.0000000000000001E-3</v>
      </c>
      <c r="C807" s="1">
        <v>5.0000000000000001E-3</v>
      </c>
      <c r="D807" s="2" t="s">
        <v>680</v>
      </c>
      <c r="E807">
        <v>2</v>
      </c>
      <c r="F807" s="2" t="s">
        <v>1</v>
      </c>
      <c r="G807">
        <v>1</v>
      </c>
      <c r="H807">
        <v>7.5</v>
      </c>
      <c r="I807" s="2" t="s">
        <v>0</v>
      </c>
      <c r="J807">
        <v>2</v>
      </c>
      <c r="K807" s="2" t="s">
        <v>1</v>
      </c>
      <c r="L807">
        <v>1</v>
      </c>
      <c r="M807">
        <v>8.5</v>
      </c>
      <c r="N807" s="2" t="s">
        <v>1021</v>
      </c>
      <c r="O807" t="str">
        <f>D807&amp;"-"&amp;E807&amp;"-"&amp;F807&amp;"-"&amp;G807&amp;"-"&amp;H807</f>
        <v>E-2-f-1-7.5</v>
      </c>
      <c r="P807" t="str">
        <f>I807&amp;"-"&amp;J807&amp;"-"&amp;K807&amp;"-"&amp;L807&amp;"-"&amp;M807</f>
        <v>X-2-f-1-8.5</v>
      </c>
      <c r="Q807">
        <f>A807+R807</f>
        <v>20373.895904999998</v>
      </c>
      <c r="R807">
        <f>_xlfn.IFNA(VLOOKUP(P807,PGOPHER!A$2:G$181,7,FALSE),_xlfn.IFNA(VLOOKUP(P807,en!A$2:I$768,7,FALSE),-10000))</f>
        <v>1490.901885</v>
      </c>
      <c r="S807">
        <f>IF(O807=O806,Q806+S806,Q807)</f>
        <v>20373.895904999998</v>
      </c>
      <c r="T807">
        <f>IF(O807=O806,T806+1,1)</f>
        <v>1</v>
      </c>
      <c r="U807" t="str">
        <f>IF(O807=O808,"",S807/T807)</f>
        <v/>
      </c>
      <c r="V807" t="str">
        <f>IF(U807="","",IF(ABS(Q807-U807)&gt;V$1,"error",""))</f>
        <v/>
      </c>
    </row>
    <row r="808" spans="1:22" x14ac:dyDescent="0.55000000000000004">
      <c r="A808">
        <v>19003.011259999999</v>
      </c>
      <c r="B808" s="1">
        <v>5.0000000000000001E-3</v>
      </c>
      <c r="C808" s="1">
        <v>5.0000000000000001E-3</v>
      </c>
      <c r="D808" s="2" t="s">
        <v>680</v>
      </c>
      <c r="E808">
        <v>2</v>
      </c>
      <c r="F808" s="2" t="s">
        <v>1</v>
      </c>
      <c r="G808">
        <v>1</v>
      </c>
      <c r="H808">
        <v>7.5</v>
      </c>
      <c r="I808" s="2" t="s">
        <v>0</v>
      </c>
      <c r="J808">
        <v>2</v>
      </c>
      <c r="K808" s="2" t="s">
        <v>1</v>
      </c>
      <c r="L808">
        <v>1</v>
      </c>
      <c r="M808">
        <v>6.5</v>
      </c>
      <c r="N808" s="2" t="s">
        <v>1020</v>
      </c>
      <c r="O808" t="str">
        <f>D808&amp;"-"&amp;E808&amp;"-"&amp;F808&amp;"-"&amp;G808&amp;"-"&amp;H808</f>
        <v>E-2-f-1-7.5</v>
      </c>
      <c r="P808" t="str">
        <f>I808&amp;"-"&amp;J808&amp;"-"&amp;K808&amp;"-"&amp;L808&amp;"-"&amp;M808</f>
        <v>X-2-f-1-6.5</v>
      </c>
      <c r="Q808">
        <f>A808+R808</f>
        <v>20373.891780999998</v>
      </c>
      <c r="R808">
        <f>_xlfn.IFNA(VLOOKUP(P808,PGOPHER!A$2:G$181,7,FALSE),_xlfn.IFNA(VLOOKUP(P808,en!A$2:I$768,7,FALSE),-10000))</f>
        <v>1370.880521</v>
      </c>
      <c r="S808">
        <f>IF(O808=O807,Q807+S807,Q808)</f>
        <v>40747.791809999995</v>
      </c>
      <c r="T808">
        <f>IF(O808=O807,T807+1,1)</f>
        <v>2</v>
      </c>
      <c r="U808">
        <f>IF(O808=O809,"",S808/T808)</f>
        <v>20373.895904999998</v>
      </c>
      <c r="V808" t="str">
        <f>IF(U808="","",IF(ABS(Q808-U808)&gt;V$1,"error",""))</f>
        <v/>
      </c>
    </row>
    <row r="809" spans="1:22" x14ac:dyDescent="0.55000000000000004">
      <c r="A809">
        <v>18949.083019999998</v>
      </c>
      <c r="B809" s="1">
        <v>0.105</v>
      </c>
      <c r="C809" s="1">
        <v>0.105</v>
      </c>
      <c r="D809" s="2" t="s">
        <v>680</v>
      </c>
      <c r="E809">
        <v>1</v>
      </c>
      <c r="F809" s="2" t="s">
        <v>2</v>
      </c>
      <c r="G809">
        <v>0</v>
      </c>
      <c r="H809">
        <v>8.5</v>
      </c>
      <c r="I809" s="2" t="s">
        <v>0</v>
      </c>
      <c r="J809">
        <v>1</v>
      </c>
      <c r="K809" s="2" t="s">
        <v>2</v>
      </c>
      <c r="L809">
        <v>0</v>
      </c>
      <c r="M809">
        <v>7.5</v>
      </c>
      <c r="N809" s="2" t="s">
        <v>766</v>
      </c>
      <c r="O809" t="str">
        <f>D809&amp;"-"&amp;E809&amp;"-"&amp;F809&amp;"-"&amp;G809&amp;"-"&amp;H809</f>
        <v>E-1-e-0-8.5</v>
      </c>
      <c r="P809" t="str">
        <f>I809&amp;"-"&amp;J809&amp;"-"&amp;K809&amp;"-"&amp;L809&amp;"-"&amp;M809</f>
        <v>X-1-e-0-7.5</v>
      </c>
      <c r="Q809">
        <f>A809+R809</f>
        <v>19152.562543</v>
      </c>
      <c r="R809">
        <f>_xlfn.IFNA(VLOOKUP(P809,PGOPHER!A$2:G$181,7,FALSE),_xlfn.IFNA(VLOOKUP(P809,en!A$2:I$768,7,FALSE),-10000))</f>
        <v>203.479523</v>
      </c>
      <c r="S809">
        <f>IF(O809=O808,Q808+S808,Q809)</f>
        <v>19152.562543</v>
      </c>
      <c r="T809">
        <f>IF(O809=O808,T808+1,1)</f>
        <v>1</v>
      </c>
      <c r="U809" t="str">
        <f>IF(O809=O810,"",S809/T809)</f>
        <v/>
      </c>
      <c r="V809" t="str">
        <f>IF(U809="","",IF(ABS(Q809-U809)&gt;V$1,"error",""))</f>
        <v/>
      </c>
    </row>
    <row r="810" spans="1:22" x14ac:dyDescent="0.55000000000000004">
      <c r="A810">
        <v>18826.099859999998</v>
      </c>
      <c r="B810" s="1">
        <v>0.105</v>
      </c>
      <c r="C810" s="1">
        <v>0.105</v>
      </c>
      <c r="D810" s="2" t="s">
        <v>680</v>
      </c>
      <c r="E810">
        <v>1</v>
      </c>
      <c r="F810" s="2" t="s">
        <v>2</v>
      </c>
      <c r="G810">
        <v>0</v>
      </c>
      <c r="H810">
        <v>8.5</v>
      </c>
      <c r="I810" s="2" t="s">
        <v>0</v>
      </c>
      <c r="J810">
        <v>1</v>
      </c>
      <c r="K810" s="2" t="s">
        <v>2</v>
      </c>
      <c r="L810">
        <v>0</v>
      </c>
      <c r="M810">
        <v>9.5</v>
      </c>
      <c r="N810" s="2" t="s">
        <v>767</v>
      </c>
      <c r="O810" t="str">
        <f>D810&amp;"-"&amp;E810&amp;"-"&amp;F810&amp;"-"&amp;G810&amp;"-"&amp;H810</f>
        <v>E-1-e-0-8.5</v>
      </c>
      <c r="P810" t="str">
        <f>I810&amp;"-"&amp;J810&amp;"-"&amp;K810&amp;"-"&amp;L810&amp;"-"&amp;M810</f>
        <v>X-1-e-0-9.5</v>
      </c>
      <c r="Q810">
        <f>A810+R810</f>
        <v>19152.567477999997</v>
      </c>
      <c r="R810">
        <f>_xlfn.IFNA(VLOOKUP(P810,PGOPHER!A$2:G$181,7,FALSE),_xlfn.IFNA(VLOOKUP(P810,en!A$2:I$768,7,FALSE),-10000))</f>
        <v>326.46761800000002</v>
      </c>
      <c r="S810">
        <f>IF(O810=O809,Q809+S809,Q810)</f>
        <v>38305.125086</v>
      </c>
      <c r="T810">
        <f>IF(O810=O809,T809+1,1)</f>
        <v>2</v>
      </c>
      <c r="U810" t="str">
        <f>IF(O810=O811,"",S810/T810)</f>
        <v/>
      </c>
      <c r="V810" t="str">
        <f>IF(U810="","",IF(ABS(Q810-U810)&gt;V$1,"error",""))</f>
        <v/>
      </c>
    </row>
    <row r="811" spans="1:22" x14ac:dyDescent="0.55000000000000004">
      <c r="A811">
        <v>18827.26988</v>
      </c>
      <c r="B811" s="1">
        <v>0.105</v>
      </c>
      <c r="C811" s="1">
        <v>0.105</v>
      </c>
      <c r="D811" s="2" t="s">
        <v>680</v>
      </c>
      <c r="E811">
        <v>1</v>
      </c>
      <c r="F811" s="2" t="s">
        <v>2</v>
      </c>
      <c r="G811">
        <v>0</v>
      </c>
      <c r="H811">
        <v>8.5</v>
      </c>
      <c r="I811" s="2" t="s">
        <v>0</v>
      </c>
      <c r="J811">
        <v>2</v>
      </c>
      <c r="K811" s="2" t="s">
        <v>1</v>
      </c>
      <c r="L811">
        <v>0</v>
      </c>
      <c r="M811">
        <v>8.5</v>
      </c>
      <c r="N811" s="2" t="s">
        <v>768</v>
      </c>
      <c r="O811" t="str">
        <f>D811&amp;"-"&amp;E811&amp;"-"&amp;F811&amp;"-"&amp;G811&amp;"-"&amp;H811</f>
        <v>E-1-e-0-8.5</v>
      </c>
      <c r="P811" t="str">
        <f>I811&amp;"-"&amp;J811&amp;"-"&amp;K811&amp;"-"&amp;L811&amp;"-"&amp;M811</f>
        <v>X-2-f-0-8.5</v>
      </c>
      <c r="Q811">
        <f>A811+R811</f>
        <v>19152.570606000001</v>
      </c>
      <c r="R811">
        <f>_xlfn.IFNA(VLOOKUP(P811,PGOPHER!A$2:G$181,7,FALSE),_xlfn.IFNA(VLOOKUP(P811,en!A$2:I$768,7,FALSE),-10000))</f>
        <v>325.300726</v>
      </c>
      <c r="S811">
        <f>IF(O811=O810,Q810+S810,Q811)</f>
        <v>57457.692563999997</v>
      </c>
      <c r="T811">
        <f>IF(O811=O810,T810+1,1)</f>
        <v>3</v>
      </c>
      <c r="U811">
        <f>IF(O811=O812,"",S811/T811)</f>
        <v>19152.564188</v>
      </c>
      <c r="V811" t="str">
        <f>IF(U811="","",IF(ABS(Q811-U811)&gt;V$1,"error",""))</f>
        <v/>
      </c>
    </row>
    <row r="812" spans="1:22" x14ac:dyDescent="0.55000000000000004">
      <c r="A812">
        <v>18817.628690000001</v>
      </c>
      <c r="B812" s="1">
        <v>5.0000000000000001E-3</v>
      </c>
      <c r="C812" s="1">
        <v>5.0000000000000001E-3</v>
      </c>
      <c r="D812" s="2" t="s">
        <v>680</v>
      </c>
      <c r="E812">
        <v>1</v>
      </c>
      <c r="F812" s="2" t="s">
        <v>2</v>
      </c>
      <c r="G812">
        <v>1</v>
      </c>
      <c r="H812">
        <v>8.5</v>
      </c>
      <c r="I812" s="2" t="s">
        <v>0</v>
      </c>
      <c r="J812">
        <v>1</v>
      </c>
      <c r="K812" s="2" t="s">
        <v>2</v>
      </c>
      <c r="L812">
        <v>1</v>
      </c>
      <c r="M812">
        <v>9.5</v>
      </c>
      <c r="N812" s="2" t="s">
        <v>1022</v>
      </c>
      <c r="O812" t="str">
        <f>D812&amp;"-"&amp;E812&amp;"-"&amp;F812&amp;"-"&amp;G812&amp;"-"&amp;H812</f>
        <v>E-1-e-1-8.5</v>
      </c>
      <c r="P812" t="str">
        <f>I812&amp;"-"&amp;J812&amp;"-"&amp;K812&amp;"-"&amp;L812&amp;"-"&amp;M812</f>
        <v>X-1-e-1-9.5</v>
      </c>
      <c r="Q812">
        <f>A812+R812</f>
        <v>20309.658447000002</v>
      </c>
      <c r="R812">
        <f>_xlfn.IFNA(VLOOKUP(P812,PGOPHER!A$2:G$181,7,FALSE),_xlfn.IFNA(VLOOKUP(P812,en!A$2:I$768,7,FALSE),-10000))</f>
        <v>1492.029757</v>
      </c>
      <c r="S812">
        <f>IF(O812=O811,Q811+S811,Q812)</f>
        <v>20309.658447000002</v>
      </c>
      <c r="T812">
        <f>IF(O812=O811,T811+1,1)</f>
        <v>1</v>
      </c>
      <c r="U812" t="str">
        <f>IF(O812=O813,"",S812/T812)</f>
        <v/>
      </c>
      <c r="V812" t="str">
        <f>IF(U812="","",IF(ABS(Q812-U812)&gt;V$1,"error",""))</f>
        <v/>
      </c>
    </row>
    <row r="813" spans="1:22" x14ac:dyDescent="0.55000000000000004">
      <c r="A813">
        <v>18937.8868</v>
      </c>
      <c r="B813" s="1">
        <v>5.0000000000000001E-3</v>
      </c>
      <c r="C813" s="1">
        <v>5.0000000000000001E-3</v>
      </c>
      <c r="D813" s="2" t="s">
        <v>680</v>
      </c>
      <c r="E813">
        <v>1</v>
      </c>
      <c r="F813" s="2" t="s">
        <v>2</v>
      </c>
      <c r="G813">
        <v>1</v>
      </c>
      <c r="H813">
        <v>8.5</v>
      </c>
      <c r="I813" s="2" t="s">
        <v>0</v>
      </c>
      <c r="J813">
        <v>1</v>
      </c>
      <c r="K813" s="2" t="s">
        <v>2</v>
      </c>
      <c r="L813">
        <v>1</v>
      </c>
      <c r="M813">
        <v>7.5</v>
      </c>
      <c r="N813" s="2" t="s">
        <v>1023</v>
      </c>
      <c r="O813" t="str">
        <f>D813&amp;"-"&amp;E813&amp;"-"&amp;F813&amp;"-"&amp;G813&amp;"-"&amp;H813</f>
        <v>E-1-e-1-8.5</v>
      </c>
      <c r="P813" t="str">
        <f>I813&amp;"-"&amp;J813&amp;"-"&amp;K813&amp;"-"&amp;L813&amp;"-"&amp;M813</f>
        <v>X-1-e-1-7.5</v>
      </c>
      <c r="Q813">
        <f>A813+R813</f>
        <v>20309.660896000001</v>
      </c>
      <c r="R813">
        <f>_xlfn.IFNA(VLOOKUP(P813,PGOPHER!A$2:G$181,7,FALSE),_xlfn.IFNA(VLOOKUP(P813,en!A$2:I$768,7,FALSE),-10000))</f>
        <v>1371.7740960000001</v>
      </c>
      <c r="S813">
        <f>IF(O813=O812,Q812+S812,Q813)</f>
        <v>40619.316894000003</v>
      </c>
      <c r="T813">
        <f>IF(O813=O812,T812+1,1)</f>
        <v>2</v>
      </c>
      <c r="U813" t="str">
        <f>IF(O813=O814,"",S813/T813)</f>
        <v/>
      </c>
      <c r="V813" t="str">
        <f>IF(U813="","",IF(ABS(Q813-U813)&gt;V$1,"error",""))</f>
        <v/>
      </c>
    </row>
    <row r="814" spans="1:22" x14ac:dyDescent="0.55000000000000004">
      <c r="A814">
        <v>18818.760450000002</v>
      </c>
      <c r="B814" s="1">
        <v>5.0000000000000001E-3</v>
      </c>
      <c r="C814" s="1">
        <v>5.0000000000000001E-3</v>
      </c>
      <c r="D814" s="2" t="s">
        <v>680</v>
      </c>
      <c r="E814">
        <v>1</v>
      </c>
      <c r="F814" s="2" t="s">
        <v>2</v>
      </c>
      <c r="G814">
        <v>1</v>
      </c>
      <c r="H814">
        <v>8.5</v>
      </c>
      <c r="I814" s="2" t="s">
        <v>0</v>
      </c>
      <c r="J814">
        <v>2</v>
      </c>
      <c r="K814" s="2" t="s">
        <v>1</v>
      </c>
      <c r="L814">
        <v>1</v>
      </c>
      <c r="M814">
        <v>8.5</v>
      </c>
      <c r="N814" s="2" t="s">
        <v>1024</v>
      </c>
      <c r="O814" t="str">
        <f>D814&amp;"-"&amp;E814&amp;"-"&amp;F814&amp;"-"&amp;G814&amp;"-"&amp;H814</f>
        <v>E-1-e-1-8.5</v>
      </c>
      <c r="P814" t="str">
        <f>I814&amp;"-"&amp;J814&amp;"-"&amp;K814&amp;"-"&amp;L814&amp;"-"&amp;M814</f>
        <v>X-2-f-1-8.5</v>
      </c>
      <c r="Q814">
        <f>A814+R814</f>
        <v>20309.662335000001</v>
      </c>
      <c r="R814">
        <f>_xlfn.IFNA(VLOOKUP(P814,PGOPHER!A$2:G$181,7,FALSE),_xlfn.IFNA(VLOOKUP(P814,en!A$2:I$768,7,FALSE),-10000))</f>
        <v>1490.901885</v>
      </c>
      <c r="S814">
        <f>IF(O814=O813,Q813+S813,Q814)</f>
        <v>60928.977790000004</v>
      </c>
      <c r="T814">
        <f>IF(O814=O813,T813+1,1)</f>
        <v>3</v>
      </c>
      <c r="U814">
        <f>IF(O814=O815,"",S814/T814)</f>
        <v>20309.659263333335</v>
      </c>
      <c r="V814" t="str">
        <f>IF(U814="","",IF(ABS(Q814-U814)&gt;V$1,"error",""))</f>
        <v/>
      </c>
    </row>
    <row r="815" spans="1:22" x14ac:dyDescent="0.55000000000000004">
      <c r="A815">
        <v>18755.535169999999</v>
      </c>
      <c r="B815" s="1">
        <v>0.20499999999999999</v>
      </c>
      <c r="C815" s="1">
        <v>0.20499999999999999</v>
      </c>
      <c r="D815" s="2" t="s">
        <v>680</v>
      </c>
      <c r="E815">
        <v>1</v>
      </c>
      <c r="F815" s="2" t="s">
        <v>1</v>
      </c>
      <c r="G815">
        <v>0</v>
      </c>
      <c r="H815">
        <v>8.5</v>
      </c>
      <c r="I815" s="2" t="s">
        <v>0</v>
      </c>
      <c r="J815">
        <v>2</v>
      </c>
      <c r="K815" s="2" t="s">
        <v>1</v>
      </c>
      <c r="L815">
        <v>0</v>
      </c>
      <c r="M815">
        <v>9.5</v>
      </c>
      <c r="N815" s="2" t="s">
        <v>769</v>
      </c>
      <c r="O815" t="str">
        <f>D815&amp;"-"&amp;E815&amp;"-"&amp;F815&amp;"-"&amp;G815&amp;"-"&amp;H815</f>
        <v>E-1-f-0-8.5</v>
      </c>
      <c r="P815" t="str">
        <f>I815&amp;"-"&amp;J815&amp;"-"&amp;K815&amp;"-"&amp;L815&amp;"-"&amp;M815</f>
        <v>X-2-f-0-9.5</v>
      </c>
      <c r="Q815">
        <f>A815+R815</f>
        <v>19152.903773999999</v>
      </c>
      <c r="R815">
        <f>_xlfn.IFNA(VLOOKUP(P815,PGOPHER!A$2:G$181,7,FALSE),_xlfn.IFNA(VLOOKUP(P815,en!A$2:I$768,7,FALSE),-10000))</f>
        <v>397.368604</v>
      </c>
      <c r="S815">
        <f>IF(O815=O814,Q814+S814,Q815)</f>
        <v>19152.903773999999</v>
      </c>
      <c r="T815">
        <f>IF(O815=O814,T814+1,1)</f>
        <v>1</v>
      </c>
      <c r="U815" t="str">
        <f>IF(O815=O816,"",S815/T815)</f>
        <v/>
      </c>
      <c r="V815" t="str">
        <f>IF(U815="","",IF(ABS(Q815-U815)&gt;V$1,"error",""))</f>
        <v/>
      </c>
    </row>
    <row r="816" spans="1:22" x14ac:dyDescent="0.55000000000000004">
      <c r="A816">
        <v>18892.553479999999</v>
      </c>
      <c r="B816" s="1">
        <v>0.20499999999999999</v>
      </c>
      <c r="C816" s="1">
        <v>0.20499999999999999</v>
      </c>
      <c r="D816" s="2" t="s">
        <v>680</v>
      </c>
      <c r="E816">
        <v>1</v>
      </c>
      <c r="F816" s="2" t="s">
        <v>1</v>
      </c>
      <c r="G816">
        <v>0</v>
      </c>
      <c r="H816">
        <v>8.5</v>
      </c>
      <c r="I816" s="2" t="s">
        <v>0</v>
      </c>
      <c r="J816">
        <v>2</v>
      </c>
      <c r="K816" s="2" t="s">
        <v>1</v>
      </c>
      <c r="L816">
        <v>0</v>
      </c>
      <c r="M816">
        <v>7.5</v>
      </c>
      <c r="N816" s="2" t="s">
        <v>770</v>
      </c>
      <c r="O816" t="str">
        <f>D816&amp;"-"&amp;E816&amp;"-"&amp;F816&amp;"-"&amp;G816&amp;"-"&amp;H816</f>
        <v>E-1-f-0-8.5</v>
      </c>
      <c r="P816" t="str">
        <f>I816&amp;"-"&amp;J816&amp;"-"&amp;K816&amp;"-"&amp;L816&amp;"-"&amp;M816</f>
        <v>X-2-f-0-7.5</v>
      </c>
      <c r="Q816">
        <f>A816+R816</f>
        <v>19152.905610999998</v>
      </c>
      <c r="R816">
        <f>_xlfn.IFNA(VLOOKUP(P816,PGOPHER!A$2:G$181,7,FALSE),_xlfn.IFNA(VLOOKUP(P816,en!A$2:I$768,7,FALSE),-10000))</f>
        <v>260.35213099999999</v>
      </c>
      <c r="S816">
        <f>IF(O816=O815,Q815+S815,Q816)</f>
        <v>38305.807547999997</v>
      </c>
      <c r="T816">
        <f>IF(O816=O815,T815+1,1)</f>
        <v>2</v>
      </c>
      <c r="U816" t="str">
        <f>IF(O816=O817,"",S816/T816)</f>
        <v/>
      </c>
      <c r="V816" t="str">
        <f>IF(U816="","",IF(ABS(Q816-U816)&gt;V$1,"error",""))</f>
        <v/>
      </c>
    </row>
    <row r="817" spans="1:22" x14ac:dyDescent="0.55000000000000004">
      <c r="A817">
        <v>18891.509979999999</v>
      </c>
      <c r="B817" s="1">
        <v>0.20499999999999999</v>
      </c>
      <c r="C817" s="1">
        <v>0.20499999999999999</v>
      </c>
      <c r="D817" s="2" t="s">
        <v>680</v>
      </c>
      <c r="E817">
        <v>1</v>
      </c>
      <c r="F817" s="2" t="s">
        <v>1</v>
      </c>
      <c r="G817">
        <v>0</v>
      </c>
      <c r="H817">
        <v>8.5</v>
      </c>
      <c r="I817" s="2" t="s">
        <v>0</v>
      </c>
      <c r="J817">
        <v>1</v>
      </c>
      <c r="K817" s="2" t="s">
        <v>2</v>
      </c>
      <c r="L817">
        <v>0</v>
      </c>
      <c r="M817">
        <v>8.5</v>
      </c>
      <c r="N817" s="2" t="s">
        <v>771</v>
      </c>
      <c r="O817" t="str">
        <f>D817&amp;"-"&amp;E817&amp;"-"&amp;F817&amp;"-"&amp;G817&amp;"-"&amp;H817</f>
        <v>E-1-f-0-8.5</v>
      </c>
      <c r="P817" t="str">
        <f>I817&amp;"-"&amp;J817&amp;"-"&amp;K817&amp;"-"&amp;L817&amp;"-"&amp;M817</f>
        <v>X-1-e-0-8.5</v>
      </c>
      <c r="Q817">
        <f>A817+R817</f>
        <v>19152.908036999997</v>
      </c>
      <c r="R817">
        <f>_xlfn.IFNA(VLOOKUP(P817,PGOPHER!A$2:G$181,7,FALSE),_xlfn.IFNA(VLOOKUP(P817,en!A$2:I$768,7,FALSE),-10000))</f>
        <v>261.39805699999999</v>
      </c>
      <c r="S817">
        <f>IF(O817=O816,Q816+S816,Q817)</f>
        <v>57458.713158999992</v>
      </c>
      <c r="T817">
        <f>IF(O817=O816,T816+1,1)</f>
        <v>3</v>
      </c>
      <c r="U817">
        <f>IF(O817=O818,"",S817/T817)</f>
        <v>19152.904386333332</v>
      </c>
      <c r="V817" t="str">
        <f>IF(U817="","",IF(ABS(Q817-U817)&gt;V$1,"error",""))</f>
        <v/>
      </c>
    </row>
    <row r="818" spans="1:22" x14ac:dyDescent="0.55000000000000004">
      <c r="A818">
        <v>18882.540580000001</v>
      </c>
      <c r="B818" s="1">
        <v>5.0000000000000001E-3</v>
      </c>
      <c r="C818" s="1">
        <v>5.0000000000000001E-3</v>
      </c>
      <c r="D818" s="2" t="s">
        <v>680</v>
      </c>
      <c r="E818">
        <v>1</v>
      </c>
      <c r="F818" s="2" t="s">
        <v>1</v>
      </c>
      <c r="G818">
        <v>1</v>
      </c>
      <c r="H818">
        <v>8.5</v>
      </c>
      <c r="I818" s="2" t="s">
        <v>0</v>
      </c>
      <c r="J818">
        <v>2</v>
      </c>
      <c r="K818" s="2" t="s">
        <v>1</v>
      </c>
      <c r="L818">
        <v>1</v>
      </c>
      <c r="M818">
        <v>7.5</v>
      </c>
      <c r="N818" s="2" t="s">
        <v>1025</v>
      </c>
      <c r="O818" t="str">
        <f>D818&amp;"-"&amp;E818&amp;"-"&amp;F818&amp;"-"&amp;G818&amp;"-"&amp;H818</f>
        <v>E-1-f-1-8.5</v>
      </c>
      <c r="P818" t="str">
        <f>I818&amp;"-"&amp;J818&amp;"-"&amp;K818&amp;"-"&amp;L818&amp;"-"&amp;M818</f>
        <v>X-2-f-1-7.5</v>
      </c>
      <c r="Q818">
        <f>A818+R818</f>
        <v>20309.937088000002</v>
      </c>
      <c r="R818">
        <f>_xlfn.IFNA(VLOOKUP(P818,PGOPHER!A$2:G$181,7,FALSE),_xlfn.IFNA(VLOOKUP(P818,en!A$2:I$768,7,FALSE),-10000))</f>
        <v>1427.396508</v>
      </c>
      <c r="S818">
        <f>IF(O818=O817,Q817+S817,Q818)</f>
        <v>20309.937088000002</v>
      </c>
      <c r="T818">
        <f>IF(O818=O817,T817+1,1)</f>
        <v>1</v>
      </c>
      <c r="U818" t="str">
        <f>IF(O818=O819,"",S818/T818)</f>
        <v/>
      </c>
      <c r="V818" t="str">
        <f>IF(U818="","",IF(ABS(Q818-U818)&gt;V$1,"error",""))</f>
        <v/>
      </c>
    </row>
    <row r="819" spans="1:22" x14ac:dyDescent="0.55000000000000004">
      <c r="A819">
        <v>18748.565770000001</v>
      </c>
      <c r="B819" s="1">
        <v>5.0000000000000001E-3</v>
      </c>
      <c r="C819" s="1">
        <v>5.0000000000000001E-3</v>
      </c>
      <c r="D819" s="2" t="s">
        <v>680</v>
      </c>
      <c r="E819">
        <v>1</v>
      </c>
      <c r="F819" s="2" t="s">
        <v>1</v>
      </c>
      <c r="G819">
        <v>1</v>
      </c>
      <c r="H819">
        <v>8.5</v>
      </c>
      <c r="I819" s="2" t="s">
        <v>0</v>
      </c>
      <c r="J819">
        <v>2</v>
      </c>
      <c r="K819" s="2" t="s">
        <v>1</v>
      </c>
      <c r="L819">
        <v>1</v>
      </c>
      <c r="M819">
        <v>9.5</v>
      </c>
      <c r="N819" s="2" t="s">
        <v>1026</v>
      </c>
      <c r="O819" t="str">
        <f>D819&amp;"-"&amp;E819&amp;"-"&amp;F819&amp;"-"&amp;G819&amp;"-"&amp;H819</f>
        <v>E-1-f-1-8.5</v>
      </c>
      <c r="P819" t="str">
        <f>I819&amp;"-"&amp;J819&amp;"-"&amp;K819&amp;"-"&amp;L819&amp;"-"&amp;M819</f>
        <v>X-2-f-1-9.5</v>
      </c>
      <c r="Q819">
        <f>A819+R819</f>
        <v>20309.935984</v>
      </c>
      <c r="R819">
        <f>_xlfn.IFNA(VLOOKUP(P819,PGOPHER!A$2:G$181,7,FALSE),_xlfn.IFNA(VLOOKUP(P819,en!A$2:I$768,7,FALSE),-10000))</f>
        <v>1561.370214</v>
      </c>
      <c r="S819">
        <f>IF(O819=O818,Q818+S818,Q819)</f>
        <v>40619.874176000005</v>
      </c>
      <c r="T819">
        <f>IF(O819=O818,T818+1,1)</f>
        <v>2</v>
      </c>
      <c r="U819" t="str">
        <f>IF(O819=O820,"",S819/T819)</f>
        <v/>
      </c>
      <c r="V819" t="str">
        <f>IF(U819="","",IF(ABS(Q819-U819)&gt;V$1,"error",""))</f>
        <v/>
      </c>
    </row>
    <row r="820" spans="1:22" x14ac:dyDescent="0.55000000000000004">
      <c r="A820">
        <v>18881.524280000001</v>
      </c>
      <c r="B820" s="1">
        <v>5.0000000000000001E-3</v>
      </c>
      <c r="C820" s="1">
        <v>5.0000000000000001E-3</v>
      </c>
      <c r="D820" s="2" t="s">
        <v>680</v>
      </c>
      <c r="E820">
        <v>1</v>
      </c>
      <c r="F820" s="2" t="s">
        <v>1</v>
      </c>
      <c r="G820">
        <v>1</v>
      </c>
      <c r="H820">
        <v>8.5</v>
      </c>
      <c r="I820" s="2" t="s">
        <v>0</v>
      </c>
      <c r="J820">
        <v>1</v>
      </c>
      <c r="K820" s="2" t="s">
        <v>2</v>
      </c>
      <c r="L820">
        <v>1</v>
      </c>
      <c r="M820">
        <v>8.5</v>
      </c>
      <c r="N820" s="2" t="s">
        <v>1027</v>
      </c>
      <c r="O820" t="str">
        <f>D820&amp;"-"&amp;E820&amp;"-"&amp;F820&amp;"-"&amp;G820&amp;"-"&amp;H820</f>
        <v>E-1-f-1-8.5</v>
      </c>
      <c r="P820" t="str">
        <f>I820&amp;"-"&amp;J820&amp;"-"&amp;K820&amp;"-"&amp;L820&amp;"-"&amp;M820</f>
        <v>X-1-e-1-8.5</v>
      </c>
      <c r="Q820">
        <f>A820+R820</f>
        <v>20309.931936000001</v>
      </c>
      <c r="R820">
        <f>_xlfn.IFNA(VLOOKUP(P820,PGOPHER!A$2:G$181,7,FALSE),_xlfn.IFNA(VLOOKUP(P820,en!A$2:I$768,7,FALSE),-10000))</f>
        <v>1428.4076560000001</v>
      </c>
      <c r="S820">
        <f>IF(O820=O819,Q819+S819,Q820)</f>
        <v>60929.810160000008</v>
      </c>
      <c r="T820">
        <f>IF(O820=O819,T819+1,1)</f>
        <v>3</v>
      </c>
      <c r="U820">
        <f>IF(O820=O821,"",S820/T820)</f>
        <v>20309.936720000002</v>
      </c>
      <c r="V820" t="str">
        <f>IF(U820="","",IF(ABS(Q820-U820)&gt;V$1,"error",""))</f>
        <v/>
      </c>
    </row>
    <row r="821" spans="1:22" x14ac:dyDescent="0.55000000000000004">
      <c r="A821">
        <v>18952.7546</v>
      </c>
      <c r="B821" s="1">
        <v>2.5000000000000001E-2</v>
      </c>
      <c r="C821" s="1">
        <v>2.5000000000000001E-2</v>
      </c>
      <c r="D821" s="2" t="s">
        <v>680</v>
      </c>
      <c r="E821">
        <v>2</v>
      </c>
      <c r="F821" s="2" t="s">
        <v>2</v>
      </c>
      <c r="G821">
        <v>0</v>
      </c>
      <c r="H821">
        <v>8.5</v>
      </c>
      <c r="I821" s="2" t="s">
        <v>0</v>
      </c>
      <c r="J821">
        <v>2</v>
      </c>
      <c r="K821" s="2" t="s">
        <v>1</v>
      </c>
      <c r="L821">
        <v>0</v>
      </c>
      <c r="M821">
        <v>8.5</v>
      </c>
      <c r="N821" s="2" t="s">
        <v>773</v>
      </c>
      <c r="O821" t="str">
        <f>D821&amp;"-"&amp;E821&amp;"-"&amp;F821&amp;"-"&amp;G821&amp;"-"&amp;H821</f>
        <v>E-2-e-0-8.5</v>
      </c>
      <c r="P821" t="str">
        <f>I821&amp;"-"&amp;J821&amp;"-"&amp;K821&amp;"-"&amp;L821&amp;"-"&amp;M821</f>
        <v>X-2-f-0-8.5</v>
      </c>
      <c r="Q821">
        <f>A821+R821</f>
        <v>19278.055326000002</v>
      </c>
      <c r="R821">
        <f>_xlfn.IFNA(VLOOKUP(P821,PGOPHER!A$2:G$181,7,FALSE),_xlfn.IFNA(VLOOKUP(P821,en!A$2:I$768,7,FALSE),-10000))</f>
        <v>325.300726</v>
      </c>
      <c r="S821">
        <f>IF(O821=O820,Q820+S820,Q821)</f>
        <v>19278.055326000002</v>
      </c>
      <c r="T821">
        <f>IF(O821=O820,T820+1,1)</f>
        <v>1</v>
      </c>
      <c r="U821" t="str">
        <f>IF(O821=O822,"",S821/T821)</f>
        <v/>
      </c>
      <c r="V821" t="str">
        <f>IF(U821="","",IF(ABS(Q821-U821)&gt;V$1,"error",""))</f>
        <v/>
      </c>
    </row>
    <row r="822" spans="1:22" x14ac:dyDescent="0.55000000000000004">
      <c r="A822">
        <v>19074.578750000001</v>
      </c>
      <c r="B822" s="1">
        <v>2.5000000000000001E-2</v>
      </c>
      <c r="C822" s="1">
        <v>2.5000000000000001E-2</v>
      </c>
      <c r="D822" s="2" t="s">
        <v>680</v>
      </c>
      <c r="E822">
        <v>2</v>
      </c>
      <c r="F822" s="2" t="s">
        <v>2</v>
      </c>
      <c r="G822">
        <v>0</v>
      </c>
      <c r="H822">
        <v>8.5</v>
      </c>
      <c r="I822" s="2" t="s">
        <v>0</v>
      </c>
      <c r="J822">
        <v>1</v>
      </c>
      <c r="K822" s="2" t="s">
        <v>2</v>
      </c>
      <c r="L822">
        <v>0</v>
      </c>
      <c r="M822">
        <v>7.5</v>
      </c>
      <c r="N822" s="2" t="s">
        <v>772</v>
      </c>
      <c r="O822" t="str">
        <f>D822&amp;"-"&amp;E822&amp;"-"&amp;F822&amp;"-"&amp;G822&amp;"-"&amp;H822</f>
        <v>E-2-e-0-8.5</v>
      </c>
      <c r="P822" t="str">
        <f>I822&amp;"-"&amp;J822&amp;"-"&amp;K822&amp;"-"&amp;L822&amp;"-"&amp;M822</f>
        <v>X-1-e-0-7.5</v>
      </c>
      <c r="Q822">
        <f>A822+R822</f>
        <v>19278.058273000002</v>
      </c>
      <c r="R822">
        <f>_xlfn.IFNA(VLOOKUP(P822,PGOPHER!A$2:G$181,7,FALSE),_xlfn.IFNA(VLOOKUP(P822,en!A$2:I$768,7,FALSE),-10000))</f>
        <v>203.479523</v>
      </c>
      <c r="S822">
        <f>IF(O822=O821,Q821+S821,Q822)</f>
        <v>38556.110652000003</v>
      </c>
      <c r="T822">
        <f>IF(O822=O821,T821+1,1)</f>
        <v>2</v>
      </c>
      <c r="U822">
        <f>IF(O822=O823,"",S822/T822)</f>
        <v>19278.055326000002</v>
      </c>
      <c r="V822" t="str">
        <f>IF(U822="","",IF(ABS(Q822-U822)&gt;V$1,"error",""))</f>
        <v/>
      </c>
    </row>
    <row r="823" spans="1:22" x14ac:dyDescent="0.55000000000000004">
      <c r="A823">
        <v>19065.572609999999</v>
      </c>
      <c r="B823" s="1">
        <v>5.0000000000000001E-3</v>
      </c>
      <c r="C823" s="1">
        <v>5.0000000000000001E-3</v>
      </c>
      <c r="D823" s="2" t="s">
        <v>680</v>
      </c>
      <c r="E823">
        <v>2</v>
      </c>
      <c r="F823" s="2" t="s">
        <v>2</v>
      </c>
      <c r="G823">
        <v>1</v>
      </c>
      <c r="H823">
        <v>8.5</v>
      </c>
      <c r="I823" s="2" t="s">
        <v>0</v>
      </c>
      <c r="J823">
        <v>1</v>
      </c>
      <c r="K823" s="2" t="s">
        <v>2</v>
      </c>
      <c r="L823">
        <v>1</v>
      </c>
      <c r="M823">
        <v>7.5</v>
      </c>
      <c r="N823" s="2" t="s">
        <v>1028</v>
      </c>
      <c r="O823" t="str">
        <f>D823&amp;"-"&amp;E823&amp;"-"&amp;F823&amp;"-"&amp;G823&amp;"-"&amp;H823</f>
        <v>E-2-e-1-8.5</v>
      </c>
      <c r="P823" t="str">
        <f>I823&amp;"-"&amp;J823&amp;"-"&amp;K823&amp;"-"&amp;L823&amp;"-"&amp;M823</f>
        <v>X-1-e-1-7.5</v>
      </c>
      <c r="Q823">
        <f>A823+R823</f>
        <v>20437.346706</v>
      </c>
      <c r="R823">
        <f>_xlfn.IFNA(VLOOKUP(P823,PGOPHER!A$2:G$181,7,FALSE),_xlfn.IFNA(VLOOKUP(P823,en!A$2:I$768,7,FALSE),-10000))</f>
        <v>1371.7740960000001</v>
      </c>
      <c r="S823">
        <f>IF(O823=O822,Q822+S822,Q823)</f>
        <v>20437.346706</v>
      </c>
      <c r="T823">
        <f>IF(O823=O822,T822+1,1)</f>
        <v>1</v>
      </c>
      <c r="U823" t="str">
        <f>IF(O823=O824,"",S823/T823)</f>
        <v/>
      </c>
      <c r="V823" t="str">
        <f>IF(U823="","",IF(ABS(Q823-U823)&gt;V$1,"error",""))</f>
        <v/>
      </c>
    </row>
    <row r="824" spans="1:22" x14ac:dyDescent="0.55000000000000004">
      <c r="A824">
        <v>18945.29376</v>
      </c>
      <c r="B824" s="1">
        <v>2.5000000000000001E-2</v>
      </c>
      <c r="C824" s="1">
        <v>2.5000000000000001E-2</v>
      </c>
      <c r="D824" s="2" t="s">
        <v>680</v>
      </c>
      <c r="E824">
        <v>2</v>
      </c>
      <c r="F824" s="2" t="s">
        <v>2</v>
      </c>
      <c r="G824">
        <v>1</v>
      </c>
      <c r="H824">
        <v>8.5</v>
      </c>
      <c r="I824" s="2" t="s">
        <v>0</v>
      </c>
      <c r="J824">
        <v>1</v>
      </c>
      <c r="K824" s="2" t="s">
        <v>2</v>
      </c>
      <c r="L824">
        <v>1</v>
      </c>
      <c r="M824">
        <v>9.5</v>
      </c>
      <c r="N824" s="2" t="s">
        <v>1029</v>
      </c>
      <c r="O824" t="str">
        <f>D824&amp;"-"&amp;E824&amp;"-"&amp;F824&amp;"-"&amp;G824&amp;"-"&amp;H824</f>
        <v>E-2-e-1-8.5</v>
      </c>
      <c r="P824" t="str">
        <f>I824&amp;"-"&amp;J824&amp;"-"&amp;K824&amp;"-"&amp;L824&amp;"-"&amp;M824</f>
        <v>X-1-e-1-9.5</v>
      </c>
      <c r="Q824">
        <f>A824+R824</f>
        <v>20437.323517000001</v>
      </c>
      <c r="R824">
        <f>_xlfn.IFNA(VLOOKUP(P824,PGOPHER!A$2:G$181,7,FALSE),_xlfn.IFNA(VLOOKUP(P824,en!A$2:I$768,7,FALSE),-10000))</f>
        <v>1492.029757</v>
      </c>
      <c r="S824">
        <f>IF(O824=O823,Q823+S823,Q824)</f>
        <v>40874.693412000001</v>
      </c>
      <c r="T824">
        <f>IF(O824=O823,T823+1,1)</f>
        <v>2</v>
      </c>
      <c r="U824" t="str">
        <f>IF(O824=O825,"",S824/T824)</f>
        <v/>
      </c>
      <c r="V824" t="str">
        <f>IF(U824="","",IF(ABS(Q824-U824)&gt;V$1,"error",""))</f>
        <v/>
      </c>
    </row>
    <row r="825" spans="1:22" x14ac:dyDescent="0.55000000000000004">
      <c r="A825">
        <v>18946.439920000001</v>
      </c>
      <c r="B825" s="1">
        <v>5.0000000000000001E-3</v>
      </c>
      <c r="C825" s="1">
        <v>5.0000000000000001E-3</v>
      </c>
      <c r="D825" s="2" t="s">
        <v>680</v>
      </c>
      <c r="E825">
        <v>2</v>
      </c>
      <c r="F825" s="2" t="s">
        <v>2</v>
      </c>
      <c r="G825">
        <v>1</v>
      </c>
      <c r="H825">
        <v>8.5</v>
      </c>
      <c r="I825" s="2" t="s">
        <v>0</v>
      </c>
      <c r="J825">
        <v>2</v>
      </c>
      <c r="K825" s="2" t="s">
        <v>1</v>
      </c>
      <c r="L825">
        <v>1</v>
      </c>
      <c r="M825">
        <v>8.5</v>
      </c>
      <c r="N825" s="2" t="s">
        <v>1030</v>
      </c>
      <c r="O825" t="str">
        <f>D825&amp;"-"&amp;E825&amp;"-"&amp;F825&amp;"-"&amp;G825&amp;"-"&amp;H825</f>
        <v>E-2-e-1-8.5</v>
      </c>
      <c r="P825" t="str">
        <f>I825&amp;"-"&amp;J825&amp;"-"&amp;K825&amp;"-"&amp;L825&amp;"-"&amp;M825</f>
        <v>X-2-f-1-8.5</v>
      </c>
      <c r="Q825">
        <f>A825+R825</f>
        <v>20437.341805</v>
      </c>
      <c r="R825">
        <f>_xlfn.IFNA(VLOOKUP(P825,PGOPHER!A$2:G$181,7,FALSE),_xlfn.IFNA(VLOOKUP(P825,en!A$2:I$768,7,FALSE),-10000))</f>
        <v>1490.901885</v>
      </c>
      <c r="S825">
        <f>IF(O825=O824,Q824+S824,Q825)</f>
        <v>61312.016929000005</v>
      </c>
      <c r="T825">
        <f>IF(O825=O824,T824+1,1)</f>
        <v>3</v>
      </c>
      <c r="U825">
        <f>IF(O825=O826,"",S825/T825)</f>
        <v>20437.338976333336</v>
      </c>
      <c r="V825" t="str">
        <f>IF(U825="","",IF(ABS(Q825-U825)&gt;V$1,"error",""))</f>
        <v/>
      </c>
    </row>
    <row r="826" spans="1:22" x14ac:dyDescent="0.55000000000000004">
      <c r="A826">
        <v>19018.170330000001</v>
      </c>
      <c r="B826" s="1">
        <v>1.4999999999999999E-2</v>
      </c>
      <c r="C826" s="1">
        <v>1.4999999999999999E-2</v>
      </c>
      <c r="D826" s="2" t="s">
        <v>680</v>
      </c>
      <c r="E826">
        <v>2</v>
      </c>
      <c r="F826" s="2" t="s">
        <v>1</v>
      </c>
      <c r="G826">
        <v>0</v>
      </c>
      <c r="H826">
        <v>8.5</v>
      </c>
      <c r="I826" s="2" t="s">
        <v>0</v>
      </c>
      <c r="J826">
        <v>2</v>
      </c>
      <c r="K826" s="2" t="s">
        <v>1</v>
      </c>
      <c r="L826">
        <v>0</v>
      </c>
      <c r="M826">
        <v>7.5</v>
      </c>
      <c r="N826" s="2" t="s">
        <v>774</v>
      </c>
      <c r="O826" t="str">
        <f>D826&amp;"-"&amp;E826&amp;"-"&amp;F826&amp;"-"&amp;G826&amp;"-"&amp;H826</f>
        <v>E-2-f-0-8.5</v>
      </c>
      <c r="P826" t="str">
        <f>I826&amp;"-"&amp;J826&amp;"-"&amp;K826&amp;"-"&amp;L826&amp;"-"&amp;M826</f>
        <v>X-2-f-0-7.5</v>
      </c>
      <c r="Q826">
        <f>A826+R826</f>
        <v>19278.522461</v>
      </c>
      <c r="R826">
        <f>_xlfn.IFNA(VLOOKUP(P826,PGOPHER!A$2:G$181,7,FALSE),_xlfn.IFNA(VLOOKUP(P826,en!A$2:I$768,7,FALSE),-10000))</f>
        <v>260.35213099999999</v>
      </c>
      <c r="S826">
        <f>IF(O826=O825,Q825+S825,Q826)</f>
        <v>19278.522461</v>
      </c>
      <c r="T826">
        <f>IF(O826=O825,T825+1,1)</f>
        <v>1</v>
      </c>
      <c r="U826" t="str">
        <f>IF(O826=O827,"",S826/T826)</f>
        <v/>
      </c>
      <c r="V826" t="str">
        <f>IF(U826="","",IF(ABS(Q826-U826)&gt;V$1,"error",""))</f>
        <v/>
      </c>
    </row>
    <row r="827" spans="1:22" x14ac:dyDescent="0.55000000000000004">
      <c r="A827">
        <v>18881.149119999998</v>
      </c>
      <c r="B827" s="1">
        <v>5.0000000000000001E-3</v>
      </c>
      <c r="C827" s="1">
        <v>5.0000000000000001E-3</v>
      </c>
      <c r="D827" s="2" t="s">
        <v>680</v>
      </c>
      <c r="E827">
        <v>2</v>
      </c>
      <c r="F827" s="2" t="s">
        <v>1</v>
      </c>
      <c r="G827">
        <v>0</v>
      </c>
      <c r="H827">
        <v>8.5</v>
      </c>
      <c r="I827" s="2" t="s">
        <v>0</v>
      </c>
      <c r="J827">
        <v>2</v>
      </c>
      <c r="K827" s="2" t="s">
        <v>1</v>
      </c>
      <c r="L827">
        <v>0</v>
      </c>
      <c r="M827">
        <v>9.5</v>
      </c>
      <c r="N827" s="2" t="s">
        <v>775</v>
      </c>
      <c r="O827" t="str">
        <f>D827&amp;"-"&amp;E827&amp;"-"&amp;F827&amp;"-"&amp;G827&amp;"-"&amp;H827</f>
        <v>E-2-f-0-8.5</v>
      </c>
      <c r="P827" t="str">
        <f>I827&amp;"-"&amp;J827&amp;"-"&amp;K827&amp;"-"&amp;L827&amp;"-"&amp;M827</f>
        <v>X-2-f-0-9.5</v>
      </c>
      <c r="Q827">
        <f>A827+R827</f>
        <v>19278.517723999998</v>
      </c>
      <c r="R827">
        <f>_xlfn.IFNA(VLOOKUP(P827,PGOPHER!A$2:G$181,7,FALSE),_xlfn.IFNA(VLOOKUP(P827,en!A$2:I$768,7,FALSE),-10000))</f>
        <v>397.368604</v>
      </c>
      <c r="S827">
        <f>IF(O827=O826,Q826+S826,Q827)</f>
        <v>38557.044922000001</v>
      </c>
      <c r="T827">
        <f>IF(O827=O826,T826+1,1)</f>
        <v>2</v>
      </c>
      <c r="U827" t="str">
        <f>IF(O827=O828,"",S827/T827)</f>
        <v/>
      </c>
      <c r="V827" t="str">
        <f>IF(U827="","",IF(ABS(Q827-U827)&gt;V$1,"error",""))</f>
        <v/>
      </c>
    </row>
    <row r="828" spans="1:22" x14ac:dyDescent="0.55000000000000004">
      <c r="A828">
        <v>19017.1234</v>
      </c>
      <c r="B828" s="1">
        <v>1.4999999999999999E-2</v>
      </c>
      <c r="C828" s="1">
        <v>1.4999999999999999E-2</v>
      </c>
      <c r="D828" s="2" t="s">
        <v>680</v>
      </c>
      <c r="E828">
        <v>2</v>
      </c>
      <c r="F828" s="2" t="s">
        <v>1</v>
      </c>
      <c r="G828">
        <v>0</v>
      </c>
      <c r="H828">
        <v>8.5</v>
      </c>
      <c r="I828" s="2" t="s">
        <v>0</v>
      </c>
      <c r="J828">
        <v>1</v>
      </c>
      <c r="K828" s="2" t="s">
        <v>2</v>
      </c>
      <c r="L828">
        <v>0</v>
      </c>
      <c r="M828">
        <v>8.5</v>
      </c>
      <c r="N828" s="2" t="s">
        <v>776</v>
      </c>
      <c r="O828" t="str">
        <f>D828&amp;"-"&amp;E828&amp;"-"&amp;F828&amp;"-"&amp;G828&amp;"-"&amp;H828</f>
        <v>E-2-f-0-8.5</v>
      </c>
      <c r="P828" t="str">
        <f>I828&amp;"-"&amp;J828&amp;"-"&amp;K828&amp;"-"&amp;L828&amp;"-"&amp;M828</f>
        <v>X-1-e-0-8.5</v>
      </c>
      <c r="Q828">
        <f>A828+R828</f>
        <v>19278.521456999999</v>
      </c>
      <c r="R828">
        <f>_xlfn.IFNA(VLOOKUP(P828,PGOPHER!A$2:G$181,7,FALSE),_xlfn.IFNA(VLOOKUP(P828,en!A$2:I$768,7,FALSE),-10000))</f>
        <v>261.39805699999999</v>
      </c>
      <c r="S828">
        <f>IF(O828=O827,Q827+S827,Q828)</f>
        <v>57835.562645999998</v>
      </c>
      <c r="T828">
        <f>IF(O828=O827,T827+1,1)</f>
        <v>3</v>
      </c>
      <c r="U828">
        <f>IF(O828=O829,"",S828/T828)</f>
        <v>19278.520882000001</v>
      </c>
      <c r="V828" t="str">
        <f>IF(U828="","",IF(ABS(Q828-U828)&gt;V$1,"error",""))</f>
        <v/>
      </c>
    </row>
    <row r="829" spans="1:22" x14ac:dyDescent="0.55000000000000004">
      <c r="A829">
        <v>19009.295010000002</v>
      </c>
      <c r="B829" s="1">
        <v>7.1939999999999999E-3</v>
      </c>
      <c r="C829" s="1">
        <v>7.1939999999999999E-3</v>
      </c>
      <c r="D829" s="2" t="s">
        <v>680</v>
      </c>
      <c r="E829">
        <v>2</v>
      </c>
      <c r="F829" s="2" t="s">
        <v>1</v>
      </c>
      <c r="G829">
        <v>1</v>
      </c>
      <c r="H829">
        <v>8.5</v>
      </c>
      <c r="I829" s="2" t="s">
        <v>0</v>
      </c>
      <c r="J829">
        <v>1</v>
      </c>
      <c r="K829" s="2" t="s">
        <v>2</v>
      </c>
      <c r="L829">
        <v>1</v>
      </c>
      <c r="M829">
        <v>8.5</v>
      </c>
      <c r="N829" s="2" t="s">
        <v>1031</v>
      </c>
      <c r="O829" t="str">
        <f>D829&amp;"-"&amp;E829&amp;"-"&amp;F829&amp;"-"&amp;G829&amp;"-"&amp;H829</f>
        <v>E-2-f-1-8.5</v>
      </c>
      <c r="P829" t="str">
        <f>I829&amp;"-"&amp;J829&amp;"-"&amp;K829&amp;"-"&amp;L829&amp;"-"&amp;M829</f>
        <v>X-1-e-1-8.5</v>
      </c>
      <c r="Q829">
        <f>A829+R829</f>
        <v>20437.702666000001</v>
      </c>
      <c r="R829">
        <f>_xlfn.IFNA(VLOOKUP(P829,PGOPHER!A$2:G$181,7,FALSE),_xlfn.IFNA(VLOOKUP(P829,en!A$2:I$768,7,FALSE),-10000))</f>
        <v>1428.4076560000001</v>
      </c>
      <c r="S829">
        <f>IF(O829=O828,Q828+S828,Q829)</f>
        <v>20437.702666000001</v>
      </c>
      <c r="T829">
        <f>IF(O829=O828,T828+1,1)</f>
        <v>1</v>
      </c>
      <c r="U829" t="str">
        <f>IF(O829=O830,"",S829/T829)</f>
        <v/>
      </c>
      <c r="V829" t="str">
        <f>IF(U829="","",IF(ABS(Q829-U829)&gt;V$1,"error",""))</f>
        <v/>
      </c>
    </row>
    <row r="830" spans="1:22" x14ac:dyDescent="0.55000000000000004">
      <c r="A830">
        <v>19010.31567</v>
      </c>
      <c r="B830" s="1">
        <v>5.0000000000000001E-3</v>
      </c>
      <c r="C830" s="1">
        <v>5.0000000000000001E-3</v>
      </c>
      <c r="D830" s="2" t="s">
        <v>680</v>
      </c>
      <c r="E830">
        <v>2</v>
      </c>
      <c r="F830" s="2" t="s">
        <v>1</v>
      </c>
      <c r="G830">
        <v>1</v>
      </c>
      <c r="H830">
        <v>8.5</v>
      </c>
      <c r="I830" s="2" t="s">
        <v>0</v>
      </c>
      <c r="J830">
        <v>2</v>
      </c>
      <c r="K830" s="2" t="s">
        <v>1</v>
      </c>
      <c r="L830">
        <v>1</v>
      </c>
      <c r="M830">
        <v>7.5</v>
      </c>
      <c r="N830" s="2" t="s">
        <v>1032</v>
      </c>
      <c r="O830" t="str">
        <f>D830&amp;"-"&amp;E830&amp;"-"&amp;F830&amp;"-"&amp;G830&amp;"-"&amp;H830</f>
        <v>E-2-f-1-8.5</v>
      </c>
      <c r="P830" t="str">
        <f>I830&amp;"-"&amp;J830&amp;"-"&amp;K830&amp;"-"&amp;L830&amp;"-"&amp;M830</f>
        <v>X-2-f-1-7.5</v>
      </c>
      <c r="Q830">
        <f>A830+R830</f>
        <v>20437.712178000002</v>
      </c>
      <c r="R830">
        <f>_xlfn.IFNA(VLOOKUP(P830,PGOPHER!A$2:G$181,7,FALSE),_xlfn.IFNA(VLOOKUP(P830,en!A$2:I$768,7,FALSE),-10000))</f>
        <v>1427.396508</v>
      </c>
      <c r="S830">
        <f>IF(O830=O829,Q829+S829,Q830)</f>
        <v>40875.405332000002</v>
      </c>
      <c r="T830">
        <f>IF(O830=O829,T829+1,1)</f>
        <v>2</v>
      </c>
      <c r="U830" t="str">
        <f>IF(O830=O831,"",S830/T830)</f>
        <v/>
      </c>
      <c r="V830" t="str">
        <f>IF(U830="","",IF(ABS(Q830-U830)&gt;V$1,"error",""))</f>
        <v/>
      </c>
    </row>
    <row r="831" spans="1:22" x14ac:dyDescent="0.55000000000000004">
      <c r="A831">
        <v>18876.339680000001</v>
      </c>
      <c r="B831" s="1">
        <v>5.0000000000000001E-3</v>
      </c>
      <c r="C831" s="1">
        <v>5.0000000000000001E-3</v>
      </c>
      <c r="D831" s="2" t="s">
        <v>680</v>
      </c>
      <c r="E831">
        <v>2</v>
      </c>
      <c r="F831" s="2" t="s">
        <v>1</v>
      </c>
      <c r="G831">
        <v>1</v>
      </c>
      <c r="H831">
        <v>8.5</v>
      </c>
      <c r="I831" s="2" t="s">
        <v>0</v>
      </c>
      <c r="J831">
        <v>2</v>
      </c>
      <c r="K831" s="2" t="s">
        <v>1</v>
      </c>
      <c r="L831">
        <v>1</v>
      </c>
      <c r="M831">
        <v>9.5</v>
      </c>
      <c r="N831" s="2" t="s">
        <v>1033</v>
      </c>
      <c r="O831" t="str">
        <f>D831&amp;"-"&amp;E831&amp;"-"&amp;F831&amp;"-"&amp;G831&amp;"-"&amp;H831</f>
        <v>E-2-f-1-8.5</v>
      </c>
      <c r="P831" t="str">
        <f>I831&amp;"-"&amp;J831&amp;"-"&amp;K831&amp;"-"&amp;L831&amp;"-"&amp;M831</f>
        <v>X-2-f-1-9.5</v>
      </c>
      <c r="Q831">
        <f>A831+R831</f>
        <v>20437.709894</v>
      </c>
      <c r="R831">
        <f>_xlfn.IFNA(VLOOKUP(P831,PGOPHER!A$2:G$181,7,FALSE),_xlfn.IFNA(VLOOKUP(P831,en!A$2:I$768,7,FALSE),-10000))</f>
        <v>1561.370214</v>
      </c>
      <c r="S831">
        <f>IF(O831=O830,Q830+S830,Q831)</f>
        <v>61313.117510000004</v>
      </c>
      <c r="T831">
        <f>IF(O831=O830,T830+1,1)</f>
        <v>3</v>
      </c>
      <c r="U831">
        <f>IF(O831=O832,"",S831/T831)</f>
        <v>20437.705836666668</v>
      </c>
      <c r="V831" t="str">
        <f>IF(U831="","",IF(ABS(Q831-U831)&gt;V$1,"error",""))</f>
        <v/>
      </c>
    </row>
    <row r="832" spans="1:22" x14ac:dyDescent="0.55000000000000004">
      <c r="A832">
        <v>18959.640240000001</v>
      </c>
      <c r="B832" s="1">
        <v>0.105</v>
      </c>
      <c r="C832" s="1">
        <v>0.105</v>
      </c>
      <c r="D832" s="2" t="s">
        <v>680</v>
      </c>
      <c r="E832">
        <v>1</v>
      </c>
      <c r="F832" s="2" t="s">
        <v>2</v>
      </c>
      <c r="G832">
        <v>0</v>
      </c>
      <c r="H832">
        <v>9.5</v>
      </c>
      <c r="I832" s="2" t="s">
        <v>0</v>
      </c>
      <c r="J832">
        <v>1</v>
      </c>
      <c r="K832" s="2" t="s">
        <v>2</v>
      </c>
      <c r="L832">
        <v>0</v>
      </c>
      <c r="M832">
        <v>8.5</v>
      </c>
      <c r="N832" s="2" t="s">
        <v>777</v>
      </c>
      <c r="O832" t="str">
        <f>D832&amp;"-"&amp;E832&amp;"-"&amp;F832&amp;"-"&amp;G832&amp;"-"&amp;H832</f>
        <v>E-1-e-0-9.5</v>
      </c>
      <c r="P832" t="str">
        <f>I832&amp;"-"&amp;J832&amp;"-"&amp;K832&amp;"-"&amp;L832&amp;"-"&amp;M832</f>
        <v>X-1-e-0-8.5</v>
      </c>
      <c r="Q832">
        <f>A832+R832</f>
        <v>19221.038296999999</v>
      </c>
      <c r="R832">
        <f>_xlfn.IFNA(VLOOKUP(P832,PGOPHER!A$2:G$181,7,FALSE),_xlfn.IFNA(VLOOKUP(P832,en!A$2:I$768,7,FALSE),-10000))</f>
        <v>261.39805699999999</v>
      </c>
      <c r="S832">
        <f>IF(O832=O831,Q831+S831,Q832)</f>
        <v>19221.038296999999</v>
      </c>
      <c r="T832">
        <f>IF(O832=O831,T831+1,1)</f>
        <v>1</v>
      </c>
      <c r="U832" t="str">
        <f>IF(O832=O833,"",S832/T832)</f>
        <v/>
      </c>
      <c r="V832" t="str">
        <f>IF(U832="","",IF(ABS(Q832-U832)&gt;V$1,"error",""))</f>
        <v/>
      </c>
    </row>
    <row r="833" spans="1:22" x14ac:dyDescent="0.55000000000000004">
      <c r="A833">
        <v>18822.378229999998</v>
      </c>
      <c r="B833" s="1">
        <v>0.20499999999999999</v>
      </c>
      <c r="C833" s="1">
        <v>0.20499999999999999</v>
      </c>
      <c r="D833" s="2" t="s">
        <v>680</v>
      </c>
      <c r="E833">
        <v>1</v>
      </c>
      <c r="F833" s="2" t="s">
        <v>2</v>
      </c>
      <c r="G833">
        <v>0</v>
      </c>
      <c r="H833">
        <v>9.5</v>
      </c>
      <c r="I833" s="2" t="s">
        <v>0</v>
      </c>
      <c r="J833">
        <v>1</v>
      </c>
      <c r="K833" s="2" t="s">
        <v>2</v>
      </c>
      <c r="L833">
        <v>0</v>
      </c>
      <c r="M833">
        <v>10.5</v>
      </c>
      <c r="N833" s="2" t="s">
        <v>778</v>
      </c>
      <c r="O833" t="str">
        <f>D833&amp;"-"&amp;E833&amp;"-"&amp;F833&amp;"-"&amp;G833&amp;"-"&amp;H833</f>
        <v>E-1-e-0-9.5</v>
      </c>
      <c r="P833" t="str">
        <f>I833&amp;"-"&amp;J833&amp;"-"&amp;K833&amp;"-"&amp;L833&amp;"-"&amp;M833</f>
        <v>X-1-e-0-10.5</v>
      </c>
      <c r="Q833">
        <f>A833+R833</f>
        <v>19221.034489999998</v>
      </c>
      <c r="R833">
        <f>_xlfn.IFNA(VLOOKUP(P833,PGOPHER!A$2:G$181,7,FALSE),_xlfn.IFNA(VLOOKUP(P833,en!A$2:I$768,7,FALSE),-10000))</f>
        <v>398.65625999999997</v>
      </c>
      <c r="S833">
        <f>IF(O833=O832,Q832+S832,Q833)</f>
        <v>38442.076593999998</v>
      </c>
      <c r="T833">
        <f>IF(O833=O832,T832+1,1)</f>
        <v>2</v>
      </c>
      <c r="U833" t="str">
        <f>IF(O833=O834,"",S833/T833)</f>
        <v/>
      </c>
      <c r="V833" t="str">
        <f>IF(U833="","",IF(ABS(Q833-U833)&gt;V$1,"error",""))</f>
        <v/>
      </c>
    </row>
    <row r="834" spans="1:22" x14ac:dyDescent="0.55000000000000004">
      <c r="A834">
        <v>18823.662530000001</v>
      </c>
      <c r="B834" s="1">
        <v>0.20499999999999999</v>
      </c>
      <c r="C834" s="1">
        <v>0.20499999999999999</v>
      </c>
      <c r="D834" s="2" t="s">
        <v>680</v>
      </c>
      <c r="E834">
        <v>1</v>
      </c>
      <c r="F834" s="2" t="s">
        <v>2</v>
      </c>
      <c r="G834">
        <v>0</v>
      </c>
      <c r="H834">
        <v>9.5</v>
      </c>
      <c r="I834" s="2" t="s">
        <v>0</v>
      </c>
      <c r="J834">
        <v>2</v>
      </c>
      <c r="K834" s="2" t="s">
        <v>1</v>
      </c>
      <c r="L834">
        <v>0</v>
      </c>
      <c r="M834">
        <v>9.5</v>
      </c>
      <c r="N834" s="2" t="s">
        <v>779</v>
      </c>
      <c r="O834" t="str">
        <f>D834&amp;"-"&amp;E834&amp;"-"&amp;F834&amp;"-"&amp;G834&amp;"-"&amp;H834</f>
        <v>E-1-e-0-9.5</v>
      </c>
      <c r="P834" t="str">
        <f>I834&amp;"-"&amp;J834&amp;"-"&amp;K834&amp;"-"&amp;L834&amp;"-"&amp;M834</f>
        <v>X-2-f-0-9.5</v>
      </c>
      <c r="Q834">
        <f>A834+R834</f>
        <v>19221.031134000001</v>
      </c>
      <c r="R834">
        <f>_xlfn.IFNA(VLOOKUP(P834,PGOPHER!A$2:G$181,7,FALSE),_xlfn.IFNA(VLOOKUP(P834,en!A$2:I$768,7,FALSE),-10000))</f>
        <v>397.368604</v>
      </c>
      <c r="S834">
        <f>IF(O834=O833,Q833+S833,Q834)</f>
        <v>57663.111083999996</v>
      </c>
      <c r="T834">
        <f>IF(O834=O833,T833+1,1)</f>
        <v>3</v>
      </c>
      <c r="U834">
        <f>IF(O834=O835,"",S834/T834)</f>
        <v>19221.037027999999</v>
      </c>
      <c r="V834" t="str">
        <f>IF(U834="","",IF(ABS(Q834-U834)&gt;V$1,"error",""))</f>
        <v/>
      </c>
    </row>
    <row r="835" spans="1:22" x14ac:dyDescent="0.55000000000000004">
      <c r="A835">
        <v>18813.846740000001</v>
      </c>
      <c r="B835" s="1">
        <v>5.0000000000000001E-3</v>
      </c>
      <c r="C835" s="1">
        <v>5.0000000000000001E-3</v>
      </c>
      <c r="D835" s="2" t="s">
        <v>680</v>
      </c>
      <c r="E835">
        <v>1</v>
      </c>
      <c r="F835" s="2" t="s">
        <v>2</v>
      </c>
      <c r="G835">
        <v>1</v>
      </c>
      <c r="H835">
        <v>9.5</v>
      </c>
      <c r="I835" s="2" t="s">
        <v>0</v>
      </c>
      <c r="J835">
        <v>1</v>
      </c>
      <c r="K835" s="2" t="s">
        <v>2</v>
      </c>
      <c r="L835">
        <v>1</v>
      </c>
      <c r="M835">
        <v>10.5</v>
      </c>
      <c r="N835" s="2" t="s">
        <v>1034</v>
      </c>
      <c r="O835" t="str">
        <f>D835&amp;"-"&amp;E835&amp;"-"&amp;F835&amp;"-"&amp;G835&amp;"-"&amp;H835</f>
        <v>E-1-e-1-9.5</v>
      </c>
      <c r="P835" t="str">
        <f>I835&amp;"-"&amp;J835&amp;"-"&amp;K835&amp;"-"&amp;L835&amp;"-"&amp;M835</f>
        <v>X-1-e-1-10.5</v>
      </c>
      <c r="Q835">
        <f>A835+R835</f>
        <v>20376.459926</v>
      </c>
      <c r="R835">
        <f>_xlfn.IFNA(VLOOKUP(P835,PGOPHER!A$2:G$181,7,FALSE),_xlfn.IFNA(VLOOKUP(P835,en!A$2:I$768,7,FALSE),-10000))</f>
        <v>1562.613186</v>
      </c>
      <c r="S835">
        <f>IF(O835=O834,Q834+S834,Q835)</f>
        <v>20376.459926</v>
      </c>
      <c r="T835">
        <f>IF(O835=O834,T834+1,1)</f>
        <v>1</v>
      </c>
      <c r="U835" t="str">
        <f>IF(O835=O836,"",S835/T835)</f>
        <v/>
      </c>
      <c r="V835" t="str">
        <f>IF(U835="","",IF(ABS(Q835-U835)&gt;V$1,"error",""))</f>
        <v/>
      </c>
    </row>
    <row r="836" spans="1:22" x14ac:dyDescent="0.55000000000000004">
      <c r="A836">
        <v>18948.061829999999</v>
      </c>
      <c r="B836" s="1">
        <v>5.8599999999999998E-3</v>
      </c>
      <c r="C836" s="1">
        <v>5.8599999999999998E-3</v>
      </c>
      <c r="D836" s="2" t="s">
        <v>680</v>
      </c>
      <c r="E836">
        <v>1</v>
      </c>
      <c r="F836" s="2" t="s">
        <v>2</v>
      </c>
      <c r="G836">
        <v>1</v>
      </c>
      <c r="H836">
        <v>9.5</v>
      </c>
      <c r="I836" s="2" t="s">
        <v>0</v>
      </c>
      <c r="J836">
        <v>1</v>
      </c>
      <c r="K836" s="2" t="s">
        <v>2</v>
      </c>
      <c r="L836">
        <v>1</v>
      </c>
      <c r="M836">
        <v>8.5</v>
      </c>
      <c r="N836" s="2" t="s">
        <v>1035</v>
      </c>
      <c r="O836" t="str">
        <f>D836&amp;"-"&amp;E836&amp;"-"&amp;F836&amp;"-"&amp;G836&amp;"-"&amp;H836</f>
        <v>E-1-e-1-9.5</v>
      </c>
      <c r="P836" t="str">
        <f>I836&amp;"-"&amp;J836&amp;"-"&amp;K836&amp;"-"&amp;L836&amp;"-"&amp;M836</f>
        <v>X-1-e-1-8.5</v>
      </c>
      <c r="Q836">
        <f>A836+R836</f>
        <v>20376.469485999998</v>
      </c>
      <c r="R836">
        <f>_xlfn.IFNA(VLOOKUP(P836,PGOPHER!A$2:G$181,7,FALSE),_xlfn.IFNA(VLOOKUP(P836,en!A$2:I$768,7,FALSE),-10000))</f>
        <v>1428.4076560000001</v>
      </c>
      <c r="S836">
        <f>IF(O836=O835,Q835+S835,Q836)</f>
        <v>40752.919851999999</v>
      </c>
      <c r="T836">
        <f>IF(O836=O835,T835+1,1)</f>
        <v>2</v>
      </c>
      <c r="U836" t="str">
        <f>IF(O836=O837,"",S836/T836)</f>
        <v/>
      </c>
      <c r="V836" t="str">
        <f>IF(U836="","",IF(ABS(Q836-U836)&gt;V$1,"error",""))</f>
        <v/>
      </c>
    </row>
    <row r="837" spans="1:22" x14ac:dyDescent="0.55000000000000004">
      <c r="A837">
        <v>18815.094369999999</v>
      </c>
      <c r="B837" s="1">
        <v>5.0000000000000001E-3</v>
      </c>
      <c r="C837" s="1">
        <v>5.0000000000000001E-3</v>
      </c>
      <c r="D837" s="2" t="s">
        <v>680</v>
      </c>
      <c r="E837">
        <v>1</v>
      </c>
      <c r="F837" s="2" t="s">
        <v>2</v>
      </c>
      <c r="G837">
        <v>1</v>
      </c>
      <c r="H837">
        <v>9.5</v>
      </c>
      <c r="I837" s="2" t="s">
        <v>0</v>
      </c>
      <c r="J837">
        <v>2</v>
      </c>
      <c r="K837" s="2" t="s">
        <v>1</v>
      </c>
      <c r="L837">
        <v>1</v>
      </c>
      <c r="M837">
        <v>9.5</v>
      </c>
      <c r="N837" s="2" t="s">
        <v>1036</v>
      </c>
      <c r="O837" t="str">
        <f>D837&amp;"-"&amp;E837&amp;"-"&amp;F837&amp;"-"&amp;G837&amp;"-"&amp;H837</f>
        <v>E-1-e-1-9.5</v>
      </c>
      <c r="P837" t="str">
        <f>I837&amp;"-"&amp;J837&amp;"-"&amp;K837&amp;"-"&amp;L837&amp;"-"&amp;M837</f>
        <v>X-2-f-1-9.5</v>
      </c>
      <c r="Q837">
        <f>A837+R837</f>
        <v>20376.464583999998</v>
      </c>
      <c r="R837">
        <f>_xlfn.IFNA(VLOOKUP(P837,PGOPHER!A$2:G$181,7,FALSE),_xlfn.IFNA(VLOOKUP(P837,en!A$2:I$768,7,FALSE),-10000))</f>
        <v>1561.370214</v>
      </c>
      <c r="S837">
        <f>IF(O837=O836,Q836+S836,Q837)</f>
        <v>61129.389337999994</v>
      </c>
      <c r="T837">
        <f>IF(O837=O836,T836+1,1)</f>
        <v>3</v>
      </c>
      <c r="U837">
        <f>IF(O837=O838,"",S837/T837)</f>
        <v>20376.463112666665</v>
      </c>
      <c r="V837" t="str">
        <f>IF(U837="","",IF(ABS(Q837-U837)&gt;V$1,"error",""))</f>
        <v/>
      </c>
    </row>
    <row r="838" spans="1:22" x14ac:dyDescent="0.55000000000000004">
      <c r="A838">
        <v>18744.770530000002</v>
      </c>
      <c r="B838" s="1">
        <v>0.30499999999999999</v>
      </c>
      <c r="C838" s="1">
        <v>0.30499999999999999</v>
      </c>
      <c r="D838" s="2" t="s">
        <v>680</v>
      </c>
      <c r="E838">
        <v>1</v>
      </c>
      <c r="F838" s="2" t="s">
        <v>1</v>
      </c>
      <c r="G838">
        <v>0</v>
      </c>
      <c r="H838">
        <v>9.5</v>
      </c>
      <c r="I838" s="2" t="s">
        <v>0</v>
      </c>
      <c r="J838">
        <v>2</v>
      </c>
      <c r="K838" s="2" t="s">
        <v>1</v>
      </c>
      <c r="L838">
        <v>0</v>
      </c>
      <c r="M838">
        <v>10.5</v>
      </c>
      <c r="N838" s="2" t="s">
        <v>780</v>
      </c>
      <c r="O838" t="str">
        <f>D838&amp;"-"&amp;E838&amp;"-"&amp;F838&amp;"-"&amp;G838&amp;"-"&amp;H838</f>
        <v>E-1-f-0-9.5</v>
      </c>
      <c r="P838" t="str">
        <f>I838&amp;"-"&amp;J838&amp;"-"&amp;K838&amp;"-"&amp;L838&amp;"-"&amp;M838</f>
        <v>X-2-f-0-10.5</v>
      </c>
      <c r="Q838">
        <f>A838+R838</f>
        <v>19221.298845000001</v>
      </c>
      <c r="R838">
        <f>_xlfn.IFNA(VLOOKUP(P838,PGOPHER!A$2:G$181,7,FALSE),_xlfn.IFNA(VLOOKUP(P838,en!A$2:I$768,7,FALSE),-10000))</f>
        <v>476.52831500000002</v>
      </c>
      <c r="S838">
        <f>IF(O838=O837,Q837+S837,Q838)</f>
        <v>19221.298845000001</v>
      </c>
      <c r="T838">
        <f>IF(O838=O837,T837+1,1)</f>
        <v>1</v>
      </c>
      <c r="U838" t="str">
        <f>IF(O838=O839,"",S838/T838)</f>
        <v/>
      </c>
      <c r="V838" t="str">
        <f>IF(U838="","",IF(ABS(Q838-U838)&gt;V$1,"error",""))</f>
        <v/>
      </c>
    </row>
    <row r="839" spans="1:22" x14ac:dyDescent="0.55000000000000004">
      <c r="A839">
        <v>18896.00261</v>
      </c>
      <c r="B839" s="1">
        <v>0.30499999999999999</v>
      </c>
      <c r="C839" s="1">
        <v>0.30499999999999999</v>
      </c>
      <c r="D839" s="2" t="s">
        <v>680</v>
      </c>
      <c r="E839">
        <v>1</v>
      </c>
      <c r="F839" s="2" t="s">
        <v>1</v>
      </c>
      <c r="G839">
        <v>0</v>
      </c>
      <c r="H839">
        <v>9.5</v>
      </c>
      <c r="I839" s="2" t="s">
        <v>0</v>
      </c>
      <c r="J839">
        <v>2</v>
      </c>
      <c r="K839" s="2" t="s">
        <v>1</v>
      </c>
      <c r="L839">
        <v>0</v>
      </c>
      <c r="M839">
        <v>8.5</v>
      </c>
      <c r="N839" s="2" t="s">
        <v>781</v>
      </c>
      <c r="O839" t="str">
        <f>D839&amp;"-"&amp;E839&amp;"-"&amp;F839&amp;"-"&amp;G839&amp;"-"&amp;H839</f>
        <v>E-1-f-0-9.5</v>
      </c>
      <c r="P839" t="str">
        <f>I839&amp;"-"&amp;J839&amp;"-"&amp;K839&amp;"-"&amp;L839&amp;"-"&amp;M839</f>
        <v>X-2-f-0-8.5</v>
      </c>
      <c r="Q839">
        <f>A839+R839</f>
        <v>19221.303336000001</v>
      </c>
      <c r="R839">
        <f>_xlfn.IFNA(VLOOKUP(P839,PGOPHER!A$2:G$181,7,FALSE),_xlfn.IFNA(VLOOKUP(P839,en!A$2:I$768,7,FALSE),-10000))</f>
        <v>325.300726</v>
      </c>
      <c r="S839">
        <f>IF(O839=O838,Q838+S838,Q839)</f>
        <v>38442.597690000002</v>
      </c>
      <c r="T839">
        <f>IF(O839=O838,T838+1,1)</f>
        <v>2</v>
      </c>
      <c r="U839" t="str">
        <f>IF(O839=O840,"",S839/T839)</f>
        <v/>
      </c>
      <c r="V839" t="str">
        <f>IF(U839="","",IF(ABS(Q839-U839)&gt;V$1,"error",""))</f>
        <v/>
      </c>
    </row>
    <row r="840" spans="1:22" x14ac:dyDescent="0.55000000000000004">
      <c r="A840">
        <v>18894.832269999999</v>
      </c>
      <c r="B840" s="1">
        <v>0.30499999999999999</v>
      </c>
      <c r="C840" s="1">
        <v>0.30499999999999999</v>
      </c>
      <c r="D840" s="2" t="s">
        <v>680</v>
      </c>
      <c r="E840">
        <v>1</v>
      </c>
      <c r="F840" s="2" t="s">
        <v>1</v>
      </c>
      <c r="G840">
        <v>0</v>
      </c>
      <c r="H840">
        <v>9.5</v>
      </c>
      <c r="I840" s="2" t="s">
        <v>0</v>
      </c>
      <c r="J840">
        <v>1</v>
      </c>
      <c r="K840" s="2" t="s">
        <v>2</v>
      </c>
      <c r="L840">
        <v>0</v>
      </c>
      <c r="M840">
        <v>9.5</v>
      </c>
      <c r="N840" s="2" t="s">
        <v>782</v>
      </c>
      <c r="O840" t="str">
        <f>D840&amp;"-"&amp;E840&amp;"-"&amp;F840&amp;"-"&amp;G840&amp;"-"&amp;H840</f>
        <v>E-1-f-0-9.5</v>
      </c>
      <c r="P840" t="str">
        <f>I840&amp;"-"&amp;J840&amp;"-"&amp;K840&amp;"-"&amp;L840&amp;"-"&amp;M840</f>
        <v>X-1-e-0-9.5</v>
      </c>
      <c r="Q840">
        <f>A840+R840</f>
        <v>19221.299887999998</v>
      </c>
      <c r="R840">
        <f>_xlfn.IFNA(VLOOKUP(P840,PGOPHER!A$2:G$181,7,FALSE),_xlfn.IFNA(VLOOKUP(P840,en!A$2:I$768,7,FALSE),-10000))</f>
        <v>326.46761800000002</v>
      </c>
      <c r="S840">
        <f>IF(O840=O839,Q839+S839,Q840)</f>
        <v>57663.901026000007</v>
      </c>
      <c r="T840">
        <f>IF(O840=O839,T839+1,1)</f>
        <v>3</v>
      </c>
      <c r="U840">
        <f>IF(O840=O841,"",S840/T840)</f>
        <v>19221.300342000002</v>
      </c>
      <c r="V840" t="str">
        <f>IF(U840="","",IF(ABS(Q840-U840)&gt;V$1,"error",""))</f>
        <v/>
      </c>
    </row>
    <row r="841" spans="1:22" x14ac:dyDescent="0.55000000000000004">
      <c r="A841">
        <v>18884.646140000001</v>
      </c>
      <c r="B841" s="1">
        <v>1.4999999999999999E-2</v>
      </c>
      <c r="C841" s="1">
        <v>1.4999999999999999E-2</v>
      </c>
      <c r="D841" s="2" t="s">
        <v>680</v>
      </c>
      <c r="E841">
        <v>1</v>
      </c>
      <c r="F841" s="2" t="s">
        <v>1</v>
      </c>
      <c r="G841">
        <v>1</v>
      </c>
      <c r="H841">
        <v>9.5</v>
      </c>
      <c r="I841" s="2" t="s">
        <v>0</v>
      </c>
      <c r="J841">
        <v>1</v>
      </c>
      <c r="K841" s="2" t="s">
        <v>2</v>
      </c>
      <c r="L841">
        <v>1</v>
      </c>
      <c r="M841">
        <v>9.5</v>
      </c>
      <c r="N841" s="2" t="s">
        <v>1038</v>
      </c>
      <c r="O841" t="str">
        <f>D841&amp;"-"&amp;E841&amp;"-"&amp;F841&amp;"-"&amp;G841&amp;"-"&amp;H841</f>
        <v>E-1-f-1-9.5</v>
      </c>
      <c r="P841" t="str">
        <f>I841&amp;"-"&amp;J841&amp;"-"&amp;K841&amp;"-"&amp;L841&amp;"-"&amp;M841</f>
        <v>X-1-e-1-9.5</v>
      </c>
      <c r="Q841">
        <f>A841+R841</f>
        <v>20376.675897000001</v>
      </c>
      <c r="R841">
        <f>_xlfn.IFNA(VLOOKUP(P841,PGOPHER!A$2:G$181,7,FALSE),_xlfn.IFNA(VLOOKUP(P841,en!A$2:I$768,7,FALSE),-10000))</f>
        <v>1492.029757</v>
      </c>
      <c r="S841">
        <f>IF(O841=O840,Q840+S840,Q841)</f>
        <v>20376.675897000001</v>
      </c>
      <c r="T841">
        <f>IF(O841=O840,T840+1,1)</f>
        <v>1</v>
      </c>
      <c r="U841" t="str">
        <f>IF(O841=O842,"",S841/T841)</f>
        <v/>
      </c>
      <c r="V841" t="str">
        <f>IF(U841="","",IF(ABS(Q841-U841)&gt;V$1,"error",""))</f>
        <v/>
      </c>
    </row>
    <row r="842" spans="1:22" x14ac:dyDescent="0.55000000000000004">
      <c r="A842">
        <v>18737.920419999999</v>
      </c>
      <c r="B842" s="1">
        <v>5.0000000000000001E-3</v>
      </c>
      <c r="C842" s="1">
        <v>5.0000000000000001E-3</v>
      </c>
      <c r="D842" s="2" t="s">
        <v>680</v>
      </c>
      <c r="E842">
        <v>1</v>
      </c>
      <c r="F842" s="2" t="s">
        <v>1</v>
      </c>
      <c r="G842">
        <v>1</v>
      </c>
      <c r="H842">
        <v>9.5</v>
      </c>
      <c r="I842" s="2" t="s">
        <v>0</v>
      </c>
      <c r="J842">
        <v>2</v>
      </c>
      <c r="K842" s="2" t="s">
        <v>1</v>
      </c>
      <c r="L842">
        <v>1</v>
      </c>
      <c r="M842">
        <v>10.5</v>
      </c>
      <c r="N842" s="2" t="s">
        <v>1037</v>
      </c>
      <c r="O842" t="str">
        <f>D842&amp;"-"&amp;E842&amp;"-"&amp;F842&amp;"-"&amp;G842&amp;"-"&amp;H842</f>
        <v>E-1-f-1-9.5</v>
      </c>
      <c r="P842" t="str">
        <f>I842&amp;"-"&amp;J842&amp;"-"&amp;K842&amp;"-"&amp;L842&amp;"-"&amp;M842</f>
        <v>X-2-f-1-10.5</v>
      </c>
      <c r="Q842">
        <f>A842+R842</f>
        <v>20376.683955999997</v>
      </c>
      <c r="R842">
        <f>_xlfn.IFNA(VLOOKUP(P842,PGOPHER!A$2:G$181,7,FALSE),_xlfn.IFNA(VLOOKUP(P842,en!A$2:I$768,7,FALSE),-10000))</f>
        <v>1638.7635359999999</v>
      </c>
      <c r="S842">
        <f>IF(O842=O841,Q841+S841,Q842)</f>
        <v>40753.351794000002</v>
      </c>
      <c r="T842">
        <f>IF(O842=O841,T841+1,1)</f>
        <v>2</v>
      </c>
      <c r="U842">
        <f>IF(O842=O843,"",S842/T842)</f>
        <v>20376.675897000001</v>
      </c>
      <c r="V842" t="str">
        <f>IF(U842="","",IF(ABS(Q842-U842)&gt;V$1,"error",""))</f>
        <v/>
      </c>
    </row>
    <row r="843" spans="1:22" x14ac:dyDescent="0.55000000000000004">
      <c r="A843">
        <v>19089.718990000001</v>
      </c>
      <c r="B843" s="1">
        <v>5.0000000000000001E-3</v>
      </c>
      <c r="C843" s="1">
        <v>5.0000000000000001E-3</v>
      </c>
      <c r="D843" s="2" t="s">
        <v>680</v>
      </c>
      <c r="E843">
        <v>2</v>
      </c>
      <c r="F843" s="2" t="s">
        <v>2</v>
      </c>
      <c r="G843">
        <v>0</v>
      </c>
      <c r="H843">
        <v>9.5</v>
      </c>
      <c r="I843" s="2" t="s">
        <v>0</v>
      </c>
      <c r="J843">
        <v>1</v>
      </c>
      <c r="K843" s="2" t="s">
        <v>2</v>
      </c>
      <c r="L843">
        <v>0</v>
      </c>
      <c r="M843">
        <v>8.5</v>
      </c>
      <c r="N843" s="2" t="s">
        <v>783</v>
      </c>
      <c r="O843" t="str">
        <f>D843&amp;"-"&amp;E843&amp;"-"&amp;F843&amp;"-"&amp;G843&amp;"-"&amp;H843</f>
        <v>E-2-e-0-9.5</v>
      </c>
      <c r="P843" t="str">
        <f>I843&amp;"-"&amp;J843&amp;"-"&amp;K843&amp;"-"&amp;L843&amp;"-"&amp;M843</f>
        <v>X-1-e-0-8.5</v>
      </c>
      <c r="Q843">
        <f>A843+R843</f>
        <v>19351.117047</v>
      </c>
      <c r="R843">
        <f>_xlfn.IFNA(VLOOKUP(P843,PGOPHER!A$2:G$181,7,FALSE),_xlfn.IFNA(VLOOKUP(P843,en!A$2:I$768,7,FALSE),-10000))</f>
        <v>261.39805699999999</v>
      </c>
      <c r="S843">
        <f>IF(O843=O842,Q842+S842,Q843)</f>
        <v>19351.117047</v>
      </c>
      <c r="T843">
        <f>IF(O843=O842,T842+1,1)</f>
        <v>1</v>
      </c>
      <c r="U843" t="str">
        <f>IF(O843=O844,"",S843/T843)</f>
        <v/>
      </c>
      <c r="V843" t="str">
        <f>IF(U843="","",IF(ABS(Q843-U843)&gt;V$1,"error",""))</f>
        <v/>
      </c>
    </row>
    <row r="844" spans="1:22" x14ac:dyDescent="0.55000000000000004">
      <c r="A844">
        <v>18952.457020000002</v>
      </c>
      <c r="B844" s="1">
        <v>5.0000000000000001E-3</v>
      </c>
      <c r="C844" s="1">
        <v>5.0000000000000001E-3</v>
      </c>
      <c r="D844" s="2" t="s">
        <v>680</v>
      </c>
      <c r="E844">
        <v>2</v>
      </c>
      <c r="F844" s="2" t="s">
        <v>2</v>
      </c>
      <c r="G844">
        <v>0</v>
      </c>
      <c r="H844">
        <v>9.5</v>
      </c>
      <c r="I844" s="2" t="s">
        <v>0</v>
      </c>
      <c r="J844">
        <v>1</v>
      </c>
      <c r="K844" s="2" t="s">
        <v>2</v>
      </c>
      <c r="L844">
        <v>0</v>
      </c>
      <c r="M844">
        <v>10.5</v>
      </c>
      <c r="N844" s="2" t="s">
        <v>784</v>
      </c>
      <c r="O844" t="str">
        <f>D844&amp;"-"&amp;E844&amp;"-"&amp;F844&amp;"-"&amp;G844&amp;"-"&amp;H844</f>
        <v>E-2-e-0-9.5</v>
      </c>
      <c r="P844" t="str">
        <f>I844&amp;"-"&amp;J844&amp;"-"&amp;K844&amp;"-"&amp;L844&amp;"-"&amp;M844</f>
        <v>X-1-e-0-10.5</v>
      </c>
      <c r="Q844">
        <f>A844+R844</f>
        <v>19351.113280000001</v>
      </c>
      <c r="R844">
        <f>_xlfn.IFNA(VLOOKUP(P844,PGOPHER!A$2:G$181,7,FALSE),_xlfn.IFNA(VLOOKUP(P844,en!A$2:I$768,7,FALSE),-10000))</f>
        <v>398.65625999999997</v>
      </c>
      <c r="S844">
        <f>IF(O844=O843,Q843+S843,Q844)</f>
        <v>38702.234093999999</v>
      </c>
      <c r="T844">
        <f>IF(O844=O843,T843+1,1)</f>
        <v>2</v>
      </c>
      <c r="U844" t="str">
        <f>IF(O844=O845,"",S844/T844)</f>
        <v/>
      </c>
      <c r="V844" t="str">
        <f>IF(U844="","",IF(ABS(Q844-U844)&gt;V$1,"error",""))</f>
        <v/>
      </c>
    </row>
    <row r="845" spans="1:22" x14ac:dyDescent="0.55000000000000004">
      <c r="A845">
        <v>18953.74797</v>
      </c>
      <c r="B845" s="1">
        <v>5.0000000000000001E-3</v>
      </c>
      <c r="C845" s="1">
        <v>5.0000000000000001E-3</v>
      </c>
      <c r="D845" s="2" t="s">
        <v>680</v>
      </c>
      <c r="E845">
        <v>2</v>
      </c>
      <c r="F845" s="2" t="s">
        <v>2</v>
      </c>
      <c r="G845">
        <v>0</v>
      </c>
      <c r="H845">
        <v>9.5</v>
      </c>
      <c r="I845" s="2" t="s">
        <v>0</v>
      </c>
      <c r="J845">
        <v>2</v>
      </c>
      <c r="K845" s="2" t="s">
        <v>1</v>
      </c>
      <c r="L845">
        <v>0</v>
      </c>
      <c r="M845">
        <v>9.5</v>
      </c>
      <c r="N845" s="2" t="s">
        <v>785</v>
      </c>
      <c r="O845" t="str">
        <f>D845&amp;"-"&amp;E845&amp;"-"&amp;F845&amp;"-"&amp;G845&amp;"-"&amp;H845</f>
        <v>E-2-e-0-9.5</v>
      </c>
      <c r="P845" t="str">
        <f>I845&amp;"-"&amp;J845&amp;"-"&amp;K845&amp;"-"&amp;L845&amp;"-"&amp;M845</f>
        <v>X-2-f-0-9.5</v>
      </c>
      <c r="Q845">
        <f>A845+R845</f>
        <v>19351.116574</v>
      </c>
      <c r="R845">
        <f>_xlfn.IFNA(VLOOKUP(P845,PGOPHER!A$2:G$181,7,FALSE),_xlfn.IFNA(VLOOKUP(P845,en!A$2:I$768,7,FALSE),-10000))</f>
        <v>397.368604</v>
      </c>
      <c r="S845">
        <f>IF(O845=O844,Q844+S844,Q845)</f>
        <v>58053.347374000004</v>
      </c>
      <c r="T845">
        <f>IF(O845=O844,T844+1,1)</f>
        <v>3</v>
      </c>
      <c r="U845">
        <f>IF(O845=O846,"",S845/T845)</f>
        <v>19351.115791333334</v>
      </c>
      <c r="V845" t="str">
        <f>IF(U845="","",IF(ABS(Q845-U845)&gt;V$1,"error",""))</f>
        <v/>
      </c>
    </row>
    <row r="846" spans="1:22" x14ac:dyDescent="0.55000000000000004">
      <c r="A846">
        <v>19079.956170000001</v>
      </c>
      <c r="B846" s="1">
        <v>5.0000000000000001E-3</v>
      </c>
      <c r="C846" s="1">
        <v>5.0000000000000001E-3</v>
      </c>
      <c r="D846" s="2" t="s">
        <v>680</v>
      </c>
      <c r="E846">
        <v>2</v>
      </c>
      <c r="F846" s="2" t="s">
        <v>2</v>
      </c>
      <c r="G846">
        <v>1</v>
      </c>
      <c r="H846">
        <v>9.5</v>
      </c>
      <c r="I846" s="2" t="s">
        <v>0</v>
      </c>
      <c r="J846">
        <v>1</v>
      </c>
      <c r="K846" s="2" t="s">
        <v>2</v>
      </c>
      <c r="L846">
        <v>1</v>
      </c>
      <c r="M846">
        <v>8.5</v>
      </c>
      <c r="N846" s="2" t="s">
        <v>1039</v>
      </c>
      <c r="O846" t="str">
        <f>D846&amp;"-"&amp;E846&amp;"-"&amp;F846&amp;"-"&amp;G846&amp;"-"&amp;H846</f>
        <v>E-2-e-1-9.5</v>
      </c>
      <c r="P846" t="str">
        <f>I846&amp;"-"&amp;J846&amp;"-"&amp;K846&amp;"-"&amp;L846&amp;"-"&amp;M846</f>
        <v>X-1-e-1-8.5</v>
      </c>
      <c r="Q846">
        <f>A846+R846</f>
        <v>20508.363826000001</v>
      </c>
      <c r="R846">
        <f>_xlfn.IFNA(VLOOKUP(P846,PGOPHER!A$2:G$181,7,FALSE),_xlfn.IFNA(VLOOKUP(P846,en!A$2:I$768,7,FALSE),-10000))</f>
        <v>1428.4076560000001</v>
      </c>
      <c r="S846">
        <f>IF(O846=O845,Q845+S845,Q846)</f>
        <v>20508.363826000001</v>
      </c>
      <c r="T846">
        <f>IF(O846=O845,T845+1,1)</f>
        <v>1</v>
      </c>
      <c r="U846" t="str">
        <f>IF(O846=O847,"",S846/T846)</f>
        <v/>
      </c>
      <c r="V846" t="str">
        <f>IF(U846="","",IF(ABS(Q846-U846)&gt;V$1,"error",""))</f>
        <v/>
      </c>
    </row>
    <row r="847" spans="1:22" x14ac:dyDescent="0.55000000000000004">
      <c r="A847">
        <v>18945.753550000001</v>
      </c>
      <c r="B847" s="1">
        <v>5.0000000000000001E-3</v>
      </c>
      <c r="C847" s="1">
        <v>5.0000000000000001E-3</v>
      </c>
      <c r="D847" s="2" t="s">
        <v>680</v>
      </c>
      <c r="E847">
        <v>2</v>
      </c>
      <c r="F847" s="2" t="s">
        <v>2</v>
      </c>
      <c r="G847">
        <v>1</v>
      </c>
      <c r="H847">
        <v>9.5</v>
      </c>
      <c r="I847" s="2" t="s">
        <v>0</v>
      </c>
      <c r="J847">
        <v>1</v>
      </c>
      <c r="K847" s="2" t="s">
        <v>2</v>
      </c>
      <c r="L847">
        <v>1</v>
      </c>
      <c r="M847">
        <v>10.5</v>
      </c>
      <c r="N847" s="2" t="s">
        <v>1040</v>
      </c>
      <c r="O847" t="str">
        <f>D847&amp;"-"&amp;E847&amp;"-"&amp;F847&amp;"-"&amp;G847&amp;"-"&amp;H847</f>
        <v>E-2-e-1-9.5</v>
      </c>
      <c r="P847" t="str">
        <f>I847&amp;"-"&amp;J847&amp;"-"&amp;K847&amp;"-"&amp;L847&amp;"-"&amp;M847</f>
        <v>X-1-e-1-10.5</v>
      </c>
      <c r="Q847">
        <f>A847+R847</f>
        <v>20508.366736</v>
      </c>
      <c r="R847">
        <f>_xlfn.IFNA(VLOOKUP(P847,PGOPHER!A$2:G$181,7,FALSE),_xlfn.IFNA(VLOOKUP(P847,en!A$2:I$768,7,FALSE),-10000))</f>
        <v>1562.613186</v>
      </c>
      <c r="S847">
        <f>IF(O847=O846,Q846+S846,Q847)</f>
        <v>41016.727652000001</v>
      </c>
      <c r="T847">
        <f>IF(O847=O846,T846+1,1)</f>
        <v>2</v>
      </c>
      <c r="U847" t="str">
        <f>IF(O847=O848,"",S847/T847)</f>
        <v/>
      </c>
      <c r="V847" t="str">
        <f>IF(U847="","",IF(ABS(Q847-U847)&gt;V$1,"error",""))</f>
        <v/>
      </c>
    </row>
    <row r="848" spans="1:22" x14ac:dyDescent="0.55000000000000004">
      <c r="A848">
        <v>18946.991849999999</v>
      </c>
      <c r="B848" s="1">
        <v>5.0000000000000001E-3</v>
      </c>
      <c r="C848" s="1">
        <v>5.0000000000000001E-3</v>
      </c>
      <c r="D848" s="2" t="s">
        <v>680</v>
      </c>
      <c r="E848">
        <v>2</v>
      </c>
      <c r="F848" s="2" t="s">
        <v>2</v>
      </c>
      <c r="G848">
        <v>1</v>
      </c>
      <c r="H848">
        <v>9.5</v>
      </c>
      <c r="I848" s="2" t="s">
        <v>0</v>
      </c>
      <c r="J848">
        <v>2</v>
      </c>
      <c r="K848" s="2" t="s">
        <v>1</v>
      </c>
      <c r="L848">
        <v>1</v>
      </c>
      <c r="M848">
        <v>9.5</v>
      </c>
      <c r="N848" s="2" t="s">
        <v>1041</v>
      </c>
      <c r="O848" t="str">
        <f>D848&amp;"-"&amp;E848&amp;"-"&amp;F848&amp;"-"&amp;G848&amp;"-"&amp;H848</f>
        <v>E-2-e-1-9.5</v>
      </c>
      <c r="P848" t="str">
        <f>I848&amp;"-"&amp;J848&amp;"-"&amp;K848&amp;"-"&amp;L848&amp;"-"&amp;M848</f>
        <v>X-2-f-1-9.5</v>
      </c>
      <c r="Q848">
        <f>A848+R848</f>
        <v>20508.362063999997</v>
      </c>
      <c r="R848">
        <f>_xlfn.IFNA(VLOOKUP(P848,PGOPHER!A$2:G$181,7,FALSE),_xlfn.IFNA(VLOOKUP(P848,en!A$2:I$768,7,FALSE),-10000))</f>
        <v>1561.370214</v>
      </c>
      <c r="S848">
        <f>IF(O848=O847,Q847+S847,Q848)</f>
        <v>61525.094387999998</v>
      </c>
      <c r="T848">
        <f>IF(O848=O847,T847+1,1)</f>
        <v>3</v>
      </c>
      <c r="U848">
        <f>IF(O848=O849,"",S848/T848)</f>
        <v>20508.364795999998</v>
      </c>
      <c r="V848" t="str">
        <f>IF(U848="","",IF(ABS(Q848-U848)&gt;V$1,"error",""))</f>
        <v/>
      </c>
    </row>
    <row r="849" spans="1:22" x14ac:dyDescent="0.55000000000000004">
      <c r="A849">
        <v>19026.389729999999</v>
      </c>
      <c r="B849" s="1">
        <v>1.4999999999999999E-2</v>
      </c>
      <c r="C849" s="1">
        <v>1.4999999999999999E-2</v>
      </c>
      <c r="D849" s="2" t="s">
        <v>680</v>
      </c>
      <c r="E849">
        <v>2</v>
      </c>
      <c r="F849" s="2" t="s">
        <v>1</v>
      </c>
      <c r="G849">
        <v>0</v>
      </c>
      <c r="H849">
        <v>9.5</v>
      </c>
      <c r="I849" s="2" t="s">
        <v>0</v>
      </c>
      <c r="J849">
        <v>2</v>
      </c>
      <c r="K849" s="2" t="s">
        <v>1</v>
      </c>
      <c r="L849">
        <v>0</v>
      </c>
      <c r="M849">
        <v>8.5</v>
      </c>
      <c r="N849" s="2" t="s">
        <v>786</v>
      </c>
      <c r="O849" t="str">
        <f>D849&amp;"-"&amp;E849&amp;"-"&amp;F849&amp;"-"&amp;G849&amp;"-"&amp;H849</f>
        <v>E-2-f-0-9.5</v>
      </c>
      <c r="P849" t="str">
        <f>I849&amp;"-"&amp;J849&amp;"-"&amp;K849&amp;"-"&amp;L849&amp;"-"&amp;M849</f>
        <v>X-2-f-0-8.5</v>
      </c>
      <c r="Q849">
        <f>A849+R849</f>
        <v>19351.690456</v>
      </c>
      <c r="R849">
        <f>_xlfn.IFNA(VLOOKUP(P849,PGOPHER!A$2:G$181,7,FALSE),_xlfn.IFNA(VLOOKUP(P849,en!A$2:I$768,7,FALSE),-10000))</f>
        <v>325.300726</v>
      </c>
      <c r="S849">
        <f>IF(O849=O848,Q848+S848,Q849)</f>
        <v>19351.690456</v>
      </c>
      <c r="T849">
        <f>IF(O849=O848,T848+1,1)</f>
        <v>1</v>
      </c>
      <c r="U849" t="str">
        <f>IF(O849=O850,"",S849/T849)</f>
        <v/>
      </c>
      <c r="V849" t="str">
        <f>IF(U849="","",IF(ABS(Q849-U849)&gt;V$1,"error",""))</f>
        <v/>
      </c>
    </row>
    <row r="850" spans="1:22" x14ac:dyDescent="0.55000000000000004">
      <c r="A850">
        <v>18875.153620000001</v>
      </c>
      <c r="B850" s="1">
        <v>5.0000000000000001E-3</v>
      </c>
      <c r="C850" s="1">
        <v>5.0000000000000001E-3</v>
      </c>
      <c r="D850" s="2" t="s">
        <v>680</v>
      </c>
      <c r="E850">
        <v>2</v>
      </c>
      <c r="F850" s="2" t="s">
        <v>1</v>
      </c>
      <c r="G850">
        <v>0</v>
      </c>
      <c r="H850">
        <v>9.5</v>
      </c>
      <c r="I850" s="2" t="s">
        <v>0</v>
      </c>
      <c r="J850">
        <v>2</v>
      </c>
      <c r="K850" s="2" t="s">
        <v>1</v>
      </c>
      <c r="L850">
        <v>0</v>
      </c>
      <c r="M850">
        <v>10.5</v>
      </c>
      <c r="N850" s="2" t="s">
        <v>787</v>
      </c>
      <c r="O850" t="str">
        <f>D850&amp;"-"&amp;E850&amp;"-"&amp;F850&amp;"-"&amp;G850&amp;"-"&amp;H850</f>
        <v>E-2-f-0-9.5</v>
      </c>
      <c r="P850" t="str">
        <f>I850&amp;"-"&amp;J850&amp;"-"&amp;K850&amp;"-"&amp;L850&amp;"-"&amp;M850</f>
        <v>X-2-f-0-10.5</v>
      </c>
      <c r="Q850">
        <f>A850+R850</f>
        <v>19351.681935000001</v>
      </c>
      <c r="R850">
        <f>_xlfn.IFNA(VLOOKUP(P850,PGOPHER!A$2:G$181,7,FALSE),_xlfn.IFNA(VLOOKUP(P850,en!A$2:I$768,7,FALSE),-10000))</f>
        <v>476.52831500000002</v>
      </c>
      <c r="S850">
        <f>IF(O850=O849,Q849+S849,Q850)</f>
        <v>38703.380912000001</v>
      </c>
      <c r="T850">
        <f>IF(O850=O849,T849+1,1)</f>
        <v>2</v>
      </c>
      <c r="U850" t="str">
        <f>IF(O850=O851,"",S850/T850)</f>
        <v/>
      </c>
      <c r="V850" t="str">
        <f>IF(U850="","",IF(ABS(Q850-U850)&gt;V$1,"error",""))</f>
        <v/>
      </c>
    </row>
    <row r="851" spans="1:22" x14ac:dyDescent="0.55000000000000004">
      <c r="A851">
        <v>19025.221890000001</v>
      </c>
      <c r="B851" s="1">
        <v>5.0000000000000001E-3</v>
      </c>
      <c r="C851" s="1">
        <v>5.0000000000000001E-3</v>
      </c>
      <c r="D851" s="2" t="s">
        <v>680</v>
      </c>
      <c r="E851">
        <v>2</v>
      </c>
      <c r="F851" s="2" t="s">
        <v>1</v>
      </c>
      <c r="G851">
        <v>0</v>
      </c>
      <c r="H851">
        <v>9.5</v>
      </c>
      <c r="I851" s="2" t="s">
        <v>0</v>
      </c>
      <c r="J851">
        <v>1</v>
      </c>
      <c r="K851" s="2" t="s">
        <v>2</v>
      </c>
      <c r="L851">
        <v>0</v>
      </c>
      <c r="M851">
        <v>9.5</v>
      </c>
      <c r="N851" s="2" t="s">
        <v>788</v>
      </c>
      <c r="O851" t="str">
        <f>D851&amp;"-"&amp;E851&amp;"-"&amp;F851&amp;"-"&amp;G851&amp;"-"&amp;H851</f>
        <v>E-2-f-0-9.5</v>
      </c>
      <c r="P851" t="str">
        <f>I851&amp;"-"&amp;J851&amp;"-"&amp;K851&amp;"-"&amp;L851&amp;"-"&amp;M851</f>
        <v>X-1-e-0-9.5</v>
      </c>
      <c r="Q851">
        <f>A851+R851</f>
        <v>19351.689507999999</v>
      </c>
      <c r="R851">
        <f>_xlfn.IFNA(VLOOKUP(P851,PGOPHER!A$2:G$181,7,FALSE),_xlfn.IFNA(VLOOKUP(P851,en!A$2:I$768,7,FALSE),-10000))</f>
        <v>326.46761800000002</v>
      </c>
      <c r="S851">
        <f>IF(O851=O850,Q850+S850,Q851)</f>
        <v>58055.062847000001</v>
      </c>
      <c r="T851">
        <f>IF(O851=O850,T850+1,1)</f>
        <v>3</v>
      </c>
      <c r="U851">
        <f>IF(O851=O852,"",S851/T851)</f>
        <v>19351.687615666666</v>
      </c>
      <c r="V851" t="str">
        <f>IF(U851="","",IF(ABS(Q851-U851)&gt;V$1,"error",""))</f>
        <v/>
      </c>
    </row>
    <row r="852" spans="1:22" x14ac:dyDescent="0.55000000000000004">
      <c r="A852">
        <v>19016.787329999999</v>
      </c>
      <c r="B852" s="1">
        <v>1.7080000000000001E-2</v>
      </c>
      <c r="C852" s="1">
        <v>1.7080000000000001E-2</v>
      </c>
      <c r="D852" s="2" t="s">
        <v>680</v>
      </c>
      <c r="E852">
        <v>2</v>
      </c>
      <c r="F852" s="2" t="s">
        <v>1</v>
      </c>
      <c r="G852">
        <v>1</v>
      </c>
      <c r="H852">
        <v>9.5</v>
      </c>
      <c r="I852" s="2" t="s">
        <v>0</v>
      </c>
      <c r="J852">
        <v>1</v>
      </c>
      <c r="K852" s="2" t="s">
        <v>2</v>
      </c>
      <c r="L852">
        <v>1</v>
      </c>
      <c r="M852">
        <v>9.5</v>
      </c>
      <c r="N852" s="2" t="s">
        <v>1042</v>
      </c>
      <c r="O852" t="str">
        <f>D852&amp;"-"&amp;E852&amp;"-"&amp;F852&amp;"-"&amp;G852&amp;"-"&amp;H852</f>
        <v>E-2-f-1-9.5</v>
      </c>
      <c r="P852" t="str">
        <f>I852&amp;"-"&amp;J852&amp;"-"&amp;K852&amp;"-"&amp;L852&amp;"-"&amp;M852</f>
        <v>X-1-e-1-9.5</v>
      </c>
      <c r="Q852">
        <f>A852+R852</f>
        <v>20508.817086999999</v>
      </c>
      <c r="R852">
        <f>_xlfn.IFNA(VLOOKUP(P852,PGOPHER!A$2:G$181,7,FALSE),_xlfn.IFNA(VLOOKUP(P852,en!A$2:I$768,7,FALSE),-10000))</f>
        <v>1492.029757</v>
      </c>
      <c r="S852">
        <f>IF(O852=O851,Q851+S851,Q852)</f>
        <v>20508.817086999999</v>
      </c>
      <c r="T852">
        <f>IF(O852=O851,T851+1,1)</f>
        <v>1</v>
      </c>
      <c r="U852" t="str">
        <f>IF(O852=O853,"",S852/T852)</f>
        <v/>
      </c>
      <c r="V852" t="str">
        <f>IF(U852="","",IF(ABS(Q852-U852)&gt;V$1,"error",""))</f>
        <v/>
      </c>
    </row>
    <row r="853" spans="1:22" x14ac:dyDescent="0.55000000000000004">
      <c r="A853">
        <v>19017.92915</v>
      </c>
      <c r="B853" s="1">
        <v>5.0000000000000001E-3</v>
      </c>
      <c r="C853" s="1">
        <v>5.0000000000000001E-3</v>
      </c>
      <c r="D853" s="2" t="s">
        <v>680</v>
      </c>
      <c r="E853">
        <v>2</v>
      </c>
      <c r="F853" s="2" t="s">
        <v>1</v>
      </c>
      <c r="G853">
        <v>1</v>
      </c>
      <c r="H853">
        <v>9.5</v>
      </c>
      <c r="I853" s="2" t="s">
        <v>0</v>
      </c>
      <c r="J853">
        <v>2</v>
      </c>
      <c r="K853" s="2" t="s">
        <v>1</v>
      </c>
      <c r="L853">
        <v>1</v>
      </c>
      <c r="M853">
        <v>8.5</v>
      </c>
      <c r="N853" s="2" t="s">
        <v>1043</v>
      </c>
      <c r="O853" t="str">
        <f>D853&amp;"-"&amp;E853&amp;"-"&amp;F853&amp;"-"&amp;G853&amp;"-"&amp;H853</f>
        <v>E-2-f-1-9.5</v>
      </c>
      <c r="P853" t="str">
        <f>I853&amp;"-"&amp;J853&amp;"-"&amp;K853&amp;"-"&amp;L853&amp;"-"&amp;M853</f>
        <v>X-2-f-1-8.5</v>
      </c>
      <c r="Q853">
        <f>A853+R853</f>
        <v>20508.831034999999</v>
      </c>
      <c r="R853">
        <f>_xlfn.IFNA(VLOOKUP(P853,PGOPHER!A$2:G$181,7,FALSE),_xlfn.IFNA(VLOOKUP(P853,en!A$2:I$768,7,FALSE),-10000))</f>
        <v>1490.901885</v>
      </c>
      <c r="S853">
        <f>IF(O853=O852,Q852+S852,Q853)</f>
        <v>41017.634173999999</v>
      </c>
      <c r="T853">
        <f>IF(O853=O852,T852+1,1)</f>
        <v>2</v>
      </c>
      <c r="U853" t="str">
        <f>IF(O853=O854,"",S853/T853)</f>
        <v/>
      </c>
      <c r="V853" t="str">
        <f>IF(U853="","",IF(ABS(Q853-U853)&gt;V$1,"error",""))</f>
        <v/>
      </c>
    </row>
    <row r="854" spans="1:22" x14ac:dyDescent="0.55000000000000004">
      <c r="A854">
        <v>18870.06955</v>
      </c>
      <c r="B854" s="1">
        <v>5.0000000000000001E-3</v>
      </c>
      <c r="C854" s="1">
        <v>5.0000000000000001E-3</v>
      </c>
      <c r="D854" s="2" t="s">
        <v>680</v>
      </c>
      <c r="E854">
        <v>2</v>
      </c>
      <c r="F854" s="2" t="s">
        <v>1</v>
      </c>
      <c r="G854">
        <v>1</v>
      </c>
      <c r="H854">
        <v>9.5</v>
      </c>
      <c r="I854" s="2" t="s">
        <v>0</v>
      </c>
      <c r="J854">
        <v>2</v>
      </c>
      <c r="K854" s="2" t="s">
        <v>1</v>
      </c>
      <c r="L854">
        <v>1</v>
      </c>
      <c r="M854">
        <v>10.5</v>
      </c>
      <c r="N854" s="2" t="s">
        <v>1044</v>
      </c>
      <c r="O854" t="str">
        <f>D854&amp;"-"&amp;E854&amp;"-"&amp;F854&amp;"-"&amp;G854&amp;"-"&amp;H854</f>
        <v>E-2-f-1-9.5</v>
      </c>
      <c r="P854" t="str">
        <f>I854&amp;"-"&amp;J854&amp;"-"&amp;K854&amp;"-"&amp;L854&amp;"-"&amp;M854</f>
        <v>X-2-f-1-10.5</v>
      </c>
      <c r="Q854">
        <f>A854+R854</f>
        <v>20508.833085999999</v>
      </c>
      <c r="R854">
        <f>_xlfn.IFNA(VLOOKUP(P854,PGOPHER!A$2:G$181,7,FALSE),_xlfn.IFNA(VLOOKUP(P854,en!A$2:I$768,7,FALSE),-10000))</f>
        <v>1638.7635359999999</v>
      </c>
      <c r="S854">
        <f>IF(O854=O853,Q853+S853,Q854)</f>
        <v>61526.465209000002</v>
      </c>
      <c r="T854">
        <f>IF(O854=O853,T853+1,1)</f>
        <v>3</v>
      </c>
      <c r="U854">
        <f>IF(O854=O855,"",S854/T854)</f>
        <v>20508.821736333335</v>
      </c>
      <c r="V854" t="str">
        <f>IF(U854="","",IF(ABS(Q854-U854)&gt;V$1,"error",""))</f>
        <v/>
      </c>
    </row>
    <row r="855" spans="1:22" x14ac:dyDescent="0.55000000000000004">
      <c r="A855">
        <v>18970.34475</v>
      </c>
      <c r="B855" s="1">
        <v>0.20499999999999999</v>
      </c>
      <c r="C855" s="1">
        <v>0.20499999999999999</v>
      </c>
      <c r="D855" s="2" t="s">
        <v>680</v>
      </c>
      <c r="E855">
        <v>1</v>
      </c>
      <c r="F855" s="2" t="s">
        <v>2</v>
      </c>
      <c r="G855">
        <v>0</v>
      </c>
      <c r="H855">
        <v>10.5</v>
      </c>
      <c r="I855" s="2" t="s">
        <v>0</v>
      </c>
      <c r="J855">
        <v>1</v>
      </c>
      <c r="K855" s="2" t="s">
        <v>2</v>
      </c>
      <c r="L855">
        <v>0</v>
      </c>
      <c r="M855">
        <v>9.5</v>
      </c>
      <c r="N855" s="2" t="s">
        <v>789</v>
      </c>
      <c r="O855" t="str">
        <f>D855&amp;"-"&amp;E855&amp;"-"&amp;F855&amp;"-"&amp;G855&amp;"-"&amp;H855</f>
        <v>E-1-e-0-10.5</v>
      </c>
      <c r="P855" t="str">
        <f>I855&amp;"-"&amp;J855&amp;"-"&amp;K855&amp;"-"&amp;L855&amp;"-"&amp;M855</f>
        <v>X-1-e-0-9.5</v>
      </c>
      <c r="Q855">
        <f>A855+R855</f>
        <v>19296.812367999999</v>
      </c>
      <c r="R855">
        <f>_xlfn.IFNA(VLOOKUP(P855,PGOPHER!A$2:G$181,7,FALSE),_xlfn.IFNA(VLOOKUP(P855,en!A$2:I$768,7,FALSE),-10000))</f>
        <v>326.46761800000002</v>
      </c>
      <c r="S855">
        <f>IF(O855=O854,Q854+S854,Q855)</f>
        <v>19296.812367999999</v>
      </c>
      <c r="T855">
        <f>IF(O855=O854,T854+1,1)</f>
        <v>1</v>
      </c>
      <c r="U855" t="str">
        <f>IF(O855=O856,"",S855/T855)</f>
        <v/>
      </c>
      <c r="V855" t="str">
        <f>IF(U855="","",IF(ABS(Q855-U855)&gt;V$1,"error",""))</f>
        <v/>
      </c>
    </row>
    <row r="856" spans="1:22" x14ac:dyDescent="0.55000000000000004">
      <c r="A856">
        <v>18818.760450000002</v>
      </c>
      <c r="B856" s="1">
        <v>0.20499999999999999</v>
      </c>
      <c r="C856" s="1">
        <v>0.20499999999999999</v>
      </c>
      <c r="D856" s="2" t="s">
        <v>680</v>
      </c>
      <c r="E856">
        <v>1</v>
      </c>
      <c r="F856" s="2" t="s">
        <v>2</v>
      </c>
      <c r="G856">
        <v>0</v>
      </c>
      <c r="H856">
        <v>10.5</v>
      </c>
      <c r="I856" s="2" t="s">
        <v>0</v>
      </c>
      <c r="J856">
        <v>1</v>
      </c>
      <c r="K856" s="2" t="s">
        <v>2</v>
      </c>
      <c r="L856">
        <v>0</v>
      </c>
      <c r="M856">
        <v>11.5</v>
      </c>
      <c r="N856" s="2" t="s">
        <v>790</v>
      </c>
      <c r="O856" t="str">
        <f>D856&amp;"-"&amp;E856&amp;"-"&amp;F856&amp;"-"&amp;G856&amp;"-"&amp;H856</f>
        <v>E-1-e-0-10.5</v>
      </c>
      <c r="P856" t="str">
        <f>I856&amp;"-"&amp;J856&amp;"-"&amp;K856&amp;"-"&amp;L856&amp;"-"&amp;M856</f>
        <v>X-1-e-0-11.5</v>
      </c>
      <c r="Q856">
        <f>A856+R856</f>
        <v>19296.693874000001</v>
      </c>
      <c r="R856">
        <f>_xlfn.IFNA(VLOOKUP(P856,PGOPHER!A$2:G$181,7,FALSE),_xlfn.IFNA(VLOOKUP(P856,en!A$2:I$768,7,FALSE),-10000))</f>
        <v>477.933424</v>
      </c>
      <c r="S856">
        <f>IF(O856=O855,Q855+S855,Q856)</f>
        <v>38593.624735999998</v>
      </c>
      <c r="T856">
        <f>IF(O856=O855,T855+1,1)</f>
        <v>2</v>
      </c>
      <c r="U856" t="str">
        <f>IF(O856=O857,"",S856/T856)</f>
        <v/>
      </c>
      <c r="V856" t="str">
        <f>IF(U856="","",IF(ABS(Q856-U856)&gt;V$1,"error",""))</f>
        <v/>
      </c>
    </row>
    <row r="857" spans="1:22" x14ac:dyDescent="0.55000000000000004">
      <c r="A857">
        <v>18820.151430000002</v>
      </c>
      <c r="B857" s="1">
        <v>0.30499999999999999</v>
      </c>
      <c r="C857" s="1">
        <v>0.30499999999999999</v>
      </c>
      <c r="D857" s="2" t="s">
        <v>680</v>
      </c>
      <c r="E857">
        <v>1</v>
      </c>
      <c r="F857" s="2" t="s">
        <v>2</v>
      </c>
      <c r="G857">
        <v>0</v>
      </c>
      <c r="H857">
        <v>10.5</v>
      </c>
      <c r="I857" s="2" t="s">
        <v>0</v>
      </c>
      <c r="J857">
        <v>2</v>
      </c>
      <c r="K857" s="2" t="s">
        <v>1</v>
      </c>
      <c r="L857">
        <v>0</v>
      </c>
      <c r="M857">
        <v>10.5</v>
      </c>
      <c r="N857" s="2" t="s">
        <v>791</v>
      </c>
      <c r="O857" t="str">
        <f>D857&amp;"-"&amp;E857&amp;"-"&amp;F857&amp;"-"&amp;G857&amp;"-"&amp;H857</f>
        <v>E-1-e-0-10.5</v>
      </c>
      <c r="P857" t="str">
        <f>I857&amp;"-"&amp;J857&amp;"-"&amp;K857&amp;"-"&amp;L857&amp;"-"&amp;M857</f>
        <v>X-2-f-0-10.5</v>
      </c>
      <c r="Q857">
        <f>A857+R857</f>
        <v>19296.679745000001</v>
      </c>
      <c r="R857">
        <f>_xlfn.IFNA(VLOOKUP(P857,PGOPHER!A$2:G$181,7,FALSE),_xlfn.IFNA(VLOOKUP(P857,en!A$2:I$768,7,FALSE),-10000))</f>
        <v>476.52831500000002</v>
      </c>
      <c r="S857">
        <f>IF(O857=O856,Q856+S856,Q857)</f>
        <v>57890.318610000002</v>
      </c>
      <c r="T857">
        <f>IF(O857=O856,T856+1,1)</f>
        <v>3</v>
      </c>
      <c r="U857">
        <f>IF(O857=O858,"",S857/T857)</f>
        <v>19296.772870000001</v>
      </c>
      <c r="V857" t="str">
        <f>IF(U857="","",IF(ABS(Q857-U857)&gt;V$1,"error",""))</f>
        <v/>
      </c>
    </row>
    <row r="858" spans="1:22" x14ac:dyDescent="0.55000000000000004">
      <c r="A858">
        <v>18810.145850000001</v>
      </c>
      <c r="B858" s="1">
        <v>5.0000000000000001E-3</v>
      </c>
      <c r="C858" s="1">
        <v>5.0000000000000001E-3</v>
      </c>
      <c r="D858" s="2" t="s">
        <v>680</v>
      </c>
      <c r="E858">
        <v>1</v>
      </c>
      <c r="F858" s="2" t="s">
        <v>2</v>
      </c>
      <c r="G858">
        <v>1</v>
      </c>
      <c r="H858">
        <v>10.5</v>
      </c>
      <c r="I858" s="2" t="s">
        <v>0</v>
      </c>
      <c r="J858">
        <v>1</v>
      </c>
      <c r="K858" s="2" t="s">
        <v>2</v>
      </c>
      <c r="L858">
        <v>1</v>
      </c>
      <c r="M858">
        <v>11.5</v>
      </c>
      <c r="N858" s="2" t="s">
        <v>1045</v>
      </c>
      <c r="O858" t="str">
        <f>D858&amp;"-"&amp;E858&amp;"-"&amp;F858&amp;"-"&amp;G858&amp;"-"&amp;H858</f>
        <v>E-1-e-1-10.5</v>
      </c>
      <c r="P858" t="str">
        <f>I858&amp;"-"&amp;J858&amp;"-"&amp;K858&amp;"-"&amp;L858&amp;"-"&amp;M858</f>
        <v>X-1-e-1-11.5</v>
      </c>
      <c r="Q858">
        <f>A858+R858</f>
        <v>20450.269484</v>
      </c>
      <c r="R858">
        <f>_xlfn.IFNA(VLOOKUP(P858,PGOPHER!A$2:G$181,7,FALSE),_xlfn.IFNA(VLOOKUP(P858,en!A$2:I$768,7,FALSE),-10000))</f>
        <v>1640.123634</v>
      </c>
      <c r="S858">
        <f>IF(O858=O857,Q857+S857,Q858)</f>
        <v>20450.269484</v>
      </c>
      <c r="T858">
        <f>IF(O858=O857,T857+1,1)</f>
        <v>1</v>
      </c>
      <c r="U858" t="str">
        <f>IF(O858=O859,"",S858/T858)</f>
        <v/>
      </c>
      <c r="V858" t="str">
        <f>IF(U858="","",IF(ABS(Q858-U858)&gt;V$1,"error",""))</f>
        <v/>
      </c>
    </row>
    <row r="859" spans="1:22" x14ac:dyDescent="0.55000000000000004">
      <c r="A859">
        <v>18958.241620000001</v>
      </c>
      <c r="B859" s="1">
        <v>5.0000000000000001E-3</v>
      </c>
      <c r="C859" s="1">
        <v>5.0000000000000001E-3</v>
      </c>
      <c r="D859" s="2" t="s">
        <v>680</v>
      </c>
      <c r="E859">
        <v>1</v>
      </c>
      <c r="F859" s="2" t="s">
        <v>2</v>
      </c>
      <c r="G859">
        <v>1</v>
      </c>
      <c r="H859">
        <v>10.5</v>
      </c>
      <c r="I859" s="2" t="s">
        <v>0</v>
      </c>
      <c r="J859">
        <v>1</v>
      </c>
      <c r="K859" s="2" t="s">
        <v>2</v>
      </c>
      <c r="L859">
        <v>1</v>
      </c>
      <c r="M859">
        <v>9.5</v>
      </c>
      <c r="N859" s="2" t="s">
        <v>1046</v>
      </c>
      <c r="O859" t="str">
        <f>D859&amp;"-"&amp;E859&amp;"-"&amp;F859&amp;"-"&amp;G859&amp;"-"&amp;H859</f>
        <v>E-1-e-1-10.5</v>
      </c>
      <c r="P859" t="str">
        <f>I859&amp;"-"&amp;J859&amp;"-"&amp;K859&amp;"-"&amp;L859&amp;"-"&amp;M859</f>
        <v>X-1-e-1-9.5</v>
      </c>
      <c r="Q859">
        <f>A859+R859</f>
        <v>20450.271377000001</v>
      </c>
      <c r="R859">
        <f>_xlfn.IFNA(VLOOKUP(P859,PGOPHER!A$2:G$181,7,FALSE),_xlfn.IFNA(VLOOKUP(P859,en!A$2:I$768,7,FALSE),-10000))</f>
        <v>1492.029757</v>
      </c>
      <c r="S859">
        <f>IF(O859=O858,Q858+S858,Q859)</f>
        <v>40900.538968000001</v>
      </c>
      <c r="T859">
        <f>IF(O859=O858,T858+1,1)</f>
        <v>2</v>
      </c>
      <c r="U859" t="str">
        <f>IF(O859=O860,"",S859/T859)</f>
        <v/>
      </c>
      <c r="V859" t="str">
        <f>IF(U859="","",IF(ABS(Q859-U859)&gt;V$1,"error",""))</f>
        <v/>
      </c>
    </row>
    <row r="860" spans="1:22" x14ac:dyDescent="0.55000000000000004">
      <c r="A860">
        <v>18811.502949999998</v>
      </c>
      <c r="B860" s="1">
        <v>5.0000000000000001E-3</v>
      </c>
      <c r="C860" s="1">
        <v>5.0000000000000001E-3</v>
      </c>
      <c r="D860" s="2" t="s">
        <v>680</v>
      </c>
      <c r="E860">
        <v>1</v>
      </c>
      <c r="F860" s="2" t="s">
        <v>2</v>
      </c>
      <c r="G860">
        <v>1</v>
      </c>
      <c r="H860">
        <v>10.5</v>
      </c>
      <c r="I860" s="2" t="s">
        <v>0</v>
      </c>
      <c r="J860">
        <v>2</v>
      </c>
      <c r="K860" s="2" t="s">
        <v>1</v>
      </c>
      <c r="L860">
        <v>1</v>
      </c>
      <c r="M860">
        <v>10.5</v>
      </c>
      <c r="N860" s="2" t="s">
        <v>1047</v>
      </c>
      <c r="O860" t="str">
        <f>D860&amp;"-"&amp;E860&amp;"-"&amp;F860&amp;"-"&amp;G860&amp;"-"&amp;H860</f>
        <v>E-1-e-1-10.5</v>
      </c>
      <c r="P860" t="str">
        <f>I860&amp;"-"&amp;J860&amp;"-"&amp;K860&amp;"-"&amp;L860&amp;"-"&amp;M860</f>
        <v>X-2-f-1-10.5</v>
      </c>
      <c r="Q860">
        <f>A860+R860</f>
        <v>20450.266485999997</v>
      </c>
      <c r="R860">
        <f>_xlfn.IFNA(VLOOKUP(P860,PGOPHER!A$2:G$181,7,FALSE),_xlfn.IFNA(VLOOKUP(P860,en!A$2:I$768,7,FALSE),-10000))</f>
        <v>1638.7635359999999</v>
      </c>
      <c r="S860">
        <f>IF(O860=O859,Q859+S859,Q860)</f>
        <v>61350.810345000005</v>
      </c>
      <c r="T860">
        <f>IF(O860=O859,T859+1,1)</f>
        <v>3</v>
      </c>
      <c r="U860">
        <f>IF(O860=O861,"",S860/T860)</f>
        <v>20450.270115000003</v>
      </c>
      <c r="V860" t="str">
        <f>IF(U860="","",IF(ABS(Q860-U860)&gt;V$1,"error",""))</f>
        <v/>
      </c>
    </row>
    <row r="861" spans="1:22" x14ac:dyDescent="0.55000000000000004">
      <c r="A861">
        <v>18734.273539999998</v>
      </c>
      <c r="B861" s="1">
        <v>0.30499999999999999</v>
      </c>
      <c r="C861" s="1">
        <v>0.30499999999999999</v>
      </c>
      <c r="D861" s="2" t="s">
        <v>680</v>
      </c>
      <c r="E861">
        <v>1</v>
      </c>
      <c r="F861" s="2" t="s">
        <v>1</v>
      </c>
      <c r="G861">
        <v>0</v>
      </c>
      <c r="H861">
        <v>10.5</v>
      </c>
      <c r="I861" s="2" t="s">
        <v>0</v>
      </c>
      <c r="J861">
        <v>2</v>
      </c>
      <c r="K861" s="2" t="s">
        <v>1</v>
      </c>
      <c r="L861">
        <v>0</v>
      </c>
      <c r="M861">
        <v>11.5</v>
      </c>
      <c r="N861" s="2" t="s">
        <v>792</v>
      </c>
      <c r="O861" t="str">
        <f>D861&amp;"-"&amp;E861&amp;"-"&amp;F861&amp;"-"&amp;G861&amp;"-"&amp;H861</f>
        <v>E-1-f-0-10.5</v>
      </c>
      <c r="P861" t="str">
        <f>I861&amp;"-"&amp;J861&amp;"-"&amp;K861&amp;"-"&amp;L861&amp;"-"&amp;M861</f>
        <v>X-2-f-0-11.5</v>
      </c>
      <c r="Q861">
        <f>A861+R861</f>
        <v>19297.011405999998</v>
      </c>
      <c r="R861">
        <f>_xlfn.IFNA(VLOOKUP(P861,PGOPHER!A$2:G$181,7,FALSE),_xlfn.IFNA(VLOOKUP(P861,en!A$2:I$768,7,FALSE),-10000))</f>
        <v>562.73786600000005</v>
      </c>
      <c r="S861">
        <f>IF(O861=O860,Q860+S860,Q861)</f>
        <v>19297.011405999998</v>
      </c>
      <c r="T861">
        <f>IF(O861=O860,T860+1,1)</f>
        <v>1</v>
      </c>
      <c r="U861">
        <f>IF(O861=O862,"",S861/T861)</f>
        <v>19297.011405999998</v>
      </c>
      <c r="V861" t="str">
        <f>IF(U861="","",IF(ABS(Q861-U861)&gt;V$1,"error",""))</f>
        <v/>
      </c>
    </row>
    <row r="862" spans="1:22" x14ac:dyDescent="0.55000000000000004">
      <c r="A862">
        <v>18887.800340000002</v>
      </c>
      <c r="B862" s="1">
        <v>5.0000000000000001E-3</v>
      </c>
      <c r="C862" s="1">
        <v>5.0000000000000001E-3</v>
      </c>
      <c r="D862" s="2" t="s">
        <v>680</v>
      </c>
      <c r="E862">
        <v>1</v>
      </c>
      <c r="F862" s="2" t="s">
        <v>1</v>
      </c>
      <c r="G862">
        <v>1</v>
      </c>
      <c r="H862">
        <v>10.5</v>
      </c>
      <c r="I862" s="2" t="s">
        <v>0</v>
      </c>
      <c r="J862">
        <v>1</v>
      </c>
      <c r="K862" s="2" t="s">
        <v>2</v>
      </c>
      <c r="L862">
        <v>1</v>
      </c>
      <c r="M862">
        <v>10.5</v>
      </c>
      <c r="N862" s="2" t="s">
        <v>1049</v>
      </c>
      <c r="O862" t="str">
        <f>D862&amp;"-"&amp;E862&amp;"-"&amp;F862&amp;"-"&amp;G862&amp;"-"&amp;H862</f>
        <v>E-1-f-1-10.5</v>
      </c>
      <c r="P862" t="str">
        <f>I862&amp;"-"&amp;J862&amp;"-"&amp;K862&amp;"-"&amp;L862&amp;"-"&amp;M862</f>
        <v>X-1-e-1-10.5</v>
      </c>
      <c r="Q862">
        <f>A862+R862</f>
        <v>20450.413526</v>
      </c>
      <c r="R862">
        <f>_xlfn.IFNA(VLOOKUP(P862,PGOPHER!A$2:G$181,7,FALSE),_xlfn.IFNA(VLOOKUP(P862,en!A$2:I$768,7,FALSE),-10000))</f>
        <v>1562.613186</v>
      </c>
      <c r="S862">
        <f>IF(O862=O861,Q861+S861,Q862)</f>
        <v>20450.413526</v>
      </c>
      <c r="T862">
        <f>IF(O862=O861,T861+1,1)</f>
        <v>1</v>
      </c>
      <c r="U862" t="str">
        <f>IF(O862=O863,"",S862/T862)</f>
        <v/>
      </c>
      <c r="V862" t="str">
        <f>IF(U862="","",IF(ABS(Q862-U862)&gt;V$1,"error",""))</f>
        <v/>
      </c>
    </row>
    <row r="863" spans="1:22" x14ac:dyDescent="0.55000000000000004">
      <c r="A863">
        <v>18727.355029999999</v>
      </c>
      <c r="B863" s="1">
        <v>1.4999999999999999E-2</v>
      </c>
      <c r="C863" s="1">
        <v>1.4999999999999999E-2</v>
      </c>
      <c r="D863" s="2" t="s">
        <v>680</v>
      </c>
      <c r="E863">
        <v>1</v>
      </c>
      <c r="F863" s="2" t="s">
        <v>1</v>
      </c>
      <c r="G863">
        <v>1</v>
      </c>
      <c r="H863">
        <v>10.5</v>
      </c>
      <c r="I863" s="2" t="s">
        <v>0</v>
      </c>
      <c r="J863">
        <v>2</v>
      </c>
      <c r="K863" s="2" t="s">
        <v>1</v>
      </c>
      <c r="L863">
        <v>1</v>
      </c>
      <c r="M863">
        <v>11.5</v>
      </c>
      <c r="N863" s="2" t="s">
        <v>1048</v>
      </c>
      <c r="O863" t="str">
        <f>D863&amp;"-"&amp;E863&amp;"-"&amp;F863&amp;"-"&amp;G863&amp;"-"&amp;H863</f>
        <v>E-1-f-1-10.5</v>
      </c>
      <c r="P863" t="str">
        <f>I863&amp;"-"&amp;J863&amp;"-"&amp;K863&amp;"-"&amp;L863&amp;"-"&amp;M863</f>
        <v>X-2-f-1-11.5</v>
      </c>
      <c r="Q863">
        <f>A863+R863</f>
        <v>20450.409320999999</v>
      </c>
      <c r="R863">
        <f>_xlfn.IFNA(VLOOKUP(P863,PGOPHER!A$2:G$181,7,FALSE),_xlfn.IFNA(VLOOKUP(P863,en!A$2:I$768,7,FALSE),-10000))</f>
        <v>1723.0542909999999</v>
      </c>
      <c r="S863">
        <f>IF(O863=O862,Q862+S862,Q863)</f>
        <v>40900.827052000001</v>
      </c>
      <c r="T863">
        <f>IF(O863=O862,T862+1,1)</f>
        <v>2</v>
      </c>
      <c r="U863">
        <f>IF(O863=O864,"",S863/T863)</f>
        <v>20450.413526</v>
      </c>
      <c r="V863" t="str">
        <f>IF(U863="","",IF(ABS(Q863-U863)&gt;V$1,"error",""))</f>
        <v/>
      </c>
    </row>
    <row r="864" spans="1:22" x14ac:dyDescent="0.55000000000000004">
      <c r="A864">
        <v>19105.124810000001</v>
      </c>
      <c r="B864" s="1">
        <v>5.0000000000000001E-3</v>
      </c>
      <c r="C864" s="1">
        <v>5.0000000000000001E-3</v>
      </c>
      <c r="D864" s="2" t="s">
        <v>680</v>
      </c>
      <c r="E864">
        <v>2</v>
      </c>
      <c r="F864" s="2" t="s">
        <v>2</v>
      </c>
      <c r="G864">
        <v>0</v>
      </c>
      <c r="H864">
        <v>10.5</v>
      </c>
      <c r="I864" s="2" t="s">
        <v>0</v>
      </c>
      <c r="J864">
        <v>1</v>
      </c>
      <c r="K864" s="2" t="s">
        <v>2</v>
      </c>
      <c r="L864">
        <v>0</v>
      </c>
      <c r="M864">
        <v>9.5</v>
      </c>
      <c r="N864" s="2" t="s">
        <v>793</v>
      </c>
      <c r="O864" t="str">
        <f>D864&amp;"-"&amp;E864&amp;"-"&amp;F864&amp;"-"&amp;G864&amp;"-"&amp;H864</f>
        <v>E-2-e-0-10.5</v>
      </c>
      <c r="P864" t="str">
        <f>I864&amp;"-"&amp;J864&amp;"-"&amp;K864&amp;"-"&amp;L864&amp;"-"&amp;M864</f>
        <v>X-1-e-0-9.5</v>
      </c>
      <c r="Q864">
        <f>A864+R864</f>
        <v>19431.592428</v>
      </c>
      <c r="R864">
        <f>_xlfn.IFNA(VLOOKUP(P864,PGOPHER!A$2:G$181,7,FALSE),_xlfn.IFNA(VLOOKUP(P864,en!A$2:I$768,7,FALSE),-10000))</f>
        <v>326.46761800000002</v>
      </c>
      <c r="S864">
        <f>IF(O864=O863,Q863+S863,Q864)</f>
        <v>19431.592428</v>
      </c>
      <c r="T864">
        <f>IF(O864=O863,T863+1,1)</f>
        <v>1</v>
      </c>
      <c r="U864" t="str">
        <f>IF(O864=O865,"",S864/T864)</f>
        <v/>
      </c>
      <c r="V864" t="str">
        <f>IF(U864="","",IF(ABS(Q864-U864)&gt;V$1,"error",""))</f>
        <v/>
      </c>
    </row>
    <row r="865" spans="1:22" x14ac:dyDescent="0.55000000000000004">
      <c r="A865">
        <v>18953.6558</v>
      </c>
      <c r="B865" s="1">
        <v>5.0000000000000001E-3</v>
      </c>
      <c r="C865" s="1">
        <v>5.0000000000000001E-3</v>
      </c>
      <c r="D865" s="2" t="s">
        <v>680</v>
      </c>
      <c r="E865">
        <v>2</v>
      </c>
      <c r="F865" s="2" t="s">
        <v>2</v>
      </c>
      <c r="G865">
        <v>0</v>
      </c>
      <c r="H865">
        <v>10.5</v>
      </c>
      <c r="I865" s="2" t="s">
        <v>0</v>
      </c>
      <c r="J865">
        <v>1</v>
      </c>
      <c r="K865" s="2" t="s">
        <v>2</v>
      </c>
      <c r="L865">
        <v>0</v>
      </c>
      <c r="M865">
        <v>11.5</v>
      </c>
      <c r="N865" s="2" t="s">
        <v>794</v>
      </c>
      <c r="O865" t="str">
        <f>D865&amp;"-"&amp;E865&amp;"-"&amp;F865&amp;"-"&amp;G865&amp;"-"&amp;H865</f>
        <v>E-2-e-0-10.5</v>
      </c>
      <c r="P865" t="str">
        <f>I865&amp;"-"&amp;J865&amp;"-"&amp;K865&amp;"-"&amp;L865&amp;"-"&amp;M865</f>
        <v>X-1-e-0-11.5</v>
      </c>
      <c r="Q865">
        <f>A865+R865</f>
        <v>19431.589223999999</v>
      </c>
      <c r="R865">
        <f>_xlfn.IFNA(VLOOKUP(P865,PGOPHER!A$2:G$181,7,FALSE),_xlfn.IFNA(VLOOKUP(P865,en!A$2:I$768,7,FALSE),-10000))</f>
        <v>477.933424</v>
      </c>
      <c r="S865">
        <f>IF(O865=O864,Q864+S864,Q865)</f>
        <v>38863.184856</v>
      </c>
      <c r="T865">
        <f>IF(O865=O864,T864+1,1)</f>
        <v>2</v>
      </c>
      <c r="U865" t="str">
        <f>IF(O865=O866,"",S865/T865)</f>
        <v/>
      </c>
      <c r="V865" t="str">
        <f>IF(U865="","",IF(ABS(Q865-U865)&gt;V$1,"error",""))</f>
        <v/>
      </c>
    </row>
    <row r="866" spans="1:22" x14ac:dyDescent="0.55000000000000004">
      <c r="A866">
        <v>18955.064190000001</v>
      </c>
      <c r="B866" s="1">
        <v>5.0000000000000001E-3</v>
      </c>
      <c r="C866" s="1">
        <v>5.0000000000000001E-3</v>
      </c>
      <c r="D866" s="2" t="s">
        <v>680</v>
      </c>
      <c r="E866">
        <v>2</v>
      </c>
      <c r="F866" s="2" t="s">
        <v>2</v>
      </c>
      <c r="G866">
        <v>0</v>
      </c>
      <c r="H866">
        <v>10.5</v>
      </c>
      <c r="I866" s="2" t="s">
        <v>0</v>
      </c>
      <c r="J866">
        <v>2</v>
      </c>
      <c r="K866" s="2" t="s">
        <v>1</v>
      </c>
      <c r="L866">
        <v>0</v>
      </c>
      <c r="M866">
        <v>10.5</v>
      </c>
      <c r="N866" s="2" t="s">
        <v>795</v>
      </c>
      <c r="O866" t="str">
        <f>D866&amp;"-"&amp;E866&amp;"-"&amp;F866&amp;"-"&amp;G866&amp;"-"&amp;H866</f>
        <v>E-2-e-0-10.5</v>
      </c>
      <c r="P866" t="str">
        <f>I866&amp;"-"&amp;J866&amp;"-"&amp;K866&amp;"-"&amp;L866&amp;"-"&amp;M866</f>
        <v>X-2-f-0-10.5</v>
      </c>
      <c r="Q866">
        <f>A866+R866</f>
        <v>19431.592505000001</v>
      </c>
      <c r="R866">
        <f>_xlfn.IFNA(VLOOKUP(P866,PGOPHER!A$2:G$181,7,FALSE),_xlfn.IFNA(VLOOKUP(P866,en!A$2:I$768,7,FALSE),-10000))</f>
        <v>476.52831500000002</v>
      </c>
      <c r="S866">
        <f>IF(O866=O865,Q865+S865,Q866)</f>
        <v>58294.774080000003</v>
      </c>
      <c r="T866">
        <f>IF(O866=O865,T865+1,1)</f>
        <v>3</v>
      </c>
      <c r="U866">
        <f>IF(O866=O867,"",S866/T866)</f>
        <v>19431.591360000002</v>
      </c>
      <c r="V866" t="str">
        <f>IF(U866="","",IF(ABS(Q866-U866)&gt;V$1,"error",""))</f>
        <v/>
      </c>
    </row>
    <row r="867" spans="1:22" x14ac:dyDescent="0.55000000000000004">
      <c r="A867">
        <v>19094.582320000001</v>
      </c>
      <c r="B867" s="1">
        <v>5.0000000000000001E-3</v>
      </c>
      <c r="C867" s="1">
        <v>5.0000000000000001E-3</v>
      </c>
      <c r="D867" s="2" t="s">
        <v>680</v>
      </c>
      <c r="E867">
        <v>2</v>
      </c>
      <c r="F867" s="2" t="s">
        <v>2</v>
      </c>
      <c r="G867">
        <v>1</v>
      </c>
      <c r="H867">
        <v>10.5</v>
      </c>
      <c r="I867" s="2" t="s">
        <v>0</v>
      </c>
      <c r="J867">
        <v>1</v>
      </c>
      <c r="K867" s="2" t="s">
        <v>2</v>
      </c>
      <c r="L867">
        <v>1</v>
      </c>
      <c r="M867">
        <v>9.5</v>
      </c>
      <c r="N867" s="2" t="s">
        <v>1050</v>
      </c>
      <c r="O867" t="str">
        <f>D867&amp;"-"&amp;E867&amp;"-"&amp;F867&amp;"-"&amp;G867&amp;"-"&amp;H867</f>
        <v>E-2-e-1-10.5</v>
      </c>
      <c r="P867" t="str">
        <f>I867&amp;"-"&amp;J867&amp;"-"&amp;K867&amp;"-"&amp;L867&amp;"-"&amp;M867</f>
        <v>X-1-e-1-9.5</v>
      </c>
      <c r="Q867">
        <f>A867+R867</f>
        <v>20586.612077000002</v>
      </c>
      <c r="R867">
        <f>_xlfn.IFNA(VLOOKUP(P867,PGOPHER!A$2:G$181,7,FALSE),_xlfn.IFNA(VLOOKUP(P867,en!A$2:I$768,7,FALSE),-10000))</f>
        <v>1492.029757</v>
      </c>
      <c r="S867">
        <f>IF(O867=O866,Q866+S866,Q867)</f>
        <v>20586.612077000002</v>
      </c>
      <c r="T867">
        <f>IF(O867=O866,T866+1,1)</f>
        <v>1</v>
      </c>
      <c r="U867">
        <f>IF(O867=O868,"",S867/T867)</f>
        <v>20586.612077000002</v>
      </c>
      <c r="V867" t="str">
        <f>IF(U867="","",IF(ABS(Q867-U867)&gt;V$1,"error",""))</f>
        <v/>
      </c>
    </row>
    <row r="868" spans="1:22" x14ac:dyDescent="0.55000000000000004">
      <c r="A868">
        <v>19034.952450000001</v>
      </c>
      <c r="B868" s="1">
        <v>5.0000000000000001E-3</v>
      </c>
      <c r="C868" s="1">
        <v>5.0000000000000001E-3</v>
      </c>
      <c r="D868" s="2" t="s">
        <v>680</v>
      </c>
      <c r="E868">
        <v>2</v>
      </c>
      <c r="F868" s="2" t="s">
        <v>1</v>
      </c>
      <c r="G868">
        <v>0</v>
      </c>
      <c r="H868">
        <v>10.5</v>
      </c>
      <c r="I868" s="2" t="s">
        <v>0</v>
      </c>
      <c r="J868">
        <v>2</v>
      </c>
      <c r="K868" s="2" t="s">
        <v>1</v>
      </c>
      <c r="L868">
        <v>0</v>
      </c>
      <c r="M868">
        <v>9.5</v>
      </c>
      <c r="N868" s="2" t="s">
        <v>796</v>
      </c>
      <c r="O868" t="str">
        <f>D868&amp;"-"&amp;E868&amp;"-"&amp;F868&amp;"-"&amp;G868&amp;"-"&amp;H868</f>
        <v>E-2-f-0-10.5</v>
      </c>
      <c r="P868" t="str">
        <f>I868&amp;"-"&amp;J868&amp;"-"&amp;K868&amp;"-"&amp;L868&amp;"-"&amp;M868</f>
        <v>X-2-f-0-9.5</v>
      </c>
      <c r="Q868">
        <f>A868+R868</f>
        <v>19432.321054</v>
      </c>
      <c r="R868">
        <f>_xlfn.IFNA(VLOOKUP(P868,PGOPHER!A$2:G$181,7,FALSE),_xlfn.IFNA(VLOOKUP(P868,en!A$2:I$768,7,FALSE),-10000))</f>
        <v>397.368604</v>
      </c>
      <c r="S868">
        <f>IF(O868=O867,Q867+S867,Q868)</f>
        <v>19432.321054</v>
      </c>
      <c r="T868">
        <f>IF(O868=O867,T867+1,1)</f>
        <v>1</v>
      </c>
      <c r="U868" t="str">
        <f>IF(O868=O869,"",S868/T868)</f>
        <v/>
      </c>
      <c r="V868" t="str">
        <f>IF(U868="","",IF(ABS(Q868-U868)&gt;V$1,"error",""))</f>
        <v/>
      </c>
    </row>
    <row r="869" spans="1:22" x14ac:dyDescent="0.55000000000000004">
      <c r="A869">
        <v>18869.576509999999</v>
      </c>
      <c r="B869" s="1">
        <v>5.0000000000000001E-3</v>
      </c>
      <c r="C869" s="1">
        <v>5.0000000000000001E-3</v>
      </c>
      <c r="D869" s="2" t="s">
        <v>680</v>
      </c>
      <c r="E869">
        <v>2</v>
      </c>
      <c r="F869" s="2" t="s">
        <v>1</v>
      </c>
      <c r="G869">
        <v>0</v>
      </c>
      <c r="H869">
        <v>10.5</v>
      </c>
      <c r="I869" s="2" t="s">
        <v>0</v>
      </c>
      <c r="J869">
        <v>2</v>
      </c>
      <c r="K869" s="2" t="s">
        <v>1</v>
      </c>
      <c r="L869">
        <v>0</v>
      </c>
      <c r="M869">
        <v>11.5</v>
      </c>
      <c r="N869" s="2" t="s">
        <v>797</v>
      </c>
      <c r="O869" t="str">
        <f>D869&amp;"-"&amp;E869&amp;"-"&amp;F869&amp;"-"&amp;G869&amp;"-"&amp;H869</f>
        <v>E-2-f-0-10.5</v>
      </c>
      <c r="P869" t="str">
        <f>I869&amp;"-"&amp;J869&amp;"-"&amp;K869&amp;"-"&amp;L869&amp;"-"&amp;M869</f>
        <v>X-2-f-0-11.5</v>
      </c>
      <c r="Q869">
        <f>A869+R869</f>
        <v>19432.314375999998</v>
      </c>
      <c r="R869">
        <f>_xlfn.IFNA(VLOOKUP(P869,PGOPHER!A$2:G$181,7,FALSE),_xlfn.IFNA(VLOOKUP(P869,en!A$2:I$768,7,FALSE),-10000))</f>
        <v>562.73786600000005</v>
      </c>
      <c r="S869">
        <f>IF(O869=O868,Q868+S868,Q869)</f>
        <v>38864.642108</v>
      </c>
      <c r="T869">
        <f>IF(O869=O868,T868+1,1)</f>
        <v>2</v>
      </c>
      <c r="U869" t="str">
        <f>IF(O869=O870,"",S869/T869)</f>
        <v/>
      </c>
      <c r="V869" t="str">
        <f>IF(U869="","",IF(ABS(Q869-U869)&gt;V$1,"error",""))</f>
        <v/>
      </c>
    </row>
    <row r="870" spans="1:22" x14ac:dyDescent="0.55000000000000004">
      <c r="A870">
        <v>19033.66258</v>
      </c>
      <c r="B870" s="1">
        <v>5.0000000000000001E-3</v>
      </c>
      <c r="C870" s="1">
        <v>5.0000000000000001E-3</v>
      </c>
      <c r="D870" s="2" t="s">
        <v>680</v>
      </c>
      <c r="E870">
        <v>2</v>
      </c>
      <c r="F870" s="2" t="s">
        <v>1</v>
      </c>
      <c r="G870">
        <v>0</v>
      </c>
      <c r="H870">
        <v>10.5</v>
      </c>
      <c r="I870" s="2" t="s">
        <v>0</v>
      </c>
      <c r="J870">
        <v>1</v>
      </c>
      <c r="K870" s="2" t="s">
        <v>2</v>
      </c>
      <c r="L870">
        <v>0</v>
      </c>
      <c r="M870">
        <v>10.5</v>
      </c>
      <c r="N870" s="2" t="s">
        <v>798</v>
      </c>
      <c r="O870" t="str">
        <f>D870&amp;"-"&amp;E870&amp;"-"&amp;F870&amp;"-"&amp;G870&amp;"-"&amp;H870</f>
        <v>E-2-f-0-10.5</v>
      </c>
      <c r="P870" t="str">
        <f>I870&amp;"-"&amp;J870&amp;"-"&amp;K870&amp;"-"&amp;L870&amp;"-"&amp;M870</f>
        <v>X-1-e-0-10.5</v>
      </c>
      <c r="Q870">
        <f>A870+R870</f>
        <v>19432.31884</v>
      </c>
      <c r="R870">
        <f>_xlfn.IFNA(VLOOKUP(P870,PGOPHER!A$2:G$181,7,FALSE),_xlfn.IFNA(VLOOKUP(P870,en!A$2:I$768,7,FALSE),-10000))</f>
        <v>398.65625999999997</v>
      </c>
      <c r="S870">
        <f>IF(O870=O869,Q869+S869,Q870)</f>
        <v>58296.956483999995</v>
      </c>
      <c r="T870">
        <f>IF(O870=O869,T869+1,1)</f>
        <v>3</v>
      </c>
      <c r="U870">
        <f>IF(O870=O871,"",S870/T870)</f>
        <v>19432.318827999999</v>
      </c>
      <c r="V870" t="str">
        <f>IF(U870="","",IF(ABS(Q870-U870)&gt;V$1,"error",""))</f>
        <v/>
      </c>
    </row>
    <row r="871" spans="1:22" x14ac:dyDescent="0.55000000000000004">
      <c r="A871">
        <v>19024.601210000001</v>
      </c>
      <c r="B871" s="1">
        <v>5.0000000000000001E-3</v>
      </c>
      <c r="C871" s="1">
        <v>5.0000000000000001E-3</v>
      </c>
      <c r="D871" s="2" t="s">
        <v>680</v>
      </c>
      <c r="E871">
        <v>2</v>
      </c>
      <c r="F871" s="2" t="s">
        <v>1</v>
      </c>
      <c r="G871">
        <v>1</v>
      </c>
      <c r="H871">
        <v>10.5</v>
      </c>
      <c r="I871" s="2" t="s">
        <v>0</v>
      </c>
      <c r="J871">
        <v>1</v>
      </c>
      <c r="K871" s="2" t="s">
        <v>2</v>
      </c>
      <c r="L871">
        <v>1</v>
      </c>
      <c r="M871">
        <v>10.5</v>
      </c>
      <c r="N871" s="2" t="s">
        <v>1051</v>
      </c>
      <c r="O871" t="str">
        <f>D871&amp;"-"&amp;E871&amp;"-"&amp;F871&amp;"-"&amp;G871&amp;"-"&amp;H871</f>
        <v>E-2-f-1-10.5</v>
      </c>
      <c r="P871" t="str">
        <f>I871&amp;"-"&amp;J871&amp;"-"&amp;K871&amp;"-"&amp;L871&amp;"-"&amp;M871</f>
        <v>X-1-e-1-10.5</v>
      </c>
      <c r="Q871">
        <f>A871+R871</f>
        <v>20587.214395999999</v>
      </c>
      <c r="R871">
        <f>_xlfn.IFNA(VLOOKUP(P871,PGOPHER!A$2:G$181,7,FALSE),_xlfn.IFNA(VLOOKUP(P871,en!A$2:I$768,7,FALSE),-10000))</f>
        <v>1562.613186</v>
      </c>
      <c r="S871">
        <f>IF(O871=O870,Q870+S870,Q871)</f>
        <v>20587.214395999999</v>
      </c>
      <c r="T871">
        <f>IF(O871=O870,T870+1,1)</f>
        <v>1</v>
      </c>
      <c r="U871" t="str">
        <f>IF(O871=O872,"",S871/T871)</f>
        <v/>
      </c>
      <c r="V871" t="str">
        <f>IF(U871="","",IF(ABS(Q871-U871)&gt;V$1,"error",""))</f>
        <v/>
      </c>
    </row>
    <row r="872" spans="1:22" x14ac:dyDescent="0.55000000000000004">
      <c r="A872">
        <v>19025.853159999999</v>
      </c>
      <c r="B872" s="1">
        <v>7.9369999999999996E-3</v>
      </c>
      <c r="C872" s="1">
        <v>7.9369999999999996E-3</v>
      </c>
      <c r="D872" s="2" t="s">
        <v>680</v>
      </c>
      <c r="E872">
        <v>2</v>
      </c>
      <c r="F872" s="2" t="s">
        <v>1</v>
      </c>
      <c r="G872">
        <v>1</v>
      </c>
      <c r="H872">
        <v>10.5</v>
      </c>
      <c r="I872" s="2" t="s">
        <v>0</v>
      </c>
      <c r="J872">
        <v>2</v>
      </c>
      <c r="K872" s="2" t="s">
        <v>1</v>
      </c>
      <c r="L872">
        <v>1</v>
      </c>
      <c r="M872">
        <v>9.5</v>
      </c>
      <c r="N872" s="2" t="s">
        <v>1052</v>
      </c>
      <c r="O872" t="str">
        <f>D872&amp;"-"&amp;E872&amp;"-"&amp;F872&amp;"-"&amp;G872&amp;"-"&amp;H872</f>
        <v>E-2-f-1-10.5</v>
      </c>
      <c r="P872" t="str">
        <f>I872&amp;"-"&amp;J872&amp;"-"&amp;K872&amp;"-"&amp;L872&amp;"-"&amp;M872</f>
        <v>X-2-f-1-9.5</v>
      </c>
      <c r="Q872">
        <f>A872+R872</f>
        <v>20587.223373999997</v>
      </c>
      <c r="R872">
        <f>_xlfn.IFNA(VLOOKUP(P872,PGOPHER!A$2:G$181,7,FALSE),_xlfn.IFNA(VLOOKUP(P872,en!A$2:I$768,7,FALSE),-10000))</f>
        <v>1561.370214</v>
      </c>
      <c r="S872">
        <f>IF(O872=O871,Q871+S871,Q872)</f>
        <v>41174.428791999999</v>
      </c>
      <c r="T872">
        <f>IF(O872=O871,T871+1,1)</f>
        <v>2</v>
      </c>
      <c r="U872" t="str">
        <f>IF(O872=O873,"",S872/T872)</f>
        <v/>
      </c>
      <c r="V872" t="str">
        <f>IF(U872="","",IF(ABS(Q872-U872)&gt;V$1,"error",""))</f>
        <v/>
      </c>
    </row>
    <row r="873" spans="1:22" x14ac:dyDescent="0.55000000000000004">
      <c r="A873">
        <v>18864.160110000001</v>
      </c>
      <c r="B873" s="1">
        <v>5.0000000000000001E-3</v>
      </c>
      <c r="C873" s="1">
        <v>5.0000000000000001E-3</v>
      </c>
      <c r="D873" s="2" t="s">
        <v>680</v>
      </c>
      <c r="E873">
        <v>2</v>
      </c>
      <c r="F873" s="2" t="s">
        <v>1</v>
      </c>
      <c r="G873">
        <v>1</v>
      </c>
      <c r="H873">
        <v>10.5</v>
      </c>
      <c r="I873" s="2" t="s">
        <v>0</v>
      </c>
      <c r="J873">
        <v>2</v>
      </c>
      <c r="K873" s="2" t="s">
        <v>1</v>
      </c>
      <c r="L873">
        <v>1</v>
      </c>
      <c r="M873">
        <v>11.5</v>
      </c>
      <c r="N873" s="2" t="s">
        <v>1053</v>
      </c>
      <c r="O873" t="str">
        <f>D873&amp;"-"&amp;E873&amp;"-"&amp;F873&amp;"-"&amp;G873&amp;"-"&amp;H873</f>
        <v>E-2-f-1-10.5</v>
      </c>
      <c r="P873" t="str">
        <f>I873&amp;"-"&amp;J873&amp;"-"&amp;K873&amp;"-"&amp;L873&amp;"-"&amp;M873</f>
        <v>X-2-f-1-11.5</v>
      </c>
      <c r="Q873">
        <f>A873+R873</f>
        <v>20587.214401000001</v>
      </c>
      <c r="R873">
        <f>_xlfn.IFNA(VLOOKUP(P873,PGOPHER!A$2:G$181,7,FALSE),_xlfn.IFNA(VLOOKUP(P873,en!A$2:I$768,7,FALSE),-10000))</f>
        <v>1723.0542909999999</v>
      </c>
      <c r="S873">
        <f>IF(O873=O872,Q872+S872,Q873)</f>
        <v>61761.652166</v>
      </c>
      <c r="T873">
        <f>IF(O873=O872,T872+1,1)</f>
        <v>3</v>
      </c>
      <c r="U873">
        <f>IF(O873=O874,"",S873/T873)</f>
        <v>20587.217388666668</v>
      </c>
      <c r="V873" t="str">
        <f>IF(U873="","",IF(ABS(Q873-U873)&gt;V$1,"error",""))</f>
        <v/>
      </c>
    </row>
    <row r="874" spans="1:22" x14ac:dyDescent="0.55000000000000004">
      <c r="A874">
        <v>18981.398850000001</v>
      </c>
      <c r="B874" s="1">
        <v>0.20499999999999999</v>
      </c>
      <c r="C874" s="1">
        <v>0.20499999999999999</v>
      </c>
      <c r="D874" s="2" t="s">
        <v>680</v>
      </c>
      <c r="E874">
        <v>1</v>
      </c>
      <c r="F874" s="2" t="s">
        <v>2</v>
      </c>
      <c r="G874">
        <v>0</v>
      </c>
      <c r="H874">
        <v>11.5</v>
      </c>
      <c r="I874" s="2" t="s">
        <v>0</v>
      </c>
      <c r="J874">
        <v>1</v>
      </c>
      <c r="K874" s="2" t="s">
        <v>2</v>
      </c>
      <c r="L874">
        <v>0</v>
      </c>
      <c r="M874">
        <v>10.5</v>
      </c>
      <c r="N874" s="2" t="s">
        <v>799</v>
      </c>
      <c r="O874" t="str">
        <f>D874&amp;"-"&amp;E874&amp;"-"&amp;F874&amp;"-"&amp;G874&amp;"-"&amp;H874</f>
        <v>E-1-e-0-11.5</v>
      </c>
      <c r="P874" t="str">
        <f>I874&amp;"-"&amp;J874&amp;"-"&amp;K874&amp;"-"&amp;L874&amp;"-"&amp;M874</f>
        <v>X-1-e-0-10.5</v>
      </c>
      <c r="Q874">
        <f>A874+R874</f>
        <v>19380.055110000001</v>
      </c>
      <c r="R874">
        <f>_xlfn.IFNA(VLOOKUP(P874,PGOPHER!A$2:G$181,7,FALSE),_xlfn.IFNA(VLOOKUP(P874,en!A$2:I$768,7,FALSE),-10000))</f>
        <v>398.65625999999997</v>
      </c>
      <c r="S874">
        <f>IF(O874=O873,Q873+S873,Q874)</f>
        <v>19380.055110000001</v>
      </c>
      <c r="T874">
        <f>IF(O874=O873,T873+1,1)</f>
        <v>1</v>
      </c>
      <c r="U874" t="str">
        <f>IF(O874=O875,"",S874/T874)</f>
        <v/>
      </c>
      <c r="V874" t="str">
        <f>IF(U874="","",IF(ABS(Q874-U874)&gt;V$1,"error",""))</f>
        <v/>
      </c>
    </row>
    <row r="875" spans="1:22" x14ac:dyDescent="0.55000000000000004">
      <c r="A875">
        <v>18815.789260000001</v>
      </c>
      <c r="B875" s="1">
        <v>0.20499999999999999</v>
      </c>
      <c r="C875" s="1">
        <v>0.20499999999999999</v>
      </c>
      <c r="D875" s="2" t="s">
        <v>680</v>
      </c>
      <c r="E875">
        <v>1</v>
      </c>
      <c r="F875" s="2" t="s">
        <v>2</v>
      </c>
      <c r="G875">
        <v>0</v>
      </c>
      <c r="H875">
        <v>11.5</v>
      </c>
      <c r="I875" s="2" t="s">
        <v>0</v>
      </c>
      <c r="J875">
        <v>1</v>
      </c>
      <c r="K875" s="2" t="s">
        <v>2</v>
      </c>
      <c r="L875">
        <v>0</v>
      </c>
      <c r="M875">
        <v>12.5</v>
      </c>
      <c r="N875" s="2" t="s">
        <v>800</v>
      </c>
      <c r="O875" t="str">
        <f>D875&amp;"-"&amp;E875&amp;"-"&amp;F875&amp;"-"&amp;G875&amp;"-"&amp;H875</f>
        <v>E-1-e-0-11.5</v>
      </c>
      <c r="P875" t="str">
        <f>I875&amp;"-"&amp;J875&amp;"-"&amp;K875&amp;"-"&amp;L875&amp;"-"&amp;M875</f>
        <v>X-1-e-0-12.5</v>
      </c>
      <c r="Q875">
        <f>A875+R875</f>
        <v>19380.053668</v>
      </c>
      <c r="R875">
        <f>_xlfn.IFNA(VLOOKUP(P875,PGOPHER!A$2:G$181,7,FALSE),_xlfn.IFNA(VLOOKUP(P875,en!A$2:I$768,7,FALSE),-10000))</f>
        <v>564.264408</v>
      </c>
      <c r="S875">
        <f>IF(O875=O874,Q874+S874,Q875)</f>
        <v>38760.110220000002</v>
      </c>
      <c r="T875">
        <f>IF(O875=O874,T874+1,1)</f>
        <v>2</v>
      </c>
      <c r="U875" t="str">
        <f>IF(O875=O876,"",S875/T875)</f>
        <v/>
      </c>
      <c r="V875" t="str">
        <f>IF(U875="","",IF(ABS(Q875-U875)&gt;V$1,"error",""))</f>
        <v/>
      </c>
    </row>
    <row r="876" spans="1:22" x14ac:dyDescent="0.55000000000000004">
      <c r="A876">
        <v>18817.316869999999</v>
      </c>
      <c r="B876" s="1">
        <v>0.20499999999999999</v>
      </c>
      <c r="C876" s="1">
        <v>0.20499999999999999</v>
      </c>
      <c r="D876" s="2" t="s">
        <v>680</v>
      </c>
      <c r="E876">
        <v>1</v>
      </c>
      <c r="F876" s="2" t="s">
        <v>2</v>
      </c>
      <c r="G876">
        <v>0</v>
      </c>
      <c r="H876">
        <v>11.5</v>
      </c>
      <c r="I876" s="2" t="s">
        <v>0</v>
      </c>
      <c r="J876">
        <v>2</v>
      </c>
      <c r="K876" s="2" t="s">
        <v>1</v>
      </c>
      <c r="L876">
        <v>0</v>
      </c>
      <c r="M876">
        <v>11.5</v>
      </c>
      <c r="N876" s="2" t="s">
        <v>801</v>
      </c>
      <c r="O876" t="str">
        <f>D876&amp;"-"&amp;E876&amp;"-"&amp;F876&amp;"-"&amp;G876&amp;"-"&amp;H876</f>
        <v>E-1-e-0-11.5</v>
      </c>
      <c r="P876" t="str">
        <f>I876&amp;"-"&amp;J876&amp;"-"&amp;K876&amp;"-"&amp;L876&amp;"-"&amp;M876</f>
        <v>X-2-f-0-11.5</v>
      </c>
      <c r="Q876">
        <f>A876+R876</f>
        <v>19380.054735999998</v>
      </c>
      <c r="R876">
        <f>_xlfn.IFNA(VLOOKUP(P876,PGOPHER!A$2:G$181,7,FALSE),_xlfn.IFNA(VLOOKUP(P876,en!A$2:I$768,7,FALSE),-10000))</f>
        <v>562.73786600000005</v>
      </c>
      <c r="S876">
        <f>IF(O876=O875,Q875+S875,Q876)</f>
        <v>58140.163888000003</v>
      </c>
      <c r="T876">
        <f>IF(O876=O875,T875+1,1)</f>
        <v>3</v>
      </c>
      <c r="U876">
        <f>IF(O876=O877,"",S876/T876)</f>
        <v>19380.054629333335</v>
      </c>
      <c r="V876" t="str">
        <f>IF(U876="","",IF(ABS(Q876-U876)&gt;V$1,"error",""))</f>
        <v/>
      </c>
    </row>
    <row r="877" spans="1:22" x14ac:dyDescent="0.55000000000000004">
      <c r="A877">
        <v>18806.52017</v>
      </c>
      <c r="B877" s="1">
        <v>5.0000000000000001E-3</v>
      </c>
      <c r="C877" s="1">
        <v>5.0000000000000001E-3</v>
      </c>
      <c r="D877" s="2" t="s">
        <v>680</v>
      </c>
      <c r="E877">
        <v>1</v>
      </c>
      <c r="F877" s="2" t="s">
        <v>2</v>
      </c>
      <c r="G877">
        <v>1</v>
      </c>
      <c r="H877">
        <v>11.5</v>
      </c>
      <c r="I877" s="2" t="s">
        <v>0</v>
      </c>
      <c r="J877">
        <v>1</v>
      </c>
      <c r="K877" s="2" t="s">
        <v>2</v>
      </c>
      <c r="L877">
        <v>1</v>
      </c>
      <c r="M877">
        <v>12.5</v>
      </c>
      <c r="N877" s="2" t="s">
        <v>1054</v>
      </c>
      <c r="O877" t="str">
        <f>D877&amp;"-"&amp;E877&amp;"-"&amp;F877&amp;"-"&amp;G877&amp;"-"&amp;H877</f>
        <v>E-1-e-1-11.5</v>
      </c>
      <c r="P877" t="str">
        <f>I877&amp;"-"&amp;J877&amp;"-"&amp;K877&amp;"-"&amp;L877&amp;"-"&amp;M877</f>
        <v>X-1-e-1-12.5</v>
      </c>
      <c r="Q877">
        <f>A877+R877</f>
        <v>20531.048000999999</v>
      </c>
      <c r="R877">
        <f>_xlfn.IFNA(VLOOKUP(P877,PGOPHER!A$2:G$181,7,FALSE),_xlfn.IFNA(VLOOKUP(P877,en!A$2:I$768,7,FALSE),-10000))</f>
        <v>1724.5278310000001</v>
      </c>
      <c r="S877">
        <f>IF(O877=O876,Q876+S876,Q877)</f>
        <v>20531.048000999999</v>
      </c>
      <c r="T877">
        <f>IF(O877=O876,T876+1,1)</f>
        <v>1</v>
      </c>
      <c r="U877" t="str">
        <f>IF(O877=O878,"",S877/T877)</f>
        <v/>
      </c>
      <c r="V877" t="str">
        <f>IF(U877="","",IF(ABS(Q877-U877)&gt;V$1,"error",""))</f>
        <v/>
      </c>
    </row>
    <row r="878" spans="1:22" x14ac:dyDescent="0.55000000000000004">
      <c r="A878">
        <v>18968.441009999999</v>
      </c>
      <c r="B878" s="1">
        <v>5.0000000000000001E-3</v>
      </c>
      <c r="C878" s="1">
        <v>5.0000000000000001E-3</v>
      </c>
      <c r="D878" s="2" t="s">
        <v>680</v>
      </c>
      <c r="E878">
        <v>1</v>
      </c>
      <c r="F878" s="2" t="s">
        <v>2</v>
      </c>
      <c r="G878">
        <v>1</v>
      </c>
      <c r="H878">
        <v>11.5</v>
      </c>
      <c r="I878" s="2" t="s">
        <v>0</v>
      </c>
      <c r="J878">
        <v>1</v>
      </c>
      <c r="K878" s="2" t="s">
        <v>2</v>
      </c>
      <c r="L878">
        <v>1</v>
      </c>
      <c r="M878">
        <v>10.5</v>
      </c>
      <c r="N878" s="2" t="s">
        <v>1055</v>
      </c>
      <c r="O878" t="str">
        <f>D878&amp;"-"&amp;E878&amp;"-"&amp;F878&amp;"-"&amp;G878&amp;"-"&amp;H878</f>
        <v>E-1-e-1-11.5</v>
      </c>
      <c r="P878" t="str">
        <f>I878&amp;"-"&amp;J878&amp;"-"&amp;K878&amp;"-"&amp;L878&amp;"-"&amp;M878</f>
        <v>X-1-e-1-10.5</v>
      </c>
      <c r="Q878">
        <f>A878+R878</f>
        <v>20531.054195999997</v>
      </c>
      <c r="R878">
        <f>_xlfn.IFNA(VLOOKUP(P878,PGOPHER!A$2:G$181,7,FALSE),_xlfn.IFNA(VLOOKUP(P878,en!A$2:I$768,7,FALSE),-10000))</f>
        <v>1562.613186</v>
      </c>
      <c r="S878">
        <f>IF(O878=O877,Q877+S877,Q878)</f>
        <v>41062.096001999998</v>
      </c>
      <c r="T878">
        <f>IF(O878=O877,T877+1,1)</f>
        <v>2</v>
      </c>
      <c r="U878" t="str">
        <f>IF(O878=O879,"",S878/T878)</f>
        <v/>
      </c>
      <c r="V878" t="str">
        <f>IF(U878="","",IF(ABS(Q878-U878)&gt;V$1,"error",""))</f>
        <v/>
      </c>
    </row>
    <row r="879" spans="1:22" x14ac:dyDescent="0.55000000000000004">
      <c r="A879">
        <v>18807.99382</v>
      </c>
      <c r="B879" s="1">
        <v>5.0000000000000001E-3</v>
      </c>
      <c r="C879" s="1">
        <v>5.0000000000000001E-3</v>
      </c>
      <c r="D879" s="2" t="s">
        <v>680</v>
      </c>
      <c r="E879">
        <v>1</v>
      </c>
      <c r="F879" s="2" t="s">
        <v>2</v>
      </c>
      <c r="G879">
        <v>1</v>
      </c>
      <c r="H879">
        <v>11.5</v>
      </c>
      <c r="I879" s="2" t="s">
        <v>0</v>
      </c>
      <c r="J879">
        <v>2</v>
      </c>
      <c r="K879" s="2" t="s">
        <v>1</v>
      </c>
      <c r="L879">
        <v>1</v>
      </c>
      <c r="M879">
        <v>11.5</v>
      </c>
      <c r="N879" s="2" t="s">
        <v>1056</v>
      </c>
      <c r="O879" t="str">
        <f>D879&amp;"-"&amp;E879&amp;"-"&amp;F879&amp;"-"&amp;G879&amp;"-"&amp;H879</f>
        <v>E-1-e-1-11.5</v>
      </c>
      <c r="P879" t="str">
        <f>I879&amp;"-"&amp;J879&amp;"-"&amp;K879&amp;"-"&amp;L879&amp;"-"&amp;M879</f>
        <v>X-2-f-1-11.5</v>
      </c>
      <c r="Q879">
        <f>A879+R879</f>
        <v>20531.048111</v>
      </c>
      <c r="R879">
        <f>_xlfn.IFNA(VLOOKUP(P879,PGOPHER!A$2:G$181,7,FALSE),_xlfn.IFNA(VLOOKUP(P879,en!A$2:I$768,7,FALSE),-10000))</f>
        <v>1723.0542909999999</v>
      </c>
      <c r="S879">
        <f>IF(O879=O878,Q878+S878,Q879)</f>
        <v>61593.150197999996</v>
      </c>
      <c r="T879">
        <f>IF(O879=O878,T878+1,1)</f>
        <v>3</v>
      </c>
      <c r="U879">
        <f>IF(O879=O880,"",S879/T879)</f>
        <v>20531.050066</v>
      </c>
      <c r="V879" t="str">
        <f>IF(U879="","",IF(ABS(Q879-U879)&gt;V$1,"error",""))</f>
        <v/>
      </c>
    </row>
    <row r="880" spans="1:22" x14ac:dyDescent="0.55000000000000004">
      <c r="A880">
        <v>18724.236290000001</v>
      </c>
      <c r="B880" s="1">
        <v>0.20499999999999999</v>
      </c>
      <c r="C880" s="1">
        <v>0.20499999999999999</v>
      </c>
      <c r="D880" s="2" t="s">
        <v>680</v>
      </c>
      <c r="E880">
        <v>1</v>
      </c>
      <c r="F880" s="2" t="s">
        <v>1</v>
      </c>
      <c r="G880">
        <v>0</v>
      </c>
      <c r="H880">
        <v>11.5</v>
      </c>
      <c r="I880" s="2" t="s">
        <v>0</v>
      </c>
      <c r="J880">
        <v>2</v>
      </c>
      <c r="K880" s="2" t="s">
        <v>1</v>
      </c>
      <c r="L880">
        <v>0</v>
      </c>
      <c r="M880">
        <v>12.5</v>
      </c>
      <c r="N880" s="2" t="s">
        <v>802</v>
      </c>
      <c r="O880" t="str">
        <f>D880&amp;"-"&amp;E880&amp;"-"&amp;F880&amp;"-"&amp;G880&amp;"-"&amp;H880</f>
        <v>E-1-f-0-11.5</v>
      </c>
      <c r="P880" t="str">
        <f>I880&amp;"-"&amp;J880&amp;"-"&amp;K880&amp;"-"&amp;L880&amp;"-"&amp;M880</f>
        <v>X-2-f-0-12.5</v>
      </c>
      <c r="Q880">
        <f>A880+R880</f>
        <v>19380.204388000002</v>
      </c>
      <c r="R880">
        <f>_xlfn.IFNA(VLOOKUP(P880,PGOPHER!A$2:G$181,7,FALSE),_xlfn.IFNA(VLOOKUP(P880,en!A$2:I$768,7,FALSE),-10000))</f>
        <v>655.96809800000005</v>
      </c>
      <c r="S880">
        <f>IF(O880=O879,Q879+S879,Q880)</f>
        <v>19380.204388000002</v>
      </c>
      <c r="T880">
        <f>IF(O880=O879,T879+1,1)</f>
        <v>1</v>
      </c>
      <c r="U880" t="str">
        <f>IF(O880=O881,"",S880/T880)</f>
        <v/>
      </c>
      <c r="V880" t="str">
        <f>IF(U880="","",IF(ABS(Q880-U880)&gt;V$1,"error",""))</f>
        <v/>
      </c>
    </row>
    <row r="881" spans="1:22" x14ac:dyDescent="0.55000000000000004">
      <c r="A881">
        <v>18903.674589999999</v>
      </c>
      <c r="B881" s="1">
        <v>0.30499999999999999</v>
      </c>
      <c r="C881" s="1">
        <v>0.30499999999999999</v>
      </c>
      <c r="D881" s="2" t="s">
        <v>680</v>
      </c>
      <c r="E881">
        <v>1</v>
      </c>
      <c r="F881" s="2" t="s">
        <v>1</v>
      </c>
      <c r="G881">
        <v>0</v>
      </c>
      <c r="H881">
        <v>11.5</v>
      </c>
      <c r="I881" s="2" t="s">
        <v>0</v>
      </c>
      <c r="J881">
        <v>2</v>
      </c>
      <c r="K881" s="2" t="s">
        <v>1</v>
      </c>
      <c r="L881">
        <v>0</v>
      </c>
      <c r="M881">
        <v>10.5</v>
      </c>
      <c r="N881" s="2" t="s">
        <v>803</v>
      </c>
      <c r="O881" t="str">
        <f>D881&amp;"-"&amp;E881&amp;"-"&amp;F881&amp;"-"&amp;G881&amp;"-"&amp;H881</f>
        <v>E-1-f-0-11.5</v>
      </c>
      <c r="P881" t="str">
        <f>I881&amp;"-"&amp;J881&amp;"-"&amp;K881&amp;"-"&amp;L881&amp;"-"&amp;M881</f>
        <v>X-2-f-0-10.5</v>
      </c>
      <c r="Q881">
        <f>A881+R881</f>
        <v>19380.202904999998</v>
      </c>
      <c r="R881">
        <f>_xlfn.IFNA(VLOOKUP(P881,PGOPHER!A$2:G$181,7,FALSE),_xlfn.IFNA(VLOOKUP(P881,en!A$2:I$768,7,FALSE),-10000))</f>
        <v>476.52831500000002</v>
      </c>
      <c r="S881">
        <f>IF(O881=O880,Q880+S880,Q881)</f>
        <v>38760.408776000004</v>
      </c>
      <c r="T881">
        <f>IF(O881=O880,T880+1,1)</f>
        <v>2</v>
      </c>
      <c r="U881" t="str">
        <f>IF(O881=O882,"",S881/T881)</f>
        <v/>
      </c>
      <c r="V881" t="str">
        <f>IF(U881="","",IF(ABS(Q881-U881)&gt;V$1,"error",""))</f>
        <v/>
      </c>
    </row>
    <row r="882" spans="1:22" x14ac:dyDescent="0.55000000000000004">
      <c r="A882">
        <v>18902.270970000001</v>
      </c>
      <c r="B882" s="1">
        <v>0.20499999999999999</v>
      </c>
      <c r="C882" s="1">
        <v>0.20499999999999999</v>
      </c>
      <c r="D882" s="2" t="s">
        <v>680</v>
      </c>
      <c r="E882">
        <v>1</v>
      </c>
      <c r="F882" s="2" t="s">
        <v>1</v>
      </c>
      <c r="G882">
        <v>0</v>
      </c>
      <c r="H882">
        <v>11.5</v>
      </c>
      <c r="I882" s="2" t="s">
        <v>0</v>
      </c>
      <c r="J882">
        <v>1</v>
      </c>
      <c r="K882" s="2" t="s">
        <v>2</v>
      </c>
      <c r="L882">
        <v>0</v>
      </c>
      <c r="M882">
        <v>11.5</v>
      </c>
      <c r="N882" s="2" t="s">
        <v>804</v>
      </c>
      <c r="O882" t="str">
        <f>D882&amp;"-"&amp;E882&amp;"-"&amp;F882&amp;"-"&amp;G882&amp;"-"&amp;H882</f>
        <v>E-1-f-0-11.5</v>
      </c>
      <c r="P882" t="str">
        <f>I882&amp;"-"&amp;J882&amp;"-"&amp;K882&amp;"-"&amp;L882&amp;"-"&amp;M882</f>
        <v>X-1-e-0-11.5</v>
      </c>
      <c r="Q882">
        <f>A882+R882</f>
        <v>19380.204394</v>
      </c>
      <c r="R882">
        <f>_xlfn.IFNA(VLOOKUP(P882,PGOPHER!A$2:G$181,7,FALSE),_xlfn.IFNA(VLOOKUP(P882,en!A$2:I$768,7,FALSE),-10000))</f>
        <v>477.933424</v>
      </c>
      <c r="S882">
        <f>IF(O882=O881,Q881+S881,Q882)</f>
        <v>58140.611681000002</v>
      </c>
      <c r="T882">
        <f>IF(O882=O881,T881+1,1)</f>
        <v>3</v>
      </c>
      <c r="U882">
        <f>IF(O882=O883,"",S882/T882)</f>
        <v>19380.203893666669</v>
      </c>
      <c r="V882" t="str">
        <f>IF(U882="","",IF(ABS(Q882-U882)&gt;V$1,"error",""))</f>
        <v/>
      </c>
    </row>
    <row r="883" spans="1:22" x14ac:dyDescent="0.55000000000000004">
      <c r="A883">
        <v>18890.966530000002</v>
      </c>
      <c r="B883" s="1">
        <v>0.105</v>
      </c>
      <c r="C883" s="1">
        <v>0.105</v>
      </c>
      <c r="D883" s="2" t="s">
        <v>680</v>
      </c>
      <c r="E883">
        <v>1</v>
      </c>
      <c r="F883" s="2" t="s">
        <v>1</v>
      </c>
      <c r="G883">
        <v>1</v>
      </c>
      <c r="H883">
        <v>11.5</v>
      </c>
      <c r="I883" s="2" t="s">
        <v>0</v>
      </c>
      <c r="J883">
        <v>1</v>
      </c>
      <c r="K883" s="2" t="s">
        <v>2</v>
      </c>
      <c r="L883">
        <v>1</v>
      </c>
      <c r="M883">
        <v>11.5</v>
      </c>
      <c r="N883" s="2" t="s">
        <v>1058</v>
      </c>
      <c r="O883" t="str">
        <f>D883&amp;"-"&amp;E883&amp;"-"&amp;F883&amp;"-"&amp;G883&amp;"-"&amp;H883</f>
        <v>E-1-f-1-11.5</v>
      </c>
      <c r="P883" t="str">
        <f>I883&amp;"-"&amp;J883&amp;"-"&amp;K883&amp;"-"&amp;L883&amp;"-"&amp;M883</f>
        <v>X-1-e-1-11.5</v>
      </c>
      <c r="Q883">
        <f>A883+R883</f>
        <v>20531.090164000001</v>
      </c>
      <c r="R883">
        <f>_xlfn.IFNA(VLOOKUP(P883,PGOPHER!A$2:G$181,7,FALSE),_xlfn.IFNA(VLOOKUP(P883,en!A$2:I$768,7,FALSE),-10000))</f>
        <v>1640.123634</v>
      </c>
      <c r="S883">
        <f>IF(O883=O882,Q882+S882,Q883)</f>
        <v>20531.090164000001</v>
      </c>
      <c r="T883">
        <f>IF(O883=O882,T882+1,1)</f>
        <v>1</v>
      </c>
      <c r="U883" t="str">
        <f>IF(O883=O884,"",S883/T883)</f>
        <v/>
      </c>
      <c r="V883" t="str">
        <f>IF(U883="","",IF(ABS(Q883-U883)&gt;V$1,"error",""))</f>
        <v/>
      </c>
    </row>
    <row r="884" spans="1:22" x14ac:dyDescent="0.55000000000000004">
      <c r="A884">
        <v>18716.896100000002</v>
      </c>
      <c r="B884" s="1">
        <v>5.5E-2</v>
      </c>
      <c r="C884" s="1">
        <v>5.5E-2</v>
      </c>
      <c r="D884" s="2" t="s">
        <v>680</v>
      </c>
      <c r="E884">
        <v>1</v>
      </c>
      <c r="F884" s="2" t="s">
        <v>1</v>
      </c>
      <c r="G884">
        <v>1</v>
      </c>
      <c r="H884">
        <v>11.5</v>
      </c>
      <c r="I884" s="2" t="s">
        <v>0</v>
      </c>
      <c r="J884">
        <v>2</v>
      </c>
      <c r="K884" s="2" t="s">
        <v>1</v>
      </c>
      <c r="L884">
        <v>1</v>
      </c>
      <c r="M884">
        <v>12.5</v>
      </c>
      <c r="N884" s="2" t="s">
        <v>1057</v>
      </c>
      <c r="O884" t="str">
        <f>D884&amp;"-"&amp;E884&amp;"-"&amp;F884&amp;"-"&amp;G884&amp;"-"&amp;H884</f>
        <v>E-1-f-1-11.5</v>
      </c>
      <c r="P884" t="str">
        <f>I884&amp;"-"&amp;J884&amp;"-"&amp;K884&amp;"-"&amp;L884&amp;"-"&amp;M884</f>
        <v>X-2-f-1-12.5</v>
      </c>
      <c r="Q884">
        <f>A884+R884</f>
        <v>20531.093455000002</v>
      </c>
      <c r="R884">
        <f>_xlfn.IFNA(VLOOKUP(P884,PGOPHER!A$2:G$181,7,FALSE),_xlfn.IFNA(VLOOKUP(P884,en!A$2:I$768,7,FALSE),-10000))</f>
        <v>1814.197355</v>
      </c>
      <c r="S884">
        <f>IF(O884=O883,Q883+S883,Q884)</f>
        <v>41062.180328000002</v>
      </c>
      <c r="T884">
        <f>IF(O884=O883,T883+1,1)</f>
        <v>2</v>
      </c>
      <c r="U884">
        <f>IF(O884=O885,"",S884/T884)</f>
        <v>20531.090164000001</v>
      </c>
      <c r="V884" t="str">
        <f>IF(U884="","",IF(ABS(Q884-U884)&gt;V$1,"error",""))</f>
        <v/>
      </c>
    </row>
    <row r="885" spans="1:22" x14ac:dyDescent="0.55000000000000004">
      <c r="A885">
        <v>19120.798360000001</v>
      </c>
      <c r="B885" s="1">
        <v>5.0000000000000001E-3</v>
      </c>
      <c r="C885" s="1">
        <v>5.0000000000000001E-3</v>
      </c>
      <c r="D885" s="2" t="s">
        <v>680</v>
      </c>
      <c r="E885">
        <v>2</v>
      </c>
      <c r="F885" s="2" t="s">
        <v>2</v>
      </c>
      <c r="G885">
        <v>0</v>
      </c>
      <c r="H885">
        <v>11.5</v>
      </c>
      <c r="I885" s="2" t="s">
        <v>0</v>
      </c>
      <c r="J885">
        <v>1</v>
      </c>
      <c r="K885" s="2" t="s">
        <v>2</v>
      </c>
      <c r="L885">
        <v>0</v>
      </c>
      <c r="M885">
        <v>10.5</v>
      </c>
      <c r="N885" s="2" t="s">
        <v>805</v>
      </c>
      <c r="O885" t="str">
        <f>D885&amp;"-"&amp;E885&amp;"-"&amp;F885&amp;"-"&amp;G885&amp;"-"&amp;H885</f>
        <v>E-2-e-0-11.5</v>
      </c>
      <c r="P885" t="str">
        <f>I885&amp;"-"&amp;J885&amp;"-"&amp;K885&amp;"-"&amp;L885&amp;"-"&amp;M885</f>
        <v>X-1-e-0-10.5</v>
      </c>
      <c r="Q885">
        <f>A885+R885</f>
        <v>19519.45462</v>
      </c>
      <c r="R885">
        <f>_xlfn.IFNA(VLOOKUP(P885,PGOPHER!A$2:G$181,7,FALSE),_xlfn.IFNA(VLOOKUP(P885,en!A$2:I$768,7,FALSE),-10000))</f>
        <v>398.65625999999997</v>
      </c>
      <c r="S885">
        <f>IF(O885=O884,Q884+S884,Q885)</f>
        <v>19519.45462</v>
      </c>
      <c r="T885">
        <f>IF(O885=O884,T884+1,1)</f>
        <v>1</v>
      </c>
      <c r="U885" t="str">
        <f>IF(O885=O886,"",S885/T885)</f>
        <v/>
      </c>
      <c r="V885" t="str">
        <f>IF(U885="","",IF(ABS(Q885-U885)&gt;V$1,"error",""))</f>
        <v/>
      </c>
    </row>
    <row r="886" spans="1:22" x14ac:dyDescent="0.55000000000000004">
      <c r="A886">
        <v>18955.190770000001</v>
      </c>
      <c r="B886" s="1">
        <v>5.0000000000000001E-3</v>
      </c>
      <c r="C886" s="1">
        <v>5.0000000000000001E-3</v>
      </c>
      <c r="D886" s="2" t="s">
        <v>680</v>
      </c>
      <c r="E886">
        <v>2</v>
      </c>
      <c r="F886" s="2" t="s">
        <v>2</v>
      </c>
      <c r="G886">
        <v>0</v>
      </c>
      <c r="H886">
        <v>11.5</v>
      </c>
      <c r="I886" s="2" t="s">
        <v>0</v>
      </c>
      <c r="J886">
        <v>1</v>
      </c>
      <c r="K886" s="2" t="s">
        <v>2</v>
      </c>
      <c r="L886">
        <v>0</v>
      </c>
      <c r="M886">
        <v>12.5</v>
      </c>
      <c r="N886" s="2" t="s">
        <v>806</v>
      </c>
      <c r="O886" t="str">
        <f>D886&amp;"-"&amp;E886&amp;"-"&amp;F886&amp;"-"&amp;G886&amp;"-"&amp;H886</f>
        <v>E-2-e-0-11.5</v>
      </c>
      <c r="P886" t="str">
        <f>I886&amp;"-"&amp;J886&amp;"-"&amp;K886&amp;"-"&amp;L886&amp;"-"&amp;M886</f>
        <v>X-1-e-0-12.5</v>
      </c>
      <c r="Q886">
        <f>A886+R886</f>
        <v>19519.455178</v>
      </c>
      <c r="R886">
        <f>_xlfn.IFNA(VLOOKUP(P886,PGOPHER!A$2:G$181,7,FALSE),_xlfn.IFNA(VLOOKUP(P886,en!A$2:I$768,7,FALSE),-10000))</f>
        <v>564.264408</v>
      </c>
      <c r="S886">
        <f>IF(O886=O885,Q885+S885,Q886)</f>
        <v>39038.909240000001</v>
      </c>
      <c r="T886">
        <f>IF(O886=O885,T885+1,1)</f>
        <v>2</v>
      </c>
      <c r="U886" t="str">
        <f>IF(O886=O887,"",S886/T886)</f>
        <v/>
      </c>
      <c r="V886" t="str">
        <f>IF(U886="","",IF(ABS(Q886-U886)&gt;V$1,"error",""))</f>
        <v/>
      </c>
    </row>
    <row r="887" spans="1:22" x14ac:dyDescent="0.55000000000000004">
      <c r="A887">
        <v>18956.718359999999</v>
      </c>
      <c r="B887" s="1">
        <v>5.0000000000000001E-3</v>
      </c>
      <c r="C887" s="1">
        <v>5.0000000000000001E-3</v>
      </c>
      <c r="D887" s="2" t="s">
        <v>680</v>
      </c>
      <c r="E887">
        <v>2</v>
      </c>
      <c r="F887" s="2" t="s">
        <v>2</v>
      </c>
      <c r="G887">
        <v>0</v>
      </c>
      <c r="H887">
        <v>11.5</v>
      </c>
      <c r="I887" s="2" t="s">
        <v>0</v>
      </c>
      <c r="J887">
        <v>2</v>
      </c>
      <c r="K887" s="2" t="s">
        <v>1</v>
      </c>
      <c r="L887">
        <v>0</v>
      </c>
      <c r="M887">
        <v>11.5</v>
      </c>
      <c r="N887" s="2" t="s">
        <v>807</v>
      </c>
      <c r="O887" t="str">
        <f>D887&amp;"-"&amp;E887&amp;"-"&amp;F887&amp;"-"&amp;G887&amp;"-"&amp;H887</f>
        <v>E-2-e-0-11.5</v>
      </c>
      <c r="P887" t="str">
        <f>I887&amp;"-"&amp;J887&amp;"-"&amp;K887&amp;"-"&amp;L887&amp;"-"&amp;M887</f>
        <v>X-2-f-0-11.5</v>
      </c>
      <c r="Q887">
        <f>A887+R887</f>
        <v>19519.456225999998</v>
      </c>
      <c r="R887">
        <f>_xlfn.IFNA(VLOOKUP(P887,PGOPHER!A$2:G$181,7,FALSE),_xlfn.IFNA(VLOOKUP(P887,en!A$2:I$768,7,FALSE),-10000))</f>
        <v>562.73786600000005</v>
      </c>
      <c r="S887">
        <f>IF(O887=O886,Q886+S886,Q887)</f>
        <v>58558.364417999997</v>
      </c>
      <c r="T887">
        <f>IF(O887=O886,T886+1,1)</f>
        <v>3</v>
      </c>
      <c r="U887">
        <f>IF(O887=O888,"",S887/T887)</f>
        <v>19519.454805999998</v>
      </c>
      <c r="V887" t="str">
        <f>IF(U887="","",IF(ABS(Q887-U887)&gt;V$1,"error",""))</f>
        <v/>
      </c>
    </row>
    <row r="888" spans="1:22" x14ac:dyDescent="0.55000000000000004">
      <c r="A888">
        <v>18949.08166</v>
      </c>
      <c r="B888" s="1">
        <v>0.155</v>
      </c>
      <c r="C888" s="1">
        <v>0.155</v>
      </c>
      <c r="D888" s="2" t="s">
        <v>680</v>
      </c>
      <c r="E888">
        <v>2</v>
      </c>
      <c r="F888" s="2" t="s">
        <v>2</v>
      </c>
      <c r="G888">
        <v>1</v>
      </c>
      <c r="H888">
        <v>11.5</v>
      </c>
      <c r="I888" s="2" t="s">
        <v>0</v>
      </c>
      <c r="J888">
        <v>2</v>
      </c>
      <c r="K888" s="2" t="s">
        <v>1</v>
      </c>
      <c r="L888">
        <v>1</v>
      </c>
      <c r="M888">
        <v>11.5</v>
      </c>
      <c r="N888" s="2" t="s">
        <v>1059</v>
      </c>
      <c r="O888" t="str">
        <f>D888&amp;"-"&amp;E888&amp;"-"&amp;F888&amp;"-"&amp;G888&amp;"-"&amp;H888</f>
        <v>E-2-e-1-11.5</v>
      </c>
      <c r="P888" t="str">
        <f>I888&amp;"-"&amp;J888&amp;"-"&amp;K888&amp;"-"&amp;L888&amp;"-"&amp;M888</f>
        <v>X-2-f-1-11.5</v>
      </c>
      <c r="Q888">
        <f>A888+R888</f>
        <v>20672.135951</v>
      </c>
      <c r="R888">
        <f>_xlfn.IFNA(VLOOKUP(P888,PGOPHER!A$2:G$181,7,FALSE),_xlfn.IFNA(VLOOKUP(P888,en!A$2:I$768,7,FALSE),-10000))</f>
        <v>1723.0542909999999</v>
      </c>
      <c r="S888">
        <f>IF(O888=O887,Q887+S887,Q888)</f>
        <v>20672.135951</v>
      </c>
      <c r="T888">
        <f>IF(O888=O887,T887+1,1)</f>
        <v>1</v>
      </c>
      <c r="U888">
        <f>IF(O888=O889,"",S888/T888)</f>
        <v>20672.135951</v>
      </c>
      <c r="V888" t="str">
        <f>IF(U888="","",IF(ABS(Q888-U888)&gt;V$1,"error",""))</f>
        <v/>
      </c>
    </row>
    <row r="889" spans="1:22" x14ac:dyDescent="0.55000000000000004">
      <c r="A889">
        <v>19043.83095</v>
      </c>
      <c r="B889" s="1">
        <v>5.0000000000000001E-3</v>
      </c>
      <c r="C889" s="1">
        <v>5.0000000000000001E-3</v>
      </c>
      <c r="D889" s="2" t="s">
        <v>680</v>
      </c>
      <c r="E889">
        <v>2</v>
      </c>
      <c r="F889" s="2" t="s">
        <v>1</v>
      </c>
      <c r="G889">
        <v>0</v>
      </c>
      <c r="H889">
        <v>11.5</v>
      </c>
      <c r="I889" s="2" t="s">
        <v>0</v>
      </c>
      <c r="J889">
        <v>2</v>
      </c>
      <c r="K889" s="2" t="s">
        <v>1</v>
      </c>
      <c r="L889">
        <v>0</v>
      </c>
      <c r="M889">
        <v>10.5</v>
      </c>
      <c r="N889" s="2" t="s">
        <v>808</v>
      </c>
      <c r="O889" t="str">
        <f>D889&amp;"-"&amp;E889&amp;"-"&amp;F889&amp;"-"&amp;G889&amp;"-"&amp;H889</f>
        <v>E-2-f-0-11.5</v>
      </c>
      <c r="P889" t="str">
        <f>I889&amp;"-"&amp;J889&amp;"-"&amp;K889&amp;"-"&amp;L889&amp;"-"&amp;M889</f>
        <v>X-2-f-0-10.5</v>
      </c>
      <c r="Q889">
        <f>A889+R889</f>
        <v>19520.359264999999</v>
      </c>
      <c r="R889">
        <f>_xlfn.IFNA(VLOOKUP(P889,PGOPHER!A$2:G$181,7,FALSE),_xlfn.IFNA(VLOOKUP(P889,en!A$2:I$768,7,FALSE),-10000))</f>
        <v>476.52831500000002</v>
      </c>
      <c r="S889">
        <f>IF(O889=O888,Q888+S888,Q889)</f>
        <v>19520.359264999999</v>
      </c>
      <c r="T889">
        <f>IF(O889=O888,T888+1,1)</f>
        <v>1</v>
      </c>
      <c r="U889" t="str">
        <f>IF(O889=O890,"",S889/T889)</f>
        <v/>
      </c>
      <c r="V889" t="str">
        <f>IF(U889="","",IF(ABS(Q889-U889)&gt;V$1,"error",""))</f>
        <v/>
      </c>
    </row>
    <row r="890" spans="1:22" x14ac:dyDescent="0.55000000000000004">
      <c r="A890">
        <v>18864.39229</v>
      </c>
      <c r="B890" s="1">
        <v>5.0000000000000001E-3</v>
      </c>
      <c r="C890" s="1">
        <v>5.0000000000000001E-3</v>
      </c>
      <c r="D890" s="2" t="s">
        <v>680</v>
      </c>
      <c r="E890">
        <v>2</v>
      </c>
      <c r="F890" s="2" t="s">
        <v>1</v>
      </c>
      <c r="G890">
        <v>0</v>
      </c>
      <c r="H890">
        <v>11.5</v>
      </c>
      <c r="I890" s="2" t="s">
        <v>0</v>
      </c>
      <c r="J890">
        <v>2</v>
      </c>
      <c r="K890" s="2" t="s">
        <v>1</v>
      </c>
      <c r="L890">
        <v>0</v>
      </c>
      <c r="M890">
        <v>12.5</v>
      </c>
      <c r="N890" s="2" t="s">
        <v>809</v>
      </c>
      <c r="O890" t="str">
        <f>D890&amp;"-"&amp;E890&amp;"-"&amp;F890&amp;"-"&amp;G890&amp;"-"&amp;H890</f>
        <v>E-2-f-0-11.5</v>
      </c>
      <c r="P890" t="str">
        <f>I890&amp;"-"&amp;J890&amp;"-"&amp;K890&amp;"-"&amp;L890&amp;"-"&amp;M890</f>
        <v>X-2-f-0-12.5</v>
      </c>
      <c r="Q890">
        <f>A890+R890</f>
        <v>19520.360388000001</v>
      </c>
      <c r="R890">
        <f>_xlfn.IFNA(VLOOKUP(P890,PGOPHER!A$2:G$181,7,FALSE),_xlfn.IFNA(VLOOKUP(P890,en!A$2:I$768,7,FALSE),-10000))</f>
        <v>655.96809800000005</v>
      </c>
      <c r="S890">
        <f>IF(O890=O889,Q889+S889,Q890)</f>
        <v>39040.718529999998</v>
      </c>
      <c r="T890">
        <f>IF(O890=O889,T889+1,1)</f>
        <v>2</v>
      </c>
      <c r="U890" t="str">
        <f>IF(O890=O891,"",S890/T890)</f>
        <v/>
      </c>
      <c r="V890" t="str">
        <f>IF(U890="","",IF(ABS(Q890-U890)&gt;V$1,"error",""))</f>
        <v/>
      </c>
    </row>
    <row r="891" spans="1:22" x14ac:dyDescent="0.55000000000000004">
      <c r="A891">
        <v>19042.432870000001</v>
      </c>
      <c r="B891" s="1">
        <v>2.5000000000000001E-2</v>
      </c>
      <c r="C891" s="1">
        <v>2.5000000000000001E-2</v>
      </c>
      <c r="D891" s="2" t="s">
        <v>680</v>
      </c>
      <c r="E891">
        <v>2</v>
      </c>
      <c r="F891" s="2" t="s">
        <v>1</v>
      </c>
      <c r="G891">
        <v>0</v>
      </c>
      <c r="H891">
        <v>11.5</v>
      </c>
      <c r="I891" s="2" t="s">
        <v>0</v>
      </c>
      <c r="J891">
        <v>1</v>
      </c>
      <c r="K891" s="2" t="s">
        <v>2</v>
      </c>
      <c r="L891">
        <v>0</v>
      </c>
      <c r="M891">
        <v>11.5</v>
      </c>
      <c r="N891" s="2" t="s">
        <v>810</v>
      </c>
      <c r="O891" t="str">
        <f>D891&amp;"-"&amp;E891&amp;"-"&amp;F891&amp;"-"&amp;G891&amp;"-"&amp;H891</f>
        <v>E-2-f-0-11.5</v>
      </c>
      <c r="P891" t="str">
        <f>I891&amp;"-"&amp;J891&amp;"-"&amp;K891&amp;"-"&amp;L891&amp;"-"&amp;M891</f>
        <v>X-1-e-0-11.5</v>
      </c>
      <c r="Q891">
        <f>A891+R891</f>
        <v>19520.366293999999</v>
      </c>
      <c r="R891">
        <f>_xlfn.IFNA(VLOOKUP(P891,PGOPHER!A$2:G$181,7,FALSE),_xlfn.IFNA(VLOOKUP(P891,en!A$2:I$768,7,FALSE),-10000))</f>
        <v>477.933424</v>
      </c>
      <c r="S891">
        <f>IF(O891=O890,Q890+S890,Q891)</f>
        <v>58561.078917999999</v>
      </c>
      <c r="T891">
        <f>IF(O891=O890,T890+1,1)</f>
        <v>3</v>
      </c>
      <c r="U891">
        <f>IF(O891=O892,"",S891/T891)</f>
        <v>19520.359639333332</v>
      </c>
      <c r="V891" t="str">
        <f>IF(U891="","",IF(ABS(Q891-U891)&gt;V$1,"error",""))</f>
        <v/>
      </c>
    </row>
    <row r="892" spans="1:22" x14ac:dyDescent="0.55000000000000004">
      <c r="A892">
        <v>19032.670249999999</v>
      </c>
      <c r="B892" s="1">
        <v>1.4999999999999999E-2</v>
      </c>
      <c r="C892" s="1">
        <v>1.4999999999999999E-2</v>
      </c>
      <c r="D892" s="2" t="s">
        <v>680</v>
      </c>
      <c r="E892">
        <v>2</v>
      </c>
      <c r="F892" s="2" t="s">
        <v>1</v>
      </c>
      <c r="G892">
        <v>1</v>
      </c>
      <c r="H892">
        <v>11.5</v>
      </c>
      <c r="I892" s="2" t="s">
        <v>0</v>
      </c>
      <c r="J892">
        <v>1</v>
      </c>
      <c r="K892" s="2" t="s">
        <v>2</v>
      </c>
      <c r="L892">
        <v>1</v>
      </c>
      <c r="M892">
        <v>11.5</v>
      </c>
      <c r="N892" s="2" t="s">
        <v>1060</v>
      </c>
      <c r="O892" t="str">
        <f>D892&amp;"-"&amp;E892&amp;"-"&amp;F892&amp;"-"&amp;G892&amp;"-"&amp;H892</f>
        <v>E-2-f-1-11.5</v>
      </c>
      <c r="P892" t="str">
        <f>I892&amp;"-"&amp;J892&amp;"-"&amp;K892&amp;"-"&amp;L892&amp;"-"&amp;M892</f>
        <v>X-1-e-1-11.5</v>
      </c>
      <c r="Q892">
        <f>A892+R892</f>
        <v>20672.793883999999</v>
      </c>
      <c r="R892">
        <f>_xlfn.IFNA(VLOOKUP(P892,PGOPHER!A$2:G$181,7,FALSE),_xlfn.IFNA(VLOOKUP(P892,en!A$2:I$768,7,FALSE),-10000))</f>
        <v>1640.123634</v>
      </c>
      <c r="S892">
        <f>IF(O892=O891,Q891+S891,Q892)</f>
        <v>20672.793883999999</v>
      </c>
      <c r="T892">
        <f>IF(O892=O891,T891+1,1)</f>
        <v>1</v>
      </c>
      <c r="U892" t="str">
        <f>IF(O892=O893,"",S892/T892)</f>
        <v/>
      </c>
      <c r="V892" t="str">
        <f>IF(U892="","",IF(ABS(Q892-U892)&gt;V$1,"error",""))</f>
        <v/>
      </c>
    </row>
    <row r="893" spans="1:22" x14ac:dyDescent="0.55000000000000004">
      <c r="A893">
        <v>19034.04048</v>
      </c>
      <c r="B893" s="1">
        <v>5.0000000000000001E-3</v>
      </c>
      <c r="C893" s="1">
        <v>5.0000000000000001E-3</v>
      </c>
      <c r="D893" s="2" t="s">
        <v>680</v>
      </c>
      <c r="E893">
        <v>2</v>
      </c>
      <c r="F893" s="2" t="s">
        <v>1</v>
      </c>
      <c r="G893">
        <v>1</v>
      </c>
      <c r="H893">
        <v>11.5</v>
      </c>
      <c r="I893" s="2" t="s">
        <v>0</v>
      </c>
      <c r="J893">
        <v>2</v>
      </c>
      <c r="K893" s="2" t="s">
        <v>1</v>
      </c>
      <c r="L893">
        <v>1</v>
      </c>
      <c r="M893">
        <v>10.5</v>
      </c>
      <c r="N893" s="2" t="s">
        <v>1061</v>
      </c>
      <c r="O893" t="str">
        <f>D893&amp;"-"&amp;E893&amp;"-"&amp;F893&amp;"-"&amp;G893&amp;"-"&amp;H893</f>
        <v>E-2-f-1-11.5</v>
      </c>
      <c r="P893" t="str">
        <f>I893&amp;"-"&amp;J893&amp;"-"&amp;K893&amp;"-"&amp;L893&amp;"-"&amp;M893</f>
        <v>X-2-f-1-10.5</v>
      </c>
      <c r="Q893">
        <f>A893+R893</f>
        <v>20672.804015999998</v>
      </c>
      <c r="R893">
        <f>_xlfn.IFNA(VLOOKUP(P893,PGOPHER!A$2:G$181,7,FALSE),_xlfn.IFNA(VLOOKUP(P893,en!A$2:I$768,7,FALSE),-10000))</f>
        <v>1638.7635359999999</v>
      </c>
      <c r="S893">
        <f>IF(O893=O892,Q892+S892,Q893)</f>
        <v>41345.587767999998</v>
      </c>
      <c r="T893">
        <f>IF(O893=O892,T892+1,1)</f>
        <v>2</v>
      </c>
      <c r="U893" t="str">
        <f>IF(O893=O894,"",S893/T893)</f>
        <v/>
      </c>
      <c r="V893" t="str">
        <f>IF(U893="","",IF(ABS(Q893-U893)&gt;V$1,"error",""))</f>
        <v/>
      </c>
    </row>
    <row r="894" spans="1:22" x14ac:dyDescent="0.55000000000000004">
      <c r="A894">
        <v>18858.598000000002</v>
      </c>
      <c r="B894" s="1">
        <v>1.4999999999999999E-2</v>
      </c>
      <c r="C894" s="1">
        <v>1.4999999999999999E-2</v>
      </c>
      <c r="D894" s="2" t="s">
        <v>680</v>
      </c>
      <c r="E894">
        <v>2</v>
      </c>
      <c r="F894" s="2" t="s">
        <v>1</v>
      </c>
      <c r="G894">
        <v>1</v>
      </c>
      <c r="H894">
        <v>11.5</v>
      </c>
      <c r="I894" s="2" t="s">
        <v>0</v>
      </c>
      <c r="J894">
        <v>2</v>
      </c>
      <c r="K894" s="2" t="s">
        <v>1</v>
      </c>
      <c r="L894">
        <v>1</v>
      </c>
      <c r="M894">
        <v>12.5</v>
      </c>
      <c r="N894" s="2" t="s">
        <v>1062</v>
      </c>
      <c r="O894" t="str">
        <f>D894&amp;"-"&amp;E894&amp;"-"&amp;F894&amp;"-"&amp;G894&amp;"-"&amp;H894</f>
        <v>E-2-f-1-11.5</v>
      </c>
      <c r="P894" t="str">
        <f>I894&amp;"-"&amp;J894&amp;"-"&amp;K894&amp;"-"&amp;L894&amp;"-"&amp;M894</f>
        <v>X-2-f-1-12.5</v>
      </c>
      <c r="Q894">
        <f>A894+R894</f>
        <v>20672.795355000002</v>
      </c>
      <c r="R894">
        <f>_xlfn.IFNA(VLOOKUP(P894,PGOPHER!A$2:G$181,7,FALSE),_xlfn.IFNA(VLOOKUP(P894,en!A$2:I$768,7,FALSE),-10000))</f>
        <v>1814.197355</v>
      </c>
      <c r="S894">
        <f>IF(O894=O893,Q893+S893,Q894)</f>
        <v>62018.391783999992</v>
      </c>
      <c r="T894">
        <f>IF(O894=O893,T893+1,1)</f>
        <v>3</v>
      </c>
      <c r="U894">
        <f>IF(O894=O895,"",S894/T894)</f>
        <v>20672.79726133333</v>
      </c>
      <c r="V894" t="str">
        <f>IF(U894="","",IF(ABS(Q894-U894)&gt;V$1,"error",""))</f>
        <v/>
      </c>
    </row>
    <row r="895" spans="1:22" x14ac:dyDescent="0.55000000000000004">
      <c r="A895">
        <v>18992.067139999999</v>
      </c>
      <c r="B895" s="1">
        <v>0.105</v>
      </c>
      <c r="C895" s="1">
        <v>0.105</v>
      </c>
      <c r="D895" s="2" t="s">
        <v>680</v>
      </c>
      <c r="E895">
        <v>1</v>
      </c>
      <c r="F895" s="2" t="s">
        <v>2</v>
      </c>
      <c r="G895">
        <v>0</v>
      </c>
      <c r="H895">
        <v>12.5</v>
      </c>
      <c r="I895" s="2" t="s">
        <v>0</v>
      </c>
      <c r="J895">
        <v>1</v>
      </c>
      <c r="K895" s="2" t="s">
        <v>2</v>
      </c>
      <c r="L895">
        <v>0</v>
      </c>
      <c r="M895">
        <v>11.5</v>
      </c>
      <c r="N895" s="2" t="s">
        <v>811</v>
      </c>
      <c r="O895" t="str">
        <f>D895&amp;"-"&amp;E895&amp;"-"&amp;F895&amp;"-"&amp;G895&amp;"-"&amp;H895</f>
        <v>E-1-e-0-12.5</v>
      </c>
      <c r="P895" t="str">
        <f>I895&amp;"-"&amp;J895&amp;"-"&amp;K895&amp;"-"&amp;L895&amp;"-"&amp;M895</f>
        <v>X-1-e-0-11.5</v>
      </c>
      <c r="Q895">
        <f>A895+R895</f>
        <v>19470.000563999998</v>
      </c>
      <c r="R895">
        <f>_xlfn.IFNA(VLOOKUP(P895,PGOPHER!A$2:G$181,7,FALSE),_xlfn.IFNA(VLOOKUP(P895,en!A$2:I$768,7,FALSE),-10000))</f>
        <v>477.933424</v>
      </c>
      <c r="S895">
        <f>IF(O895=O894,Q894+S894,Q895)</f>
        <v>19470.000563999998</v>
      </c>
      <c r="T895">
        <f>IF(O895=O894,T894+1,1)</f>
        <v>1</v>
      </c>
      <c r="U895" t="str">
        <f>IF(O895=O896,"",S895/T895)</f>
        <v/>
      </c>
      <c r="V895" t="str">
        <f>IF(U895="","",IF(ABS(Q895-U895)&gt;V$1,"error",""))</f>
        <v/>
      </c>
    </row>
    <row r="896" spans="1:22" x14ac:dyDescent="0.55000000000000004">
      <c r="A896">
        <v>18812.388370000001</v>
      </c>
      <c r="B896" s="1">
        <v>0.105</v>
      </c>
      <c r="C896" s="1">
        <v>0.105</v>
      </c>
      <c r="D896" s="2" t="s">
        <v>680</v>
      </c>
      <c r="E896">
        <v>1</v>
      </c>
      <c r="F896" s="2" t="s">
        <v>2</v>
      </c>
      <c r="G896">
        <v>0</v>
      </c>
      <c r="H896">
        <v>12.5</v>
      </c>
      <c r="I896" s="2" t="s">
        <v>0</v>
      </c>
      <c r="J896">
        <v>1</v>
      </c>
      <c r="K896" s="2" t="s">
        <v>2</v>
      </c>
      <c r="L896">
        <v>0</v>
      </c>
      <c r="M896">
        <v>13.5</v>
      </c>
      <c r="N896" s="2" t="s">
        <v>812</v>
      </c>
      <c r="O896" t="str">
        <f>D896&amp;"-"&amp;E896&amp;"-"&amp;F896&amp;"-"&amp;G896&amp;"-"&amp;H896</f>
        <v>E-1-e-0-12.5</v>
      </c>
      <c r="P896" t="str">
        <f>I896&amp;"-"&amp;J896&amp;"-"&amp;K896&amp;"-"&amp;L896&amp;"-"&amp;M896</f>
        <v>X-1-e-0-13.5</v>
      </c>
      <c r="Q896">
        <f>A896+R896</f>
        <v>19469.999092000002</v>
      </c>
      <c r="R896">
        <f>_xlfn.IFNA(VLOOKUP(P896,PGOPHER!A$2:G$181,7,FALSE),_xlfn.IFNA(VLOOKUP(P896,en!A$2:I$768,7,FALSE),-10000))</f>
        <v>657.61072200000001</v>
      </c>
      <c r="S896">
        <f>IF(O896=O895,Q895+S895,Q896)</f>
        <v>38940.001127999996</v>
      </c>
      <c r="T896">
        <f>IF(O896=O895,T895+1,1)</f>
        <v>2</v>
      </c>
      <c r="U896" t="str">
        <f>IF(O896=O897,"",S896/T896)</f>
        <v/>
      </c>
      <c r="V896" t="str">
        <f>IF(U896="","",IF(ABS(Q896-U896)&gt;V$1,"error",""))</f>
        <v/>
      </c>
    </row>
    <row r="897" spans="1:22" x14ac:dyDescent="0.55000000000000004">
      <c r="A897">
        <v>18814.034019999999</v>
      </c>
      <c r="B897" s="1">
        <v>0.105</v>
      </c>
      <c r="C897" s="1">
        <v>0.105</v>
      </c>
      <c r="D897" s="2" t="s">
        <v>680</v>
      </c>
      <c r="E897">
        <v>1</v>
      </c>
      <c r="F897" s="2" t="s">
        <v>2</v>
      </c>
      <c r="G897">
        <v>0</v>
      </c>
      <c r="H897">
        <v>12.5</v>
      </c>
      <c r="I897" s="2" t="s">
        <v>0</v>
      </c>
      <c r="J897">
        <v>2</v>
      </c>
      <c r="K897" s="2" t="s">
        <v>1</v>
      </c>
      <c r="L897">
        <v>0</v>
      </c>
      <c r="M897">
        <v>12.5</v>
      </c>
      <c r="N897" s="2" t="s">
        <v>813</v>
      </c>
      <c r="O897" t="str">
        <f>D897&amp;"-"&amp;E897&amp;"-"&amp;F897&amp;"-"&amp;G897&amp;"-"&amp;H897</f>
        <v>E-1-e-0-12.5</v>
      </c>
      <c r="P897" t="str">
        <f>I897&amp;"-"&amp;J897&amp;"-"&amp;K897&amp;"-"&amp;L897&amp;"-"&amp;M897</f>
        <v>X-2-f-0-12.5</v>
      </c>
      <c r="Q897">
        <f>A897+R897</f>
        <v>19470.002118</v>
      </c>
      <c r="R897">
        <f>_xlfn.IFNA(VLOOKUP(P897,PGOPHER!A$2:G$181,7,FALSE),_xlfn.IFNA(VLOOKUP(P897,en!A$2:I$768,7,FALSE),-10000))</f>
        <v>655.96809800000005</v>
      </c>
      <c r="S897">
        <f>IF(O897=O896,Q896+S896,Q897)</f>
        <v>58410.000220000002</v>
      </c>
      <c r="T897">
        <f>IF(O897=O896,T896+1,1)</f>
        <v>3</v>
      </c>
      <c r="U897">
        <f>IF(O897=O898,"",S897/T897)</f>
        <v>19470.000073333333</v>
      </c>
      <c r="V897" t="str">
        <f>IF(U897="","",IF(ABS(Q897-U897)&gt;V$1,"error",""))</f>
        <v/>
      </c>
    </row>
    <row r="898" spans="1:22" x14ac:dyDescent="0.55000000000000004">
      <c r="A898">
        <v>18802.989850000002</v>
      </c>
      <c r="B898" s="1">
        <v>6.2399999999999999E-3</v>
      </c>
      <c r="C898" s="1">
        <v>6.2399999999999999E-3</v>
      </c>
      <c r="D898" s="2" t="s">
        <v>680</v>
      </c>
      <c r="E898">
        <v>1</v>
      </c>
      <c r="F898" s="2" t="s">
        <v>2</v>
      </c>
      <c r="G898">
        <v>1</v>
      </c>
      <c r="H898">
        <v>12.5</v>
      </c>
      <c r="I898" s="2" t="s">
        <v>0</v>
      </c>
      <c r="J898">
        <v>1</v>
      </c>
      <c r="K898" s="2" t="s">
        <v>2</v>
      </c>
      <c r="L898">
        <v>1</v>
      </c>
      <c r="M898">
        <v>13.5</v>
      </c>
      <c r="N898" s="2" t="s">
        <v>1063</v>
      </c>
      <c r="O898" t="str">
        <f>D898&amp;"-"&amp;E898&amp;"-"&amp;F898&amp;"-"&amp;G898&amp;"-"&amp;H898</f>
        <v>E-1-e-1-12.5</v>
      </c>
      <c r="P898" t="str">
        <f>I898&amp;"-"&amp;J898&amp;"-"&amp;K898&amp;"-"&amp;L898&amp;"-"&amp;M898</f>
        <v>X-1-e-1-13.5</v>
      </c>
      <c r="Q898">
        <f>A898+R898</f>
        <v>20618.776025000003</v>
      </c>
      <c r="R898">
        <f>_xlfn.IFNA(VLOOKUP(P898,PGOPHER!A$2:G$181,7,FALSE),_xlfn.IFNA(VLOOKUP(P898,en!A$2:I$768,7,FALSE),-10000))</f>
        <v>1815.786175</v>
      </c>
      <c r="S898">
        <f>IF(O898=O897,Q897+S897,Q898)</f>
        <v>20618.776025000003</v>
      </c>
      <c r="T898">
        <f>IF(O898=O897,T897+1,1)</f>
        <v>1</v>
      </c>
      <c r="U898" t="str">
        <f>IF(O898=O899,"",S898/T898)</f>
        <v/>
      </c>
      <c r="V898" t="str">
        <f>IF(U898="","",IF(ABS(Q898-U898)&gt;V$1,"error",""))</f>
        <v/>
      </c>
    </row>
    <row r="899" spans="1:22" x14ac:dyDescent="0.55000000000000004">
      <c r="A899">
        <v>18978.65841</v>
      </c>
      <c r="B899" s="1">
        <v>5.0000000000000001E-3</v>
      </c>
      <c r="C899" s="1">
        <v>5.0000000000000001E-3</v>
      </c>
      <c r="D899" s="2" t="s">
        <v>680</v>
      </c>
      <c r="E899">
        <v>1</v>
      </c>
      <c r="F899" s="2" t="s">
        <v>2</v>
      </c>
      <c r="G899">
        <v>1</v>
      </c>
      <c r="H899">
        <v>12.5</v>
      </c>
      <c r="I899" s="2" t="s">
        <v>0</v>
      </c>
      <c r="J899">
        <v>1</v>
      </c>
      <c r="K899" s="2" t="s">
        <v>2</v>
      </c>
      <c r="L899">
        <v>1</v>
      </c>
      <c r="M899">
        <v>11.5</v>
      </c>
      <c r="N899" s="2" t="s">
        <v>1064</v>
      </c>
      <c r="O899" t="str">
        <f>D899&amp;"-"&amp;E899&amp;"-"&amp;F899&amp;"-"&amp;G899&amp;"-"&amp;H899</f>
        <v>E-1-e-1-12.5</v>
      </c>
      <c r="P899" t="str">
        <f>I899&amp;"-"&amp;J899&amp;"-"&amp;K899&amp;"-"&amp;L899&amp;"-"&amp;M899</f>
        <v>X-1-e-1-11.5</v>
      </c>
      <c r="Q899">
        <f>A899+R899</f>
        <v>20618.782044</v>
      </c>
      <c r="R899">
        <f>_xlfn.IFNA(VLOOKUP(P899,PGOPHER!A$2:G$181,7,FALSE),_xlfn.IFNA(VLOOKUP(P899,en!A$2:I$768,7,FALSE),-10000))</f>
        <v>1640.123634</v>
      </c>
      <c r="S899">
        <f>IF(O899=O898,Q898+S898,Q899)</f>
        <v>41237.552050000006</v>
      </c>
      <c r="T899">
        <f>IF(O899=O898,T898+1,1)</f>
        <v>2</v>
      </c>
      <c r="U899" t="str">
        <f>IF(O899=O900,"",S899/T899)</f>
        <v/>
      </c>
      <c r="V899" t="str">
        <f>IF(U899="","",IF(ABS(Q899-U899)&gt;V$1,"error",""))</f>
        <v/>
      </c>
    </row>
    <row r="900" spans="1:22" x14ac:dyDescent="0.55000000000000004">
      <c r="A900">
        <v>18804.589840000001</v>
      </c>
      <c r="B900" s="1">
        <v>7.8709999999999995E-3</v>
      </c>
      <c r="C900" s="1">
        <v>7.8709999999999995E-3</v>
      </c>
      <c r="D900" s="2" t="s">
        <v>680</v>
      </c>
      <c r="E900">
        <v>1</v>
      </c>
      <c r="F900" s="2" t="s">
        <v>2</v>
      </c>
      <c r="G900">
        <v>1</v>
      </c>
      <c r="H900">
        <v>12.5</v>
      </c>
      <c r="I900" s="2" t="s">
        <v>0</v>
      </c>
      <c r="J900">
        <v>2</v>
      </c>
      <c r="K900" s="2" t="s">
        <v>1</v>
      </c>
      <c r="L900">
        <v>1</v>
      </c>
      <c r="M900">
        <v>12.5</v>
      </c>
      <c r="N900" s="2" t="s">
        <v>1065</v>
      </c>
      <c r="O900" t="str">
        <f>D900&amp;"-"&amp;E900&amp;"-"&amp;F900&amp;"-"&amp;G900&amp;"-"&amp;H900</f>
        <v>E-1-e-1-12.5</v>
      </c>
      <c r="P900" t="str">
        <f>I900&amp;"-"&amp;J900&amp;"-"&amp;K900&amp;"-"&amp;L900&amp;"-"&amp;M900</f>
        <v>X-2-f-1-12.5</v>
      </c>
      <c r="Q900">
        <f>A900+R900</f>
        <v>20618.787195000001</v>
      </c>
      <c r="R900">
        <f>_xlfn.IFNA(VLOOKUP(P900,PGOPHER!A$2:G$181,7,FALSE),_xlfn.IFNA(VLOOKUP(P900,en!A$2:I$768,7,FALSE),-10000))</f>
        <v>1814.197355</v>
      </c>
      <c r="S900">
        <f>IF(O900=O899,Q899+S899,Q900)</f>
        <v>61856.334094000005</v>
      </c>
      <c r="T900">
        <f>IF(O900=O899,T899+1,1)</f>
        <v>3</v>
      </c>
      <c r="U900">
        <f>IF(O900=O901,"",S900/T900)</f>
        <v>20618.778031333335</v>
      </c>
      <c r="V900" t="str">
        <f>IF(U900="","",IF(ABS(Q900-U900)&gt;V$1,"error",""))</f>
        <v/>
      </c>
    </row>
    <row r="901" spans="1:22" x14ac:dyDescent="0.55000000000000004">
      <c r="A901">
        <v>18713.860240000002</v>
      </c>
      <c r="B901" s="1">
        <v>0.105</v>
      </c>
      <c r="C901" s="1">
        <v>0.105</v>
      </c>
      <c r="D901" s="2" t="s">
        <v>680</v>
      </c>
      <c r="E901">
        <v>1</v>
      </c>
      <c r="F901" s="2" t="s">
        <v>1</v>
      </c>
      <c r="G901">
        <v>0</v>
      </c>
      <c r="H901">
        <v>12.5</v>
      </c>
      <c r="I901" s="2" t="s">
        <v>0</v>
      </c>
      <c r="J901">
        <v>2</v>
      </c>
      <c r="K901" s="2" t="s">
        <v>1</v>
      </c>
      <c r="L901">
        <v>0</v>
      </c>
      <c r="M901">
        <v>13.5</v>
      </c>
      <c r="N901" s="2" t="s">
        <v>814</v>
      </c>
      <c r="O901" t="str">
        <f>D901&amp;"-"&amp;E901&amp;"-"&amp;F901&amp;"-"&amp;G901&amp;"-"&amp;H901</f>
        <v>E-1-f-0-12.5</v>
      </c>
      <c r="P901" t="str">
        <f>I901&amp;"-"&amp;J901&amp;"-"&amp;K901&amp;"-"&amp;L901&amp;"-"&amp;M901</f>
        <v>X-2-f-0-13.5</v>
      </c>
      <c r="Q901">
        <f>A901+R901</f>
        <v>19470.028109000003</v>
      </c>
      <c r="R901">
        <f>_xlfn.IFNA(VLOOKUP(P901,PGOPHER!A$2:G$181,7,FALSE),_xlfn.IFNA(VLOOKUP(P901,en!A$2:I$768,7,FALSE),-10000))</f>
        <v>756.167869</v>
      </c>
      <c r="S901">
        <f>IF(O901=O900,Q900+S900,Q901)</f>
        <v>19470.028109000003</v>
      </c>
      <c r="T901">
        <f>IF(O901=O900,T900+1,1)</f>
        <v>1</v>
      </c>
      <c r="U901" t="str">
        <f>IF(O901=O902,"",S901/T901)</f>
        <v/>
      </c>
      <c r="V901" t="str">
        <f>IF(U901="","",IF(ABS(Q901-U901)&gt;V$1,"error",""))</f>
        <v/>
      </c>
    </row>
    <row r="902" spans="1:22" x14ac:dyDescent="0.55000000000000004">
      <c r="A902">
        <v>18907.332480000001</v>
      </c>
      <c r="B902" s="1">
        <v>0.105</v>
      </c>
      <c r="C902" s="1">
        <v>0.105</v>
      </c>
      <c r="D902" s="2" t="s">
        <v>680</v>
      </c>
      <c r="E902">
        <v>1</v>
      </c>
      <c r="F902" s="2" t="s">
        <v>1</v>
      </c>
      <c r="G902">
        <v>0</v>
      </c>
      <c r="H902">
        <v>12.5</v>
      </c>
      <c r="I902" s="2" t="s">
        <v>0</v>
      </c>
      <c r="J902">
        <v>2</v>
      </c>
      <c r="K902" s="2" t="s">
        <v>1</v>
      </c>
      <c r="L902">
        <v>0</v>
      </c>
      <c r="M902">
        <v>11.5</v>
      </c>
      <c r="N902" s="2" t="s">
        <v>815</v>
      </c>
      <c r="O902" t="str">
        <f>D902&amp;"-"&amp;E902&amp;"-"&amp;F902&amp;"-"&amp;G902&amp;"-"&amp;H902</f>
        <v>E-1-f-0-12.5</v>
      </c>
      <c r="P902" t="str">
        <f>I902&amp;"-"&amp;J902&amp;"-"&amp;K902&amp;"-"&amp;L902&amp;"-"&amp;M902</f>
        <v>X-2-f-0-11.5</v>
      </c>
      <c r="Q902">
        <f>A902+R902</f>
        <v>19470.070346</v>
      </c>
      <c r="R902">
        <f>_xlfn.IFNA(VLOOKUP(P902,PGOPHER!A$2:G$181,7,FALSE),_xlfn.IFNA(VLOOKUP(P902,en!A$2:I$768,7,FALSE),-10000))</f>
        <v>562.73786600000005</v>
      </c>
      <c r="S902">
        <f>IF(O902=O901,Q901+S901,Q902)</f>
        <v>38940.056218000005</v>
      </c>
      <c r="T902">
        <f>IF(O902=O901,T901+1,1)</f>
        <v>2</v>
      </c>
      <c r="U902" t="str">
        <f>IF(O902=O903,"",S902/T902)</f>
        <v/>
      </c>
      <c r="V902" t="str">
        <f>IF(U902="","",IF(ABS(Q902-U902)&gt;V$1,"error",""))</f>
        <v/>
      </c>
    </row>
    <row r="903" spans="1:22" x14ac:dyDescent="0.55000000000000004">
      <c r="A903">
        <v>18905.763500000001</v>
      </c>
      <c r="B903" s="1">
        <v>0.105</v>
      </c>
      <c r="C903" s="1">
        <v>0.105</v>
      </c>
      <c r="D903" s="2" t="s">
        <v>680</v>
      </c>
      <c r="E903">
        <v>1</v>
      </c>
      <c r="F903" s="2" t="s">
        <v>1</v>
      </c>
      <c r="G903">
        <v>0</v>
      </c>
      <c r="H903">
        <v>12.5</v>
      </c>
      <c r="I903" s="2" t="s">
        <v>0</v>
      </c>
      <c r="J903">
        <v>1</v>
      </c>
      <c r="K903" s="2" t="s">
        <v>2</v>
      </c>
      <c r="L903">
        <v>0</v>
      </c>
      <c r="M903">
        <v>12.5</v>
      </c>
      <c r="N903" s="2" t="s">
        <v>816</v>
      </c>
      <c r="O903" t="str">
        <f>D903&amp;"-"&amp;E903&amp;"-"&amp;F903&amp;"-"&amp;G903&amp;"-"&amp;H903</f>
        <v>E-1-f-0-12.5</v>
      </c>
      <c r="P903" t="str">
        <f>I903&amp;"-"&amp;J903&amp;"-"&amp;K903&amp;"-"&amp;L903&amp;"-"&amp;M903</f>
        <v>X-1-e-0-12.5</v>
      </c>
      <c r="Q903">
        <f>A903+R903</f>
        <v>19470.027908</v>
      </c>
      <c r="R903">
        <f>_xlfn.IFNA(VLOOKUP(P903,PGOPHER!A$2:G$181,7,FALSE),_xlfn.IFNA(VLOOKUP(P903,en!A$2:I$768,7,FALSE),-10000))</f>
        <v>564.264408</v>
      </c>
      <c r="S903">
        <f>IF(O903=O902,Q902+S902,Q903)</f>
        <v>58410.126564000006</v>
      </c>
      <c r="T903">
        <f>IF(O903=O902,T902+1,1)</f>
        <v>3</v>
      </c>
      <c r="U903">
        <f>IF(O903=O904,"",S903/T903)</f>
        <v>19470.042188000003</v>
      </c>
      <c r="V903" t="str">
        <f>IF(U903="","",IF(ABS(Q903-U903)&gt;V$1,"error",""))</f>
        <v/>
      </c>
    </row>
    <row r="904" spans="1:22" x14ac:dyDescent="0.55000000000000004">
      <c r="A904">
        <v>18894.125090000001</v>
      </c>
      <c r="B904" s="1">
        <v>0.20499999999999999</v>
      </c>
      <c r="C904" s="1">
        <v>0.20499999999999999</v>
      </c>
      <c r="D904" s="2" t="s">
        <v>680</v>
      </c>
      <c r="E904">
        <v>1</v>
      </c>
      <c r="F904" s="2" t="s">
        <v>1</v>
      </c>
      <c r="G904">
        <v>1</v>
      </c>
      <c r="H904">
        <v>12.5</v>
      </c>
      <c r="I904" s="2" t="s">
        <v>0</v>
      </c>
      <c r="J904">
        <v>1</v>
      </c>
      <c r="K904" s="2" t="s">
        <v>2</v>
      </c>
      <c r="L904">
        <v>1</v>
      </c>
      <c r="M904">
        <v>12.5</v>
      </c>
      <c r="N904" s="2" t="s">
        <v>1067</v>
      </c>
      <c r="O904" t="str">
        <f>D904&amp;"-"&amp;E904&amp;"-"&amp;F904&amp;"-"&amp;G904&amp;"-"&amp;H904</f>
        <v>E-1-f-1-12.5</v>
      </c>
      <c r="P904" t="str">
        <f>I904&amp;"-"&amp;J904&amp;"-"&amp;K904&amp;"-"&amp;L904&amp;"-"&amp;M904</f>
        <v>X-1-e-1-12.5</v>
      </c>
      <c r="Q904">
        <f>A904+R904</f>
        <v>20618.652921000001</v>
      </c>
      <c r="R904">
        <f>_xlfn.IFNA(VLOOKUP(P904,PGOPHER!A$2:G$181,7,FALSE),_xlfn.IFNA(VLOOKUP(P904,en!A$2:I$768,7,FALSE),-10000))</f>
        <v>1724.5278310000001</v>
      </c>
      <c r="S904">
        <f>IF(O904=O903,Q903+S903,Q904)</f>
        <v>20618.652921000001</v>
      </c>
      <c r="T904">
        <f>IF(O904=O903,T903+1,1)</f>
        <v>1</v>
      </c>
      <c r="U904" t="str">
        <f>IF(O904=O905,"",S904/T904)</f>
        <v/>
      </c>
      <c r="V904" t="str">
        <f>IF(U904="","",IF(ABS(Q904-U904)&gt;V$1,"error",""))</f>
        <v/>
      </c>
    </row>
    <row r="905" spans="1:22" x14ac:dyDescent="0.55000000000000004">
      <c r="A905">
        <v>18706.50866</v>
      </c>
      <c r="B905" s="1">
        <v>0.105</v>
      </c>
      <c r="C905" s="1">
        <v>0.105</v>
      </c>
      <c r="D905" s="2" t="s">
        <v>680</v>
      </c>
      <c r="E905">
        <v>1</v>
      </c>
      <c r="F905" s="2" t="s">
        <v>1</v>
      </c>
      <c r="G905">
        <v>1</v>
      </c>
      <c r="H905">
        <v>12.5</v>
      </c>
      <c r="I905" s="2" t="s">
        <v>0</v>
      </c>
      <c r="J905">
        <v>2</v>
      </c>
      <c r="K905" s="2" t="s">
        <v>1</v>
      </c>
      <c r="L905">
        <v>1</v>
      </c>
      <c r="M905">
        <v>13.5</v>
      </c>
      <c r="N905" s="2" t="s">
        <v>1066</v>
      </c>
      <c r="O905" t="str">
        <f>D905&amp;"-"&amp;E905&amp;"-"&amp;F905&amp;"-"&amp;G905&amp;"-"&amp;H905</f>
        <v>E-1-f-1-12.5</v>
      </c>
      <c r="P905" t="str">
        <f>I905&amp;"-"&amp;J905&amp;"-"&amp;K905&amp;"-"&amp;L905&amp;"-"&amp;M905</f>
        <v>X-2-f-1-13.5</v>
      </c>
      <c r="Q905">
        <f>A905+R905</f>
        <v>20618.667347999999</v>
      </c>
      <c r="R905">
        <f>_xlfn.IFNA(VLOOKUP(P905,PGOPHER!A$2:G$181,7,FALSE),_xlfn.IFNA(VLOOKUP(P905,en!A$2:I$768,7,FALSE),-10000))</f>
        <v>1912.158688</v>
      </c>
      <c r="S905">
        <f>IF(O905=O904,Q904+S904,Q905)</f>
        <v>41237.305842000002</v>
      </c>
      <c r="T905">
        <f>IF(O905=O904,T904+1,1)</f>
        <v>2</v>
      </c>
      <c r="U905">
        <f>IF(O905=O906,"",S905/T905)</f>
        <v>20618.652921000001</v>
      </c>
      <c r="V905" t="str">
        <f>IF(U905="","",IF(ABS(Q905-U905)&gt;V$1,"error",""))</f>
        <v/>
      </c>
    </row>
    <row r="906" spans="1:22" x14ac:dyDescent="0.55000000000000004">
      <c r="A906">
        <v>19136.709869999999</v>
      </c>
      <c r="B906" s="1">
        <v>5.0000000000000001E-3</v>
      </c>
      <c r="C906" s="1">
        <v>5.0000000000000001E-3</v>
      </c>
      <c r="D906" s="2" t="s">
        <v>680</v>
      </c>
      <c r="E906">
        <v>2</v>
      </c>
      <c r="F906" s="2" t="s">
        <v>2</v>
      </c>
      <c r="G906">
        <v>0</v>
      </c>
      <c r="H906">
        <v>12.5</v>
      </c>
      <c r="I906" s="2" t="s">
        <v>0</v>
      </c>
      <c r="J906">
        <v>1</v>
      </c>
      <c r="K906" s="2" t="s">
        <v>2</v>
      </c>
      <c r="L906">
        <v>0</v>
      </c>
      <c r="M906">
        <v>11.5</v>
      </c>
      <c r="N906" s="2" t="s">
        <v>817</v>
      </c>
      <c r="O906" t="str">
        <f>D906&amp;"-"&amp;E906&amp;"-"&amp;F906&amp;"-"&amp;G906&amp;"-"&amp;H906</f>
        <v>E-2-e-0-12.5</v>
      </c>
      <c r="P906" t="str">
        <f>I906&amp;"-"&amp;J906&amp;"-"&amp;K906&amp;"-"&amp;L906&amp;"-"&amp;M906</f>
        <v>X-1-e-0-11.5</v>
      </c>
      <c r="Q906">
        <f>A906+R906</f>
        <v>19614.643293999998</v>
      </c>
      <c r="R906">
        <f>_xlfn.IFNA(VLOOKUP(P906,PGOPHER!A$2:G$181,7,FALSE),_xlfn.IFNA(VLOOKUP(P906,en!A$2:I$768,7,FALSE),-10000))</f>
        <v>477.933424</v>
      </c>
      <c r="S906">
        <f>IF(O906=O905,Q905+S905,Q906)</f>
        <v>19614.643293999998</v>
      </c>
      <c r="T906">
        <f>IF(O906=O905,T905+1,1)</f>
        <v>1</v>
      </c>
      <c r="U906" t="str">
        <f>IF(O906=O907,"",S906/T906)</f>
        <v/>
      </c>
      <c r="V906" t="str">
        <f>IF(U906="","",IF(ABS(Q906-U906)&gt;V$1,"error",""))</f>
        <v/>
      </c>
    </row>
    <row r="907" spans="1:22" x14ac:dyDescent="0.55000000000000004">
      <c r="A907">
        <v>18957.035810000001</v>
      </c>
      <c r="B907" s="1">
        <v>5.0000000000000001E-3</v>
      </c>
      <c r="C907" s="1">
        <v>5.0000000000000001E-3</v>
      </c>
      <c r="D907" s="2" t="s">
        <v>680</v>
      </c>
      <c r="E907">
        <v>2</v>
      </c>
      <c r="F907" s="2" t="s">
        <v>2</v>
      </c>
      <c r="G907">
        <v>0</v>
      </c>
      <c r="H907">
        <v>12.5</v>
      </c>
      <c r="I907" s="2" t="s">
        <v>0</v>
      </c>
      <c r="J907">
        <v>1</v>
      </c>
      <c r="K907" s="2" t="s">
        <v>2</v>
      </c>
      <c r="L907">
        <v>0</v>
      </c>
      <c r="M907">
        <v>13.5</v>
      </c>
      <c r="N907" s="2" t="s">
        <v>818</v>
      </c>
      <c r="O907" t="str">
        <f>D907&amp;"-"&amp;E907&amp;"-"&amp;F907&amp;"-"&amp;G907&amp;"-"&amp;H907</f>
        <v>E-2-e-0-12.5</v>
      </c>
      <c r="P907" t="str">
        <f>I907&amp;"-"&amp;J907&amp;"-"&amp;K907&amp;"-"&amp;L907&amp;"-"&amp;M907</f>
        <v>X-1-e-0-13.5</v>
      </c>
      <c r="Q907">
        <f>A907+R907</f>
        <v>19614.646532000002</v>
      </c>
      <c r="R907">
        <f>_xlfn.IFNA(VLOOKUP(P907,PGOPHER!A$2:G$181,7,FALSE),_xlfn.IFNA(VLOOKUP(P907,en!A$2:I$768,7,FALSE),-10000))</f>
        <v>657.61072200000001</v>
      </c>
      <c r="S907">
        <f>IF(O907=O906,Q906+S906,Q907)</f>
        <v>39229.286587999995</v>
      </c>
      <c r="T907">
        <f>IF(O907=O906,T906+1,1)</f>
        <v>2</v>
      </c>
      <c r="U907" t="str">
        <f>IF(O907=O908,"",S907/T907)</f>
        <v/>
      </c>
      <c r="V907" t="str">
        <f>IF(U907="","",IF(ABS(Q907-U907)&gt;V$1,"error",""))</f>
        <v/>
      </c>
    </row>
    <row r="908" spans="1:22" x14ac:dyDescent="0.55000000000000004">
      <c r="A908">
        <v>18958.67787</v>
      </c>
      <c r="B908" s="1">
        <v>5.0000000000000001E-3</v>
      </c>
      <c r="C908" s="1">
        <v>5.0000000000000001E-3</v>
      </c>
      <c r="D908" s="2" t="s">
        <v>680</v>
      </c>
      <c r="E908">
        <v>2</v>
      </c>
      <c r="F908" s="2" t="s">
        <v>2</v>
      </c>
      <c r="G908">
        <v>0</v>
      </c>
      <c r="H908">
        <v>12.5</v>
      </c>
      <c r="I908" s="2" t="s">
        <v>0</v>
      </c>
      <c r="J908">
        <v>2</v>
      </c>
      <c r="K908" s="2" t="s">
        <v>1</v>
      </c>
      <c r="L908">
        <v>0</v>
      </c>
      <c r="M908">
        <v>12.5</v>
      </c>
      <c r="N908" s="2" t="s">
        <v>819</v>
      </c>
      <c r="O908" t="str">
        <f>D908&amp;"-"&amp;E908&amp;"-"&amp;F908&amp;"-"&amp;G908&amp;"-"&amp;H908</f>
        <v>E-2-e-0-12.5</v>
      </c>
      <c r="P908" t="str">
        <f>I908&amp;"-"&amp;J908&amp;"-"&amp;K908&amp;"-"&amp;L908&amp;"-"&amp;M908</f>
        <v>X-2-f-0-12.5</v>
      </c>
      <c r="Q908">
        <f>A908+R908</f>
        <v>19614.645968000001</v>
      </c>
      <c r="R908">
        <f>_xlfn.IFNA(VLOOKUP(P908,PGOPHER!A$2:G$181,7,FALSE),_xlfn.IFNA(VLOOKUP(P908,en!A$2:I$768,7,FALSE),-10000))</f>
        <v>655.96809800000005</v>
      </c>
      <c r="S908">
        <f>IF(O908=O907,Q907+S907,Q908)</f>
        <v>58843.933120000002</v>
      </c>
      <c r="T908">
        <f>IF(O908=O907,T907+1,1)</f>
        <v>3</v>
      </c>
      <c r="U908">
        <f>IF(O908=O909,"",S908/T908)</f>
        <v>19614.644373333333</v>
      </c>
      <c r="V908" t="str">
        <f>IF(U908="","",IF(ABS(Q908-U908)&gt;V$1,"error",""))</f>
        <v/>
      </c>
    </row>
    <row r="909" spans="1:22" x14ac:dyDescent="0.55000000000000004">
      <c r="A909">
        <v>18950.43577</v>
      </c>
      <c r="B909" s="1">
        <v>5.5E-2</v>
      </c>
      <c r="C909" s="1">
        <v>5.5E-2</v>
      </c>
      <c r="D909" s="2" t="s">
        <v>680</v>
      </c>
      <c r="E909">
        <v>2</v>
      </c>
      <c r="F909" s="2" t="s">
        <v>2</v>
      </c>
      <c r="G909">
        <v>1</v>
      </c>
      <c r="H909">
        <v>12.5</v>
      </c>
      <c r="I909" s="2" t="s">
        <v>0</v>
      </c>
      <c r="J909">
        <v>2</v>
      </c>
      <c r="K909" s="2" t="s">
        <v>1</v>
      </c>
      <c r="L909">
        <v>1</v>
      </c>
      <c r="M909">
        <v>12.5</v>
      </c>
      <c r="N909" s="2" t="s">
        <v>1069</v>
      </c>
      <c r="O909" t="str">
        <f>D909&amp;"-"&amp;E909&amp;"-"&amp;F909&amp;"-"&amp;G909&amp;"-"&amp;H909</f>
        <v>E-2-e-1-12.5</v>
      </c>
      <c r="P909" t="str">
        <f>I909&amp;"-"&amp;J909&amp;"-"&amp;K909&amp;"-"&amp;L909&amp;"-"&amp;M909</f>
        <v>X-2-f-1-12.5</v>
      </c>
      <c r="Q909">
        <f>A909+R909</f>
        <v>20764.633125</v>
      </c>
      <c r="R909">
        <f>_xlfn.IFNA(VLOOKUP(P909,PGOPHER!A$2:G$181,7,FALSE),_xlfn.IFNA(VLOOKUP(P909,en!A$2:I$768,7,FALSE),-10000))</f>
        <v>1814.197355</v>
      </c>
      <c r="S909">
        <f>IF(O909=O908,Q908+S908,Q909)</f>
        <v>20764.633125</v>
      </c>
      <c r="T909">
        <f>IF(O909=O908,T908+1,1)</f>
        <v>1</v>
      </c>
      <c r="U909" t="str">
        <f>IF(O909=O910,"",S909/T909)</f>
        <v/>
      </c>
      <c r="V909" t="str">
        <f>IF(U909="","",IF(ABS(Q909-U909)&gt;V$1,"error",""))</f>
        <v/>
      </c>
    </row>
    <row r="910" spans="1:22" x14ac:dyDescent="0.55000000000000004">
      <c r="A910">
        <v>19124.505389999998</v>
      </c>
      <c r="B910" s="1">
        <v>5.0000000000000001E-3</v>
      </c>
      <c r="C910" s="1">
        <v>5.0000000000000001E-3</v>
      </c>
      <c r="D910" s="2" t="s">
        <v>680</v>
      </c>
      <c r="E910">
        <v>2</v>
      </c>
      <c r="F910" s="2" t="s">
        <v>2</v>
      </c>
      <c r="G910">
        <v>1</v>
      </c>
      <c r="H910">
        <v>12.5</v>
      </c>
      <c r="I910" s="2" t="s">
        <v>0</v>
      </c>
      <c r="J910">
        <v>1</v>
      </c>
      <c r="K910" s="2" t="s">
        <v>2</v>
      </c>
      <c r="L910">
        <v>1</v>
      </c>
      <c r="M910">
        <v>11.5</v>
      </c>
      <c r="N910" s="2" t="s">
        <v>1068</v>
      </c>
      <c r="O910" t="str">
        <f>D910&amp;"-"&amp;E910&amp;"-"&amp;F910&amp;"-"&amp;G910&amp;"-"&amp;H910</f>
        <v>E-2-e-1-12.5</v>
      </c>
      <c r="P910" t="str">
        <f>I910&amp;"-"&amp;J910&amp;"-"&amp;K910&amp;"-"&amp;L910&amp;"-"&amp;M910</f>
        <v>X-1-e-1-11.5</v>
      </c>
      <c r="Q910">
        <f>A910+R910</f>
        <v>20764.629023999998</v>
      </c>
      <c r="R910">
        <f>_xlfn.IFNA(VLOOKUP(P910,PGOPHER!A$2:G$181,7,FALSE),_xlfn.IFNA(VLOOKUP(P910,en!A$2:I$768,7,FALSE),-10000))</f>
        <v>1640.123634</v>
      </c>
      <c r="S910">
        <f>IF(O910=O909,Q909+S909,Q910)</f>
        <v>41529.266250000001</v>
      </c>
      <c r="T910">
        <f>IF(O910=O909,T909+1,1)</f>
        <v>2</v>
      </c>
      <c r="U910">
        <f>IF(O910=O911,"",S910/T910)</f>
        <v>20764.633125</v>
      </c>
      <c r="V910" t="str">
        <f>IF(U910="","",IF(ABS(Q910-U910)&gt;V$1,"error",""))</f>
        <v/>
      </c>
    </row>
    <row r="911" spans="1:22" x14ac:dyDescent="0.55000000000000004">
      <c r="A911">
        <v>19053.00805</v>
      </c>
      <c r="B911" s="1">
        <v>5.0000000000000001E-3</v>
      </c>
      <c r="C911" s="1">
        <v>5.0000000000000001E-3</v>
      </c>
      <c r="D911" s="2" t="s">
        <v>680</v>
      </c>
      <c r="E911">
        <v>2</v>
      </c>
      <c r="F911" s="2" t="s">
        <v>1</v>
      </c>
      <c r="G911">
        <v>0</v>
      </c>
      <c r="H911">
        <v>12.5</v>
      </c>
      <c r="I911" s="2" t="s">
        <v>0</v>
      </c>
      <c r="J911">
        <v>2</v>
      </c>
      <c r="K911" s="2" t="s">
        <v>1</v>
      </c>
      <c r="L911">
        <v>0</v>
      </c>
      <c r="M911">
        <v>11.5</v>
      </c>
      <c r="N911" s="2" t="s">
        <v>820</v>
      </c>
      <c r="O911" t="str">
        <f>D911&amp;"-"&amp;E911&amp;"-"&amp;F911&amp;"-"&amp;G911&amp;"-"&amp;H911</f>
        <v>E-2-f-0-12.5</v>
      </c>
      <c r="P911" t="str">
        <f>I911&amp;"-"&amp;J911&amp;"-"&amp;K911&amp;"-"&amp;L911&amp;"-"&amp;M911</f>
        <v>X-2-f-0-11.5</v>
      </c>
      <c r="Q911">
        <f>A911+R911</f>
        <v>19615.745916</v>
      </c>
      <c r="R911">
        <f>_xlfn.IFNA(VLOOKUP(P911,PGOPHER!A$2:G$181,7,FALSE),_xlfn.IFNA(VLOOKUP(P911,en!A$2:I$768,7,FALSE),-10000))</f>
        <v>562.73786600000005</v>
      </c>
      <c r="S911">
        <f>IF(O911=O910,Q910+S910,Q911)</f>
        <v>19615.745916</v>
      </c>
      <c r="T911">
        <f>IF(O911=O910,T910+1,1)</f>
        <v>1</v>
      </c>
      <c r="U911" t="str">
        <f>IF(O911=O912,"",S911/T911)</f>
        <v/>
      </c>
      <c r="V911" t="str">
        <f>IF(U911="","",IF(ABS(Q911-U911)&gt;V$1,"error",""))</f>
        <v/>
      </c>
    </row>
    <row r="912" spans="1:22" x14ac:dyDescent="0.55000000000000004">
      <c r="A912">
        <v>18859.575430000001</v>
      </c>
      <c r="B912" s="1">
        <v>5.0000000000000001E-3</v>
      </c>
      <c r="C912" s="1">
        <v>5.0000000000000001E-3</v>
      </c>
      <c r="D912" s="2" t="s">
        <v>680</v>
      </c>
      <c r="E912">
        <v>2</v>
      </c>
      <c r="F912" s="2" t="s">
        <v>1</v>
      </c>
      <c r="G912">
        <v>0</v>
      </c>
      <c r="H912">
        <v>12.5</v>
      </c>
      <c r="I912" s="2" t="s">
        <v>0</v>
      </c>
      <c r="J912">
        <v>2</v>
      </c>
      <c r="K912" s="2" t="s">
        <v>1</v>
      </c>
      <c r="L912">
        <v>0</v>
      </c>
      <c r="M912">
        <v>13.5</v>
      </c>
      <c r="N912" s="2" t="s">
        <v>821</v>
      </c>
      <c r="O912" t="str">
        <f>D912&amp;"-"&amp;E912&amp;"-"&amp;F912&amp;"-"&amp;G912&amp;"-"&amp;H912</f>
        <v>E-2-f-0-12.5</v>
      </c>
      <c r="P912" t="str">
        <f>I912&amp;"-"&amp;J912&amp;"-"&amp;K912&amp;"-"&amp;L912&amp;"-"&amp;M912</f>
        <v>X-2-f-0-13.5</v>
      </c>
      <c r="Q912">
        <f>A912+R912</f>
        <v>19615.743299000002</v>
      </c>
      <c r="R912">
        <f>_xlfn.IFNA(VLOOKUP(P912,PGOPHER!A$2:G$181,7,FALSE),_xlfn.IFNA(VLOOKUP(P912,en!A$2:I$768,7,FALSE),-10000))</f>
        <v>756.167869</v>
      </c>
      <c r="S912">
        <f>IF(O912=O911,Q911+S911,Q912)</f>
        <v>39231.491832</v>
      </c>
      <c r="T912">
        <f>IF(O912=O911,T911+1,1)</f>
        <v>2</v>
      </c>
      <c r="U912" t="str">
        <f>IF(O912=O913,"",S912/T912)</f>
        <v/>
      </c>
      <c r="V912" t="str">
        <f>IF(U912="","",IF(ABS(Q912-U912)&gt;V$1,"error",""))</f>
        <v/>
      </c>
    </row>
    <row r="913" spans="1:22" x14ac:dyDescent="0.55000000000000004">
      <c r="A913">
        <v>19051.478139999999</v>
      </c>
      <c r="B913" s="1">
        <v>5.0000000000000001E-3</v>
      </c>
      <c r="C913" s="1">
        <v>5.0000000000000001E-3</v>
      </c>
      <c r="D913" s="2" t="s">
        <v>680</v>
      </c>
      <c r="E913">
        <v>2</v>
      </c>
      <c r="F913" s="2" t="s">
        <v>1</v>
      </c>
      <c r="G913">
        <v>0</v>
      </c>
      <c r="H913">
        <v>12.5</v>
      </c>
      <c r="I913" s="2" t="s">
        <v>0</v>
      </c>
      <c r="J913">
        <v>1</v>
      </c>
      <c r="K913" s="2" t="s">
        <v>2</v>
      </c>
      <c r="L913">
        <v>0</v>
      </c>
      <c r="M913">
        <v>12.5</v>
      </c>
      <c r="N913" s="2" t="s">
        <v>822</v>
      </c>
      <c r="O913" t="str">
        <f>D913&amp;"-"&amp;E913&amp;"-"&amp;F913&amp;"-"&amp;G913&amp;"-"&amp;H913</f>
        <v>E-2-f-0-12.5</v>
      </c>
      <c r="P913" t="str">
        <f>I913&amp;"-"&amp;J913&amp;"-"&amp;K913&amp;"-"&amp;L913&amp;"-"&amp;M913</f>
        <v>X-1-e-0-12.5</v>
      </c>
      <c r="Q913">
        <f>A913+R913</f>
        <v>19615.742547999998</v>
      </c>
      <c r="R913">
        <f>_xlfn.IFNA(VLOOKUP(P913,PGOPHER!A$2:G$181,7,FALSE),_xlfn.IFNA(VLOOKUP(P913,en!A$2:I$768,7,FALSE),-10000))</f>
        <v>564.264408</v>
      </c>
      <c r="S913">
        <f>IF(O913=O912,Q912+S912,Q913)</f>
        <v>58847.235131000001</v>
      </c>
      <c r="T913">
        <f>IF(O913=O912,T912+1,1)</f>
        <v>3</v>
      </c>
      <c r="U913">
        <f>IF(O913=O914,"",S913/T913)</f>
        <v>19615.745043666666</v>
      </c>
      <c r="V913" t="str">
        <f>IF(U913="","",IF(ABS(Q913-U913)&gt;V$1,"error",""))</f>
        <v/>
      </c>
    </row>
    <row r="914" spans="1:22" x14ac:dyDescent="0.55000000000000004">
      <c r="A914">
        <v>19040.999830000001</v>
      </c>
      <c r="B914" s="1">
        <v>5.0000000000000001E-3</v>
      </c>
      <c r="C914" s="1">
        <v>5.0000000000000001E-3</v>
      </c>
      <c r="D914" s="2" t="s">
        <v>680</v>
      </c>
      <c r="E914">
        <v>2</v>
      </c>
      <c r="F914" s="2" t="s">
        <v>1</v>
      </c>
      <c r="G914">
        <v>1</v>
      </c>
      <c r="H914">
        <v>12.5</v>
      </c>
      <c r="I914" s="2" t="s">
        <v>0</v>
      </c>
      <c r="J914">
        <v>1</v>
      </c>
      <c r="K914" s="2" t="s">
        <v>2</v>
      </c>
      <c r="L914">
        <v>1</v>
      </c>
      <c r="M914">
        <v>12.5</v>
      </c>
      <c r="N914" s="2" t="s">
        <v>1070</v>
      </c>
      <c r="O914" t="str">
        <f>D914&amp;"-"&amp;E914&amp;"-"&amp;F914&amp;"-"&amp;G914&amp;"-"&amp;H914</f>
        <v>E-2-f-1-12.5</v>
      </c>
      <c r="P914" t="str">
        <f>I914&amp;"-"&amp;J914&amp;"-"&amp;K914&amp;"-"&amp;L914&amp;"-"&amp;M914</f>
        <v>X-1-e-1-12.5</v>
      </c>
      <c r="Q914">
        <f>A914+R914</f>
        <v>20765.527661</v>
      </c>
      <c r="R914">
        <f>_xlfn.IFNA(VLOOKUP(P914,PGOPHER!A$2:G$181,7,FALSE),_xlfn.IFNA(VLOOKUP(P914,en!A$2:I$768,7,FALSE),-10000))</f>
        <v>1724.5278310000001</v>
      </c>
      <c r="S914">
        <f>IF(O914=O913,Q913+S913,Q914)</f>
        <v>20765.527661</v>
      </c>
      <c r="T914">
        <f>IF(O914=O913,T913+1,1)</f>
        <v>1</v>
      </c>
      <c r="U914" t="str">
        <f>IF(O914=O915,"",S914/T914)</f>
        <v/>
      </c>
      <c r="V914" t="str">
        <f>IF(U914="","",IF(ABS(Q914-U914)&gt;V$1,"error",""))</f>
        <v/>
      </c>
    </row>
    <row r="915" spans="1:22" x14ac:dyDescent="0.55000000000000004">
      <c r="A915">
        <v>19042.454989999998</v>
      </c>
      <c r="B915" s="1">
        <v>5.5E-2</v>
      </c>
      <c r="C915" s="1">
        <v>5.5E-2</v>
      </c>
      <c r="D915" s="2" t="s">
        <v>680</v>
      </c>
      <c r="E915">
        <v>2</v>
      </c>
      <c r="F915" s="2" t="s">
        <v>1</v>
      </c>
      <c r="G915">
        <v>1</v>
      </c>
      <c r="H915">
        <v>12.5</v>
      </c>
      <c r="I915" s="2" t="s">
        <v>0</v>
      </c>
      <c r="J915">
        <v>2</v>
      </c>
      <c r="K915" s="2" t="s">
        <v>1</v>
      </c>
      <c r="L915">
        <v>1</v>
      </c>
      <c r="M915">
        <v>11.5</v>
      </c>
      <c r="N915" s="2" t="s">
        <v>1071</v>
      </c>
      <c r="O915" t="str">
        <f>D915&amp;"-"&amp;E915&amp;"-"&amp;F915&amp;"-"&amp;G915&amp;"-"&amp;H915</f>
        <v>E-2-f-1-12.5</v>
      </c>
      <c r="P915" t="str">
        <f>I915&amp;"-"&amp;J915&amp;"-"&amp;K915&amp;"-"&amp;L915&amp;"-"&amp;M915</f>
        <v>X-2-f-1-11.5</v>
      </c>
      <c r="Q915">
        <f>A915+R915</f>
        <v>20765.509280999999</v>
      </c>
      <c r="R915">
        <f>_xlfn.IFNA(VLOOKUP(P915,PGOPHER!A$2:G$181,7,FALSE),_xlfn.IFNA(VLOOKUP(P915,en!A$2:I$768,7,FALSE),-10000))</f>
        <v>1723.0542909999999</v>
      </c>
      <c r="S915">
        <f>IF(O915=O914,Q914+S914,Q915)</f>
        <v>41531.055322</v>
      </c>
      <c r="T915">
        <f>IF(O915=O914,T914+1,1)</f>
        <v>2</v>
      </c>
      <c r="U915" t="str">
        <f>IF(O915=O916,"",S915/T915)</f>
        <v/>
      </c>
      <c r="V915" t="str">
        <f>IF(U915="","",IF(ABS(Q915-U915)&gt;V$1,"error",""))</f>
        <v/>
      </c>
    </row>
    <row r="916" spans="1:22" x14ac:dyDescent="0.55000000000000004">
      <c r="A916">
        <v>18853.358250000001</v>
      </c>
      <c r="B916" s="1">
        <v>1.4999999999999999E-2</v>
      </c>
      <c r="C916" s="1">
        <v>1.4999999999999999E-2</v>
      </c>
      <c r="D916" s="2" t="s">
        <v>680</v>
      </c>
      <c r="E916">
        <v>2</v>
      </c>
      <c r="F916" s="2" t="s">
        <v>1</v>
      </c>
      <c r="G916">
        <v>1</v>
      </c>
      <c r="H916">
        <v>12.5</v>
      </c>
      <c r="I916" s="2" t="s">
        <v>0</v>
      </c>
      <c r="J916">
        <v>2</v>
      </c>
      <c r="K916" s="2" t="s">
        <v>1</v>
      </c>
      <c r="L916">
        <v>1</v>
      </c>
      <c r="M916">
        <v>13.5</v>
      </c>
      <c r="N916" s="2" t="s">
        <v>1072</v>
      </c>
      <c r="O916" t="str">
        <f>D916&amp;"-"&amp;E916&amp;"-"&amp;F916&amp;"-"&amp;G916&amp;"-"&amp;H916</f>
        <v>E-2-f-1-12.5</v>
      </c>
      <c r="P916" t="str">
        <f>I916&amp;"-"&amp;J916&amp;"-"&amp;K916&amp;"-"&amp;L916&amp;"-"&amp;M916</f>
        <v>X-2-f-1-13.5</v>
      </c>
      <c r="Q916">
        <f>A916+R916</f>
        <v>20765.516938000001</v>
      </c>
      <c r="R916">
        <f>_xlfn.IFNA(VLOOKUP(P916,PGOPHER!A$2:G$181,7,FALSE),_xlfn.IFNA(VLOOKUP(P916,en!A$2:I$768,7,FALSE),-10000))</f>
        <v>1912.158688</v>
      </c>
      <c r="S916">
        <f>IF(O916=O915,Q915+S915,Q916)</f>
        <v>62296.564602999999</v>
      </c>
      <c r="T916">
        <f>IF(O916=O915,T915+1,1)</f>
        <v>3</v>
      </c>
      <c r="U916">
        <f>IF(O916=O917,"",S916/T916)</f>
        <v>20765.521534333333</v>
      </c>
      <c r="V916" t="str">
        <f>IF(U916="","",IF(ABS(Q916-U916)&gt;V$1,"error",""))</f>
        <v/>
      </c>
    </row>
    <row r="917" spans="1:22" x14ac:dyDescent="0.55000000000000004">
      <c r="A917">
        <v>18810.980739999999</v>
      </c>
      <c r="B917" s="1">
        <v>5.5E-2</v>
      </c>
      <c r="C917" s="1">
        <v>5.5E-2</v>
      </c>
      <c r="D917" s="2" t="s">
        <v>680</v>
      </c>
      <c r="E917">
        <v>1</v>
      </c>
      <c r="F917" s="2" t="s">
        <v>2</v>
      </c>
      <c r="G917">
        <v>0</v>
      </c>
      <c r="H917">
        <v>13.5</v>
      </c>
      <c r="I917" s="2" t="s">
        <v>0</v>
      </c>
      <c r="J917">
        <v>2</v>
      </c>
      <c r="K917" s="2" t="s">
        <v>1</v>
      </c>
      <c r="L917">
        <v>0</v>
      </c>
      <c r="M917">
        <v>13.5</v>
      </c>
      <c r="N917" s="2" t="s">
        <v>824</v>
      </c>
      <c r="O917" t="str">
        <f>D917&amp;"-"&amp;E917&amp;"-"&amp;F917&amp;"-"&amp;G917&amp;"-"&amp;H917</f>
        <v>E-1-e-0-13.5</v>
      </c>
      <c r="P917" t="str">
        <f>I917&amp;"-"&amp;J917&amp;"-"&amp;K917&amp;"-"&amp;L917&amp;"-"&amp;M917</f>
        <v>X-2-f-0-13.5</v>
      </c>
      <c r="Q917">
        <f>A917+R917</f>
        <v>19567.148609</v>
      </c>
      <c r="R917">
        <f>_xlfn.IFNA(VLOOKUP(P917,PGOPHER!A$2:G$181,7,FALSE),_xlfn.IFNA(VLOOKUP(P917,en!A$2:I$768,7,FALSE),-10000))</f>
        <v>756.167869</v>
      </c>
      <c r="S917">
        <f>IF(O917=O916,Q916+S916,Q917)</f>
        <v>19567.148609</v>
      </c>
      <c r="T917">
        <f>IF(O917=O916,T916+1,1)</f>
        <v>1</v>
      </c>
      <c r="U917" t="str">
        <f>IF(O917=O918,"",S917/T917)</f>
        <v/>
      </c>
      <c r="V917" t="str">
        <f>IF(U917="","",IF(ABS(Q917-U917)&gt;V$1,"error",""))</f>
        <v/>
      </c>
    </row>
    <row r="918" spans="1:22" x14ac:dyDescent="0.55000000000000004">
      <c r="A918">
        <v>18809.21572</v>
      </c>
      <c r="B918" s="1">
        <v>5.5E-2</v>
      </c>
      <c r="C918" s="1">
        <v>5.5E-2</v>
      </c>
      <c r="D918" s="2" t="s">
        <v>680</v>
      </c>
      <c r="E918">
        <v>1</v>
      </c>
      <c r="F918" s="2" t="s">
        <v>2</v>
      </c>
      <c r="G918">
        <v>0</v>
      </c>
      <c r="H918">
        <v>13.5</v>
      </c>
      <c r="I918" s="2" t="s">
        <v>0</v>
      </c>
      <c r="J918">
        <v>1</v>
      </c>
      <c r="K918" s="2" t="s">
        <v>2</v>
      </c>
      <c r="L918">
        <v>0</v>
      </c>
      <c r="M918">
        <v>14.5</v>
      </c>
      <c r="N918" s="2" t="s">
        <v>823</v>
      </c>
      <c r="O918" t="str">
        <f>D918&amp;"-"&amp;E918&amp;"-"&amp;F918&amp;"-"&amp;G918&amp;"-"&amp;H918</f>
        <v>E-1-e-0-13.5</v>
      </c>
      <c r="P918" t="str">
        <f>I918&amp;"-"&amp;J918&amp;"-"&amp;K918&amp;"-"&amp;L918&amp;"-"&amp;M918</f>
        <v>X-1-e-0-14.5</v>
      </c>
      <c r="Q918">
        <f>A918+R918</f>
        <v>19567.144926000001</v>
      </c>
      <c r="R918">
        <f>_xlfn.IFNA(VLOOKUP(P918,PGOPHER!A$2:G$181,7,FALSE),_xlfn.IFNA(VLOOKUP(P918,en!A$2:I$768,7,FALSE),-10000))</f>
        <v>757.92920600000002</v>
      </c>
      <c r="S918">
        <f>IF(O918=O917,Q917+S917,Q918)</f>
        <v>39134.297218</v>
      </c>
      <c r="T918">
        <f>IF(O918=O917,T917+1,1)</f>
        <v>2</v>
      </c>
      <c r="U918">
        <f>IF(O918=O919,"",S918/T918)</f>
        <v>19567.148609</v>
      </c>
      <c r="V918" t="str">
        <f>IF(U918="","",IF(ABS(Q918-U918)&gt;V$1,"error",""))</f>
        <v/>
      </c>
    </row>
    <row r="919" spans="1:22" x14ac:dyDescent="0.55000000000000004">
      <c r="A919">
        <v>18988.892909999999</v>
      </c>
      <c r="B919" s="1">
        <v>5.2999999999999999E-2</v>
      </c>
      <c r="C919" s="1">
        <v>5.2999999999999999E-2</v>
      </c>
      <c r="D919" s="2" t="s">
        <v>680</v>
      </c>
      <c r="E919">
        <v>1</v>
      </c>
      <c r="F919" s="2" t="s">
        <v>2</v>
      </c>
      <c r="G919">
        <v>1</v>
      </c>
      <c r="H919">
        <v>13.5</v>
      </c>
      <c r="I919" s="2" t="s">
        <v>0</v>
      </c>
      <c r="J919">
        <v>1</v>
      </c>
      <c r="K919" s="2" t="s">
        <v>2</v>
      </c>
      <c r="L919">
        <v>1</v>
      </c>
      <c r="M919">
        <v>12.5</v>
      </c>
      <c r="N919" s="2" t="s">
        <v>1074</v>
      </c>
      <c r="O919" t="str">
        <f>D919&amp;"-"&amp;E919&amp;"-"&amp;F919&amp;"-"&amp;G919&amp;"-"&amp;H919</f>
        <v>E-1-e-1-13.5</v>
      </c>
      <c r="P919" t="str">
        <f>I919&amp;"-"&amp;J919&amp;"-"&amp;K919&amp;"-"&amp;L919&amp;"-"&amp;M919</f>
        <v>X-1-e-1-12.5</v>
      </c>
      <c r="Q919">
        <f>A919+R919</f>
        <v>20713.420740999998</v>
      </c>
      <c r="R919">
        <f>_xlfn.IFNA(VLOOKUP(P919,PGOPHER!A$2:G$181,7,FALSE),_xlfn.IFNA(VLOOKUP(P919,en!A$2:I$768,7,FALSE),-10000))</f>
        <v>1724.5278310000001</v>
      </c>
      <c r="S919">
        <f>IF(O919=O918,Q918+S918,Q919)</f>
        <v>20713.420740999998</v>
      </c>
      <c r="T919">
        <f>IF(O919=O918,T918+1,1)</f>
        <v>1</v>
      </c>
      <c r="U919" t="str">
        <f>IF(O919=O920,"",S919/T919)</f>
        <v/>
      </c>
      <c r="V919" t="str">
        <f>IF(U919="","",IF(ABS(Q919-U919)&gt;V$1,"error",""))</f>
        <v/>
      </c>
    </row>
    <row r="920" spans="1:22" x14ac:dyDescent="0.55000000000000004">
      <c r="A920">
        <v>18799.561369999999</v>
      </c>
      <c r="B920" s="1">
        <v>5.0000000000000001E-3</v>
      </c>
      <c r="C920" s="1">
        <v>5.0000000000000001E-3</v>
      </c>
      <c r="D920" s="2" t="s">
        <v>680</v>
      </c>
      <c r="E920">
        <v>1</v>
      </c>
      <c r="F920" s="2" t="s">
        <v>2</v>
      </c>
      <c r="G920">
        <v>1</v>
      </c>
      <c r="H920">
        <v>13.5</v>
      </c>
      <c r="I920" s="2" t="s">
        <v>0</v>
      </c>
      <c r="J920">
        <v>1</v>
      </c>
      <c r="K920" s="2" t="s">
        <v>2</v>
      </c>
      <c r="L920">
        <v>1</v>
      </c>
      <c r="M920">
        <v>14.5</v>
      </c>
      <c r="N920" s="2" t="s">
        <v>1073</v>
      </c>
      <c r="O920" t="str">
        <f>D920&amp;"-"&amp;E920&amp;"-"&amp;F920&amp;"-"&amp;G920&amp;"-"&amp;H920</f>
        <v>E-1-e-1-13.5</v>
      </c>
      <c r="P920" t="str">
        <f>I920&amp;"-"&amp;J920&amp;"-"&amp;K920&amp;"-"&amp;L920&amp;"-"&amp;M920</f>
        <v>X-1-e-1-14.5</v>
      </c>
      <c r="Q920">
        <f>A920+R920</f>
        <v>20713.420814000001</v>
      </c>
      <c r="R920">
        <f>_xlfn.IFNA(VLOOKUP(P920,PGOPHER!A$2:G$181,7,FALSE),_xlfn.IFNA(VLOOKUP(P920,en!A$2:I$768,7,FALSE),-10000))</f>
        <v>1913.8594439999999</v>
      </c>
      <c r="S920">
        <f>IF(O920=O919,Q919+S919,Q920)</f>
        <v>41426.841481999996</v>
      </c>
      <c r="T920">
        <f>IF(O920=O919,T919+1,1)</f>
        <v>2</v>
      </c>
      <c r="U920">
        <f>IF(O920=O921,"",S920/T920)</f>
        <v>20713.420740999998</v>
      </c>
      <c r="V920" t="str">
        <f>IF(U920="","",IF(ABS(Q920-U920)&gt;V$1,"error",""))</f>
        <v/>
      </c>
    </row>
    <row r="921" spans="1:22" x14ac:dyDescent="0.55000000000000004">
      <c r="A921">
        <v>18703.7336</v>
      </c>
      <c r="B921" s="1">
        <v>5.5E-2</v>
      </c>
      <c r="C921" s="1">
        <v>5.5E-2</v>
      </c>
      <c r="D921" s="2" t="s">
        <v>680</v>
      </c>
      <c r="E921">
        <v>1</v>
      </c>
      <c r="F921" s="2" t="s">
        <v>1</v>
      </c>
      <c r="G921">
        <v>0</v>
      </c>
      <c r="H921">
        <v>13.5</v>
      </c>
      <c r="I921" s="2" t="s">
        <v>0</v>
      </c>
      <c r="J921">
        <v>2</v>
      </c>
      <c r="K921" s="2" t="s">
        <v>1</v>
      </c>
      <c r="L921">
        <v>0</v>
      </c>
      <c r="M921">
        <v>14.5</v>
      </c>
      <c r="N921" s="2" t="s">
        <v>825</v>
      </c>
      <c r="O921" t="str">
        <f>D921&amp;"-"&amp;E921&amp;"-"&amp;F921&amp;"-"&amp;G921&amp;"-"&amp;H921</f>
        <v>E-1-f-0-13.5</v>
      </c>
      <c r="P921" t="str">
        <f>I921&amp;"-"&amp;J921&amp;"-"&amp;K921&amp;"-"&amp;L921&amp;"-"&amp;M921</f>
        <v>X-2-f-0-14.5</v>
      </c>
      <c r="Q921">
        <f>A921+R921</f>
        <v>19567.036605000001</v>
      </c>
      <c r="R921">
        <f>_xlfn.IFNA(VLOOKUP(P921,PGOPHER!A$2:G$181,7,FALSE),_xlfn.IFNA(VLOOKUP(P921,en!A$2:I$768,7,FALSE),-10000))</f>
        <v>863.30300499999998</v>
      </c>
      <c r="S921">
        <f>IF(O921=O920,Q920+S920,Q921)</f>
        <v>19567.036605000001</v>
      </c>
      <c r="T921">
        <f>IF(O921=O920,T920+1,1)</f>
        <v>1</v>
      </c>
      <c r="U921" t="str">
        <f>IF(O921=O922,"",S921/T921)</f>
        <v/>
      </c>
      <c r="V921" t="str">
        <f>IF(U921="","",IF(ABS(Q921-U921)&gt;V$1,"error",""))</f>
        <v/>
      </c>
    </row>
    <row r="922" spans="1:22" x14ac:dyDescent="0.55000000000000004">
      <c r="A922">
        <v>18911.06727</v>
      </c>
      <c r="B922" s="1">
        <v>5.5E-2</v>
      </c>
      <c r="C922" s="1">
        <v>5.5E-2</v>
      </c>
      <c r="D922" s="2" t="s">
        <v>680</v>
      </c>
      <c r="E922">
        <v>1</v>
      </c>
      <c r="F922" s="2" t="s">
        <v>1</v>
      </c>
      <c r="G922">
        <v>0</v>
      </c>
      <c r="H922">
        <v>13.5</v>
      </c>
      <c r="I922" s="2" t="s">
        <v>0</v>
      </c>
      <c r="J922">
        <v>2</v>
      </c>
      <c r="K922" s="2" t="s">
        <v>1</v>
      </c>
      <c r="L922">
        <v>0</v>
      </c>
      <c r="M922">
        <v>12.5</v>
      </c>
      <c r="N922" s="2" t="s">
        <v>826</v>
      </c>
      <c r="O922" t="str">
        <f>D922&amp;"-"&amp;E922&amp;"-"&amp;F922&amp;"-"&amp;G922&amp;"-"&amp;H922</f>
        <v>E-1-f-0-13.5</v>
      </c>
      <c r="P922" t="str">
        <f>I922&amp;"-"&amp;J922&amp;"-"&amp;K922&amp;"-"&amp;L922&amp;"-"&amp;M922</f>
        <v>X-2-f-0-12.5</v>
      </c>
      <c r="Q922">
        <f>A922+R922</f>
        <v>19567.035368000001</v>
      </c>
      <c r="R922">
        <f>_xlfn.IFNA(VLOOKUP(P922,PGOPHER!A$2:G$181,7,FALSE),_xlfn.IFNA(VLOOKUP(P922,en!A$2:I$768,7,FALSE),-10000))</f>
        <v>655.96809800000005</v>
      </c>
      <c r="S922">
        <f>IF(O922=O921,Q921+S921,Q922)</f>
        <v>39134.073210000002</v>
      </c>
      <c r="T922">
        <f>IF(O922=O921,T921+1,1)</f>
        <v>2</v>
      </c>
      <c r="U922" t="str">
        <f>IF(O922=O923,"",S922/T922)</f>
        <v/>
      </c>
      <c r="V922" t="str">
        <f>IF(U922="","",IF(ABS(Q922-U922)&gt;V$1,"error",""))</f>
        <v/>
      </c>
    </row>
    <row r="923" spans="1:22" x14ac:dyDescent="0.55000000000000004">
      <c r="A923">
        <v>18909.424770000001</v>
      </c>
      <c r="B923" s="1">
        <v>5.5E-2</v>
      </c>
      <c r="C923" s="1">
        <v>5.5E-2</v>
      </c>
      <c r="D923" s="2" t="s">
        <v>680</v>
      </c>
      <c r="E923">
        <v>1</v>
      </c>
      <c r="F923" s="2" t="s">
        <v>1</v>
      </c>
      <c r="G923">
        <v>0</v>
      </c>
      <c r="H923">
        <v>13.5</v>
      </c>
      <c r="I923" s="2" t="s">
        <v>0</v>
      </c>
      <c r="J923">
        <v>1</v>
      </c>
      <c r="K923" s="2" t="s">
        <v>2</v>
      </c>
      <c r="L923">
        <v>0</v>
      </c>
      <c r="M923">
        <v>13.5</v>
      </c>
      <c r="N923" s="2" t="s">
        <v>827</v>
      </c>
      <c r="O923" t="str">
        <f>D923&amp;"-"&amp;E923&amp;"-"&amp;F923&amp;"-"&amp;G923&amp;"-"&amp;H923</f>
        <v>E-1-f-0-13.5</v>
      </c>
      <c r="P923" t="str">
        <f>I923&amp;"-"&amp;J923&amp;"-"&amp;K923&amp;"-"&amp;L923&amp;"-"&amp;M923</f>
        <v>X-1-e-0-13.5</v>
      </c>
      <c r="Q923">
        <f>A923+R923</f>
        <v>19567.035492000003</v>
      </c>
      <c r="R923">
        <f>_xlfn.IFNA(VLOOKUP(P923,PGOPHER!A$2:G$181,7,FALSE),_xlfn.IFNA(VLOOKUP(P923,en!A$2:I$768,7,FALSE),-10000))</f>
        <v>657.61072200000001</v>
      </c>
      <c r="S923">
        <f>IF(O923=O922,Q922+S922,Q923)</f>
        <v>58701.108577999999</v>
      </c>
      <c r="T923">
        <f>IF(O923=O922,T922+1,1)</f>
        <v>3</v>
      </c>
      <c r="U923">
        <f>IF(O923=O924,"",S923/T923)</f>
        <v>19567.036192666666</v>
      </c>
      <c r="V923" t="str">
        <f>IF(U923="","",IF(ABS(Q923-U923)&gt;V$1,"error",""))</f>
        <v/>
      </c>
    </row>
    <row r="924" spans="1:22" x14ac:dyDescent="0.55000000000000004">
      <c r="A924">
        <v>18897.80314</v>
      </c>
      <c r="B924" s="1">
        <v>0.40500000000000003</v>
      </c>
      <c r="C924" s="1">
        <v>0.40500000000000003</v>
      </c>
      <c r="D924" s="2" t="s">
        <v>680</v>
      </c>
      <c r="E924">
        <v>1</v>
      </c>
      <c r="F924" s="2" t="s">
        <v>1</v>
      </c>
      <c r="G924">
        <v>1</v>
      </c>
      <c r="H924">
        <v>13.5</v>
      </c>
      <c r="I924" s="2" t="s">
        <v>0</v>
      </c>
      <c r="J924">
        <v>1</v>
      </c>
      <c r="K924" s="2" t="s">
        <v>2</v>
      </c>
      <c r="L924">
        <v>1</v>
      </c>
      <c r="M924">
        <v>13.5</v>
      </c>
      <c r="N924" s="2" t="s">
        <v>1075</v>
      </c>
      <c r="O924" t="str">
        <f>D924&amp;"-"&amp;E924&amp;"-"&amp;F924&amp;"-"&amp;G924&amp;"-"&amp;H924</f>
        <v>E-1-f-1-13.5</v>
      </c>
      <c r="P924" t="str">
        <f>I924&amp;"-"&amp;J924&amp;"-"&amp;K924&amp;"-"&amp;L924&amp;"-"&amp;M924</f>
        <v>X-1-e-1-13.5</v>
      </c>
      <c r="Q924">
        <f>A924+R924</f>
        <v>20713.589315000001</v>
      </c>
      <c r="R924">
        <f>_xlfn.IFNA(VLOOKUP(P924,PGOPHER!A$2:G$181,7,FALSE),_xlfn.IFNA(VLOOKUP(P924,en!A$2:I$768,7,FALSE),-10000))</f>
        <v>1815.786175</v>
      </c>
      <c r="S924">
        <f>IF(O924=O923,Q923+S923,Q924)</f>
        <v>20713.589315000001</v>
      </c>
      <c r="T924">
        <f>IF(O924=O923,T923+1,1)</f>
        <v>1</v>
      </c>
      <c r="U924">
        <f>IF(O924=O925,"",S924/T924)</f>
        <v>20713.589315000001</v>
      </c>
      <c r="V924" t="str">
        <f>IF(U924="","",IF(ABS(Q924-U924)&gt;V$1,"error",""))</f>
        <v/>
      </c>
    </row>
    <row r="925" spans="1:22" x14ac:dyDescent="0.55000000000000004">
      <c r="A925">
        <v>18960.933560000001</v>
      </c>
      <c r="B925" s="1">
        <v>5.0000000000000001E-3</v>
      </c>
      <c r="C925" s="1">
        <v>5.0000000000000001E-3</v>
      </c>
      <c r="D925" s="2" t="s">
        <v>680</v>
      </c>
      <c r="E925">
        <v>2</v>
      </c>
      <c r="F925" s="2" t="s">
        <v>2</v>
      </c>
      <c r="G925">
        <v>0</v>
      </c>
      <c r="H925">
        <v>13.5</v>
      </c>
      <c r="I925" s="2" t="s">
        <v>0</v>
      </c>
      <c r="J925">
        <v>2</v>
      </c>
      <c r="K925" s="2" t="s">
        <v>1</v>
      </c>
      <c r="L925">
        <v>0</v>
      </c>
      <c r="M925">
        <v>13.5</v>
      </c>
      <c r="N925" s="2" t="s">
        <v>829</v>
      </c>
      <c r="O925" t="str">
        <f>D925&amp;"-"&amp;E925&amp;"-"&amp;F925&amp;"-"&amp;G925&amp;"-"&amp;H925</f>
        <v>E-2-e-0-13.5</v>
      </c>
      <c r="P925" t="str">
        <f>I925&amp;"-"&amp;J925&amp;"-"&amp;K925&amp;"-"&amp;L925&amp;"-"&amp;M925</f>
        <v>X-2-f-0-13.5</v>
      </c>
      <c r="Q925">
        <f>A925+R925</f>
        <v>19717.101429000002</v>
      </c>
      <c r="R925">
        <f>_xlfn.IFNA(VLOOKUP(P925,PGOPHER!A$2:G$181,7,FALSE),_xlfn.IFNA(VLOOKUP(P925,en!A$2:I$768,7,FALSE),-10000))</f>
        <v>756.167869</v>
      </c>
      <c r="S925">
        <f>IF(O925=O924,Q924+S924,Q925)</f>
        <v>19717.101429000002</v>
      </c>
      <c r="T925">
        <f>IF(O925=O924,T924+1,1)</f>
        <v>1</v>
      </c>
      <c r="U925" t="str">
        <f>IF(O925=O926,"",S925/T925)</f>
        <v/>
      </c>
      <c r="V925" t="str">
        <f>IF(U925="","",IF(ABS(Q925-U925)&gt;V$1,"error",""))</f>
        <v/>
      </c>
    </row>
    <row r="926" spans="1:22" x14ac:dyDescent="0.55000000000000004">
      <c r="A926">
        <v>19152.839179999999</v>
      </c>
      <c r="B926" s="1">
        <v>5.0000000000000001E-3</v>
      </c>
      <c r="C926" s="1">
        <v>5.0000000000000001E-3</v>
      </c>
      <c r="D926" s="2" t="s">
        <v>680</v>
      </c>
      <c r="E926">
        <v>2</v>
      </c>
      <c r="F926" s="2" t="s">
        <v>2</v>
      </c>
      <c r="G926">
        <v>0</v>
      </c>
      <c r="H926">
        <v>13.5</v>
      </c>
      <c r="I926" s="2" t="s">
        <v>0</v>
      </c>
      <c r="J926">
        <v>1</v>
      </c>
      <c r="K926" s="2" t="s">
        <v>2</v>
      </c>
      <c r="L926">
        <v>0</v>
      </c>
      <c r="M926">
        <v>12.5</v>
      </c>
      <c r="N926" s="2" t="s">
        <v>828</v>
      </c>
      <c r="O926" t="str">
        <f>D926&amp;"-"&amp;E926&amp;"-"&amp;F926&amp;"-"&amp;G926&amp;"-"&amp;H926</f>
        <v>E-2-e-0-13.5</v>
      </c>
      <c r="P926" t="str">
        <f>I926&amp;"-"&amp;J926&amp;"-"&amp;K926&amp;"-"&amp;L926&amp;"-"&amp;M926</f>
        <v>X-1-e-0-12.5</v>
      </c>
      <c r="Q926">
        <f>A926+R926</f>
        <v>19717.103587999998</v>
      </c>
      <c r="R926">
        <f>_xlfn.IFNA(VLOOKUP(P926,PGOPHER!A$2:G$181,7,FALSE),_xlfn.IFNA(VLOOKUP(P926,en!A$2:I$768,7,FALSE),-10000))</f>
        <v>564.264408</v>
      </c>
      <c r="S926">
        <f>IF(O926=O925,Q925+S925,Q926)</f>
        <v>39434.202858000004</v>
      </c>
      <c r="T926">
        <f>IF(O926=O925,T925+1,1)</f>
        <v>2</v>
      </c>
      <c r="U926">
        <f>IF(O926=O927,"",S926/T926)</f>
        <v>19717.101429000002</v>
      </c>
      <c r="V926" t="str">
        <f>IF(U926="","",IF(ABS(Q926-U926)&gt;V$1,"error",""))</f>
        <v/>
      </c>
    </row>
    <row r="927" spans="1:22" x14ac:dyDescent="0.55000000000000004">
      <c r="A927">
        <v>18952.11203</v>
      </c>
      <c r="B927" s="1">
        <v>1.4999999999999999E-2</v>
      </c>
      <c r="C927" s="1">
        <v>1.4999999999999999E-2</v>
      </c>
      <c r="D927" s="2" t="s">
        <v>680</v>
      </c>
      <c r="E927">
        <v>2</v>
      </c>
      <c r="F927" s="2" t="s">
        <v>2</v>
      </c>
      <c r="G927">
        <v>1</v>
      </c>
      <c r="H927">
        <v>13.5</v>
      </c>
      <c r="I927" s="2" t="s">
        <v>0</v>
      </c>
      <c r="J927">
        <v>2</v>
      </c>
      <c r="K927" s="2" t="s">
        <v>1</v>
      </c>
      <c r="L927">
        <v>1</v>
      </c>
      <c r="M927">
        <v>13.5</v>
      </c>
      <c r="N927" s="2" t="s">
        <v>1077</v>
      </c>
      <c r="O927" t="str">
        <f>D927&amp;"-"&amp;E927&amp;"-"&amp;F927&amp;"-"&amp;G927&amp;"-"&amp;H927</f>
        <v>E-2-e-1-13.5</v>
      </c>
      <c r="P927" t="str">
        <f>I927&amp;"-"&amp;J927&amp;"-"&amp;K927&amp;"-"&amp;L927&amp;"-"&amp;M927</f>
        <v>X-2-f-1-13.5</v>
      </c>
      <c r="Q927">
        <f>A927+R927</f>
        <v>20864.270718</v>
      </c>
      <c r="R927">
        <f>_xlfn.IFNA(VLOOKUP(P927,PGOPHER!A$2:G$181,7,FALSE),_xlfn.IFNA(VLOOKUP(P927,en!A$2:I$768,7,FALSE),-10000))</f>
        <v>1912.158688</v>
      </c>
      <c r="S927">
        <f>IF(O927=O926,Q926+S926,Q927)</f>
        <v>20864.270718</v>
      </c>
      <c r="T927">
        <f>IF(O927=O926,T926+1,1)</f>
        <v>1</v>
      </c>
      <c r="U927" t="str">
        <f>IF(O927=O928,"",S927/T927)</f>
        <v/>
      </c>
      <c r="V927" t="str">
        <f>IF(U927="","",IF(ABS(Q927-U927)&gt;V$1,"error",""))</f>
        <v/>
      </c>
    </row>
    <row r="928" spans="1:22" x14ac:dyDescent="0.55000000000000004">
      <c r="A928">
        <v>19139.737959999999</v>
      </c>
      <c r="B928" s="1">
        <v>0.01</v>
      </c>
      <c r="C928" s="1">
        <v>0.01</v>
      </c>
      <c r="D928" s="2" t="s">
        <v>680</v>
      </c>
      <c r="E928">
        <v>2</v>
      </c>
      <c r="F928" s="2" t="s">
        <v>2</v>
      </c>
      <c r="G928">
        <v>1</v>
      </c>
      <c r="H928">
        <v>13.5</v>
      </c>
      <c r="I928" s="2" t="s">
        <v>0</v>
      </c>
      <c r="J928">
        <v>1</v>
      </c>
      <c r="K928" s="2" t="s">
        <v>2</v>
      </c>
      <c r="L928">
        <v>1</v>
      </c>
      <c r="M928">
        <v>12.5</v>
      </c>
      <c r="N928" s="2" t="s">
        <v>1076</v>
      </c>
      <c r="O928" t="str">
        <f>D928&amp;"-"&amp;E928&amp;"-"&amp;F928&amp;"-"&amp;G928&amp;"-"&amp;H928</f>
        <v>E-2-e-1-13.5</v>
      </c>
      <c r="P928" t="str">
        <f>I928&amp;"-"&amp;J928&amp;"-"&amp;K928&amp;"-"&amp;L928&amp;"-"&amp;M928</f>
        <v>X-1-e-1-12.5</v>
      </c>
      <c r="Q928">
        <f>A928+R928</f>
        <v>20864.265790999998</v>
      </c>
      <c r="R928">
        <f>_xlfn.IFNA(VLOOKUP(P928,PGOPHER!A$2:G$181,7,FALSE),_xlfn.IFNA(VLOOKUP(P928,en!A$2:I$768,7,FALSE),-10000))</f>
        <v>1724.5278310000001</v>
      </c>
      <c r="S928">
        <f>IF(O928=O927,Q927+S927,Q928)</f>
        <v>41728.541436</v>
      </c>
      <c r="T928">
        <f>IF(O928=O927,T927+1,1)</f>
        <v>2</v>
      </c>
      <c r="U928">
        <f>IF(O928=O929,"",S928/T928)</f>
        <v>20864.270718</v>
      </c>
      <c r="V928" t="str">
        <f>IF(U928="","",IF(ABS(Q928-U928)&gt;V$1,"error",""))</f>
        <v/>
      </c>
    </row>
    <row r="929" spans="1:22" x14ac:dyDescent="0.55000000000000004">
      <c r="A929">
        <v>19062.44627</v>
      </c>
      <c r="B929" s="1">
        <v>5.0000000000000001E-3</v>
      </c>
      <c r="C929" s="1">
        <v>5.0000000000000001E-3</v>
      </c>
      <c r="D929" s="2" t="s">
        <v>680</v>
      </c>
      <c r="E929">
        <v>2</v>
      </c>
      <c r="F929" s="2" t="s">
        <v>1</v>
      </c>
      <c r="G929">
        <v>0</v>
      </c>
      <c r="H929">
        <v>13.5</v>
      </c>
      <c r="I929" s="2" t="s">
        <v>0</v>
      </c>
      <c r="J929">
        <v>2</v>
      </c>
      <c r="K929" s="2" t="s">
        <v>1</v>
      </c>
      <c r="L929">
        <v>0</v>
      </c>
      <c r="M929">
        <v>12.5</v>
      </c>
      <c r="N929" s="2" t="s">
        <v>830</v>
      </c>
      <c r="O929" t="str">
        <f>D929&amp;"-"&amp;E929&amp;"-"&amp;F929&amp;"-"&amp;G929&amp;"-"&amp;H929</f>
        <v>E-2-f-0-13.5</v>
      </c>
      <c r="P929" t="str">
        <f>I929&amp;"-"&amp;J929&amp;"-"&amp;K929&amp;"-"&amp;L929&amp;"-"&amp;M929</f>
        <v>X-2-f-0-12.5</v>
      </c>
      <c r="Q929">
        <f>A929+R929</f>
        <v>19718.414368000002</v>
      </c>
      <c r="R929">
        <f>_xlfn.IFNA(VLOOKUP(P929,PGOPHER!A$2:G$181,7,FALSE),_xlfn.IFNA(VLOOKUP(P929,en!A$2:I$768,7,FALSE),-10000))</f>
        <v>655.96809800000005</v>
      </c>
      <c r="S929">
        <f>IF(O929=O928,Q928+S928,Q929)</f>
        <v>19718.414368000002</v>
      </c>
      <c r="T929">
        <f>IF(O929=O928,T928+1,1)</f>
        <v>1</v>
      </c>
      <c r="U929" t="str">
        <f>IF(O929=O930,"",S929/T929)</f>
        <v/>
      </c>
      <c r="V929" t="str">
        <f>IF(U929="","",IF(ABS(Q929-U929)&gt;V$1,"error",""))</f>
        <v/>
      </c>
    </row>
    <row r="930" spans="1:22" x14ac:dyDescent="0.55000000000000004">
      <c r="A930">
        <v>18855.10658</v>
      </c>
      <c r="B930" s="1">
        <v>5.0000000000000001E-3</v>
      </c>
      <c r="C930" s="1">
        <v>5.0000000000000001E-3</v>
      </c>
      <c r="D930" s="2" t="s">
        <v>680</v>
      </c>
      <c r="E930">
        <v>2</v>
      </c>
      <c r="F930" s="2" t="s">
        <v>1</v>
      </c>
      <c r="G930">
        <v>0</v>
      </c>
      <c r="H930">
        <v>13.5</v>
      </c>
      <c r="I930" s="2" t="s">
        <v>0</v>
      </c>
      <c r="J930">
        <v>2</v>
      </c>
      <c r="K930" s="2" t="s">
        <v>1</v>
      </c>
      <c r="L930">
        <v>0</v>
      </c>
      <c r="M930">
        <v>14.5</v>
      </c>
      <c r="N930" s="2" t="s">
        <v>831</v>
      </c>
      <c r="O930" t="str">
        <f>D930&amp;"-"&amp;E930&amp;"-"&amp;F930&amp;"-"&amp;G930&amp;"-"&amp;H930</f>
        <v>E-2-f-0-13.5</v>
      </c>
      <c r="P930" t="str">
        <f>I930&amp;"-"&amp;J930&amp;"-"&amp;K930&amp;"-"&amp;L930&amp;"-"&amp;M930</f>
        <v>X-2-f-0-14.5</v>
      </c>
      <c r="Q930">
        <f>A930+R930</f>
        <v>19718.409585000001</v>
      </c>
      <c r="R930">
        <f>_xlfn.IFNA(VLOOKUP(P930,PGOPHER!A$2:G$181,7,FALSE),_xlfn.IFNA(VLOOKUP(P930,en!A$2:I$768,7,FALSE),-10000))</f>
        <v>863.30300499999998</v>
      </c>
      <c r="S930">
        <f>IF(O930=O929,Q929+S929,Q930)</f>
        <v>39436.828736000003</v>
      </c>
      <c r="T930">
        <f>IF(O930=O929,T929+1,1)</f>
        <v>2</v>
      </c>
      <c r="U930" t="str">
        <f>IF(O930=O931,"",S930/T930)</f>
        <v/>
      </c>
      <c r="V930" t="str">
        <f>IF(U930="","",IF(ABS(Q930-U930)&gt;V$1,"error",""))</f>
        <v/>
      </c>
    </row>
    <row r="931" spans="1:22" x14ac:dyDescent="0.55000000000000004">
      <c r="A931">
        <v>19060.801810000001</v>
      </c>
      <c r="B931" s="1">
        <v>5.0000000000000001E-3</v>
      </c>
      <c r="C931" s="1">
        <v>5.0000000000000001E-3</v>
      </c>
      <c r="D931" s="2" t="s">
        <v>680</v>
      </c>
      <c r="E931">
        <v>2</v>
      </c>
      <c r="F931" s="2" t="s">
        <v>1</v>
      </c>
      <c r="G931">
        <v>0</v>
      </c>
      <c r="H931">
        <v>13.5</v>
      </c>
      <c r="I931" s="2" t="s">
        <v>0</v>
      </c>
      <c r="J931">
        <v>1</v>
      </c>
      <c r="K931" s="2" t="s">
        <v>2</v>
      </c>
      <c r="L931">
        <v>0</v>
      </c>
      <c r="M931">
        <v>13.5</v>
      </c>
      <c r="N931" s="2" t="s">
        <v>832</v>
      </c>
      <c r="O931" t="str">
        <f>D931&amp;"-"&amp;E931&amp;"-"&amp;F931&amp;"-"&amp;G931&amp;"-"&amp;H931</f>
        <v>E-2-f-0-13.5</v>
      </c>
      <c r="P931" t="str">
        <f>I931&amp;"-"&amp;J931&amp;"-"&amp;K931&amp;"-"&amp;L931&amp;"-"&amp;M931</f>
        <v>X-1-e-0-13.5</v>
      </c>
      <c r="Q931">
        <f>A931+R931</f>
        <v>19718.412532000002</v>
      </c>
      <c r="R931">
        <f>_xlfn.IFNA(VLOOKUP(P931,PGOPHER!A$2:G$181,7,FALSE),_xlfn.IFNA(VLOOKUP(P931,en!A$2:I$768,7,FALSE),-10000))</f>
        <v>657.61072200000001</v>
      </c>
      <c r="S931">
        <f>IF(O931=O930,Q930+S930,Q931)</f>
        <v>59155.238321000004</v>
      </c>
      <c r="T931">
        <f>IF(O931=O930,T930+1,1)</f>
        <v>3</v>
      </c>
      <c r="U931">
        <f>IF(O931=O932,"",S931/T931)</f>
        <v>19718.412773666667</v>
      </c>
      <c r="V931" t="str">
        <f>IF(U931="","",IF(ABS(Q931-U931)&gt;V$1,"error",""))</f>
        <v/>
      </c>
    </row>
    <row r="932" spans="1:22" x14ac:dyDescent="0.55000000000000004">
      <c r="A932">
        <v>19049.504219999999</v>
      </c>
      <c r="B932" s="1">
        <v>5.5E-2</v>
      </c>
      <c r="C932" s="1">
        <v>5.5E-2</v>
      </c>
      <c r="D932" s="2" t="s">
        <v>680</v>
      </c>
      <c r="E932">
        <v>2</v>
      </c>
      <c r="F932" s="2" t="s">
        <v>1</v>
      </c>
      <c r="G932">
        <v>1</v>
      </c>
      <c r="H932">
        <v>13.5</v>
      </c>
      <c r="I932" s="2" t="s">
        <v>0</v>
      </c>
      <c r="J932">
        <v>1</v>
      </c>
      <c r="K932" s="2" t="s">
        <v>2</v>
      </c>
      <c r="L932">
        <v>1</v>
      </c>
      <c r="M932">
        <v>13.5</v>
      </c>
      <c r="N932" s="2" t="s">
        <v>1078</v>
      </c>
      <c r="O932" t="str">
        <f>D932&amp;"-"&amp;E932&amp;"-"&amp;F932&amp;"-"&amp;G932&amp;"-"&amp;H932</f>
        <v>E-2-f-1-13.5</v>
      </c>
      <c r="P932" t="str">
        <f>I932&amp;"-"&amp;J932&amp;"-"&amp;K932&amp;"-"&amp;L932&amp;"-"&amp;M932</f>
        <v>X-1-e-1-13.5</v>
      </c>
      <c r="Q932">
        <f>A932+R932</f>
        <v>20865.290395</v>
      </c>
      <c r="R932">
        <f>_xlfn.IFNA(VLOOKUP(P932,PGOPHER!A$2:G$181,7,FALSE),_xlfn.IFNA(VLOOKUP(P932,en!A$2:I$768,7,FALSE),-10000))</f>
        <v>1815.786175</v>
      </c>
      <c r="S932">
        <f>IF(O932=O931,Q931+S931,Q932)</f>
        <v>20865.290395</v>
      </c>
      <c r="T932">
        <f>IF(O932=O931,T931+1,1)</f>
        <v>1</v>
      </c>
      <c r="U932" t="str">
        <f>IF(O932=O933,"",S932/T932)</f>
        <v/>
      </c>
      <c r="V932" t="str">
        <f>IF(U932="","",IF(ABS(Q932-U932)&gt;V$1,"error",""))</f>
        <v/>
      </c>
    </row>
    <row r="933" spans="1:22" x14ac:dyDescent="0.55000000000000004">
      <c r="A933">
        <v>19051.092049999999</v>
      </c>
      <c r="B933" s="1">
        <v>5.5E-2</v>
      </c>
      <c r="C933" s="1">
        <v>5.5E-2</v>
      </c>
      <c r="D933" s="2" t="s">
        <v>680</v>
      </c>
      <c r="E933">
        <v>2</v>
      </c>
      <c r="F933" s="2" t="s">
        <v>1</v>
      </c>
      <c r="G933">
        <v>1</v>
      </c>
      <c r="H933">
        <v>13.5</v>
      </c>
      <c r="I933" s="2" t="s">
        <v>0</v>
      </c>
      <c r="J933">
        <v>2</v>
      </c>
      <c r="K933" s="2" t="s">
        <v>1</v>
      </c>
      <c r="L933">
        <v>1</v>
      </c>
      <c r="M933">
        <v>12.5</v>
      </c>
      <c r="N933" s="2" t="s">
        <v>1079</v>
      </c>
      <c r="O933" t="str">
        <f>D933&amp;"-"&amp;E933&amp;"-"&amp;F933&amp;"-"&amp;G933&amp;"-"&amp;H933</f>
        <v>E-2-f-1-13.5</v>
      </c>
      <c r="P933" t="str">
        <f>I933&amp;"-"&amp;J933&amp;"-"&amp;K933&amp;"-"&amp;L933&amp;"-"&amp;M933</f>
        <v>X-2-f-1-12.5</v>
      </c>
      <c r="Q933">
        <f>A933+R933</f>
        <v>20865.289405</v>
      </c>
      <c r="R933">
        <f>_xlfn.IFNA(VLOOKUP(P933,PGOPHER!A$2:G$181,7,FALSE),_xlfn.IFNA(VLOOKUP(P933,en!A$2:I$768,7,FALSE),-10000))</f>
        <v>1814.197355</v>
      </c>
      <c r="S933">
        <f>IF(O933=O932,Q932+S932,Q933)</f>
        <v>41730.58079</v>
      </c>
      <c r="T933">
        <f>IF(O933=O932,T932+1,1)</f>
        <v>2</v>
      </c>
      <c r="U933" t="str">
        <f>IF(O933=O934,"",S933/T933)</f>
        <v/>
      </c>
      <c r="V933" t="str">
        <f>IF(U933="","",IF(ABS(Q933-U933)&gt;V$1,"error",""))</f>
        <v/>
      </c>
    </row>
    <row r="934" spans="1:22" x14ac:dyDescent="0.55000000000000004">
      <c r="A934">
        <v>18848.400399999999</v>
      </c>
      <c r="B934" s="1">
        <v>5.5E-2</v>
      </c>
      <c r="C934" s="1">
        <v>5.5E-2</v>
      </c>
      <c r="D934" s="2" t="s">
        <v>680</v>
      </c>
      <c r="E934">
        <v>2</v>
      </c>
      <c r="F934" s="2" t="s">
        <v>1</v>
      </c>
      <c r="G934">
        <v>1</v>
      </c>
      <c r="H934">
        <v>13.5</v>
      </c>
      <c r="I934" s="2" t="s">
        <v>0</v>
      </c>
      <c r="J934">
        <v>2</v>
      </c>
      <c r="K934" s="2" t="s">
        <v>1</v>
      </c>
      <c r="L934">
        <v>1</v>
      </c>
      <c r="M934">
        <v>14.5</v>
      </c>
      <c r="N934" s="2" t="s">
        <v>1080</v>
      </c>
      <c r="O934" t="str">
        <f>D934&amp;"-"&amp;E934&amp;"-"&amp;F934&amp;"-"&amp;G934&amp;"-"&amp;H934</f>
        <v>E-2-f-1-13.5</v>
      </c>
      <c r="P934" t="str">
        <f>I934&amp;"-"&amp;J934&amp;"-"&amp;K934&amp;"-"&amp;L934&amp;"-"&amp;M934</f>
        <v>X-2-f-1-14.5</v>
      </c>
      <c r="Q934">
        <f>A934+R934</f>
        <v>20865.286237999997</v>
      </c>
      <c r="R934">
        <f>_xlfn.IFNA(VLOOKUP(P934,PGOPHER!A$2:G$181,7,FALSE),_xlfn.IFNA(VLOOKUP(P934,en!A$2:I$768,7,FALSE),-10000))</f>
        <v>2016.8858379999999</v>
      </c>
      <c r="S934">
        <f>IF(O934=O933,Q933+S933,Q934)</f>
        <v>62595.870194999996</v>
      </c>
      <c r="T934">
        <f>IF(O934=O933,T933+1,1)</f>
        <v>3</v>
      </c>
      <c r="U934">
        <f>IF(O934=O935,"",S934/T934)</f>
        <v>20865.290064999997</v>
      </c>
      <c r="V934" t="str">
        <f>IF(U934="","",IF(ABS(Q934-U934)&gt;V$1,"error",""))</f>
        <v/>
      </c>
    </row>
    <row r="935" spans="1:22" x14ac:dyDescent="0.55000000000000004">
      <c r="A935">
        <v>19013.791819999999</v>
      </c>
      <c r="B935" s="1">
        <v>5.5E-2</v>
      </c>
      <c r="C935" s="1">
        <v>5.5E-2</v>
      </c>
      <c r="D935" s="2" t="s">
        <v>680</v>
      </c>
      <c r="E935">
        <v>1</v>
      </c>
      <c r="F935" s="2" t="s">
        <v>2</v>
      </c>
      <c r="G935">
        <v>0</v>
      </c>
      <c r="H935">
        <v>14.5</v>
      </c>
      <c r="I935" s="2" t="s">
        <v>0</v>
      </c>
      <c r="J935">
        <v>1</v>
      </c>
      <c r="K935" s="2" t="s">
        <v>2</v>
      </c>
      <c r="L935">
        <v>0</v>
      </c>
      <c r="M935">
        <v>13.5</v>
      </c>
      <c r="N935" s="2" t="s">
        <v>833</v>
      </c>
      <c r="O935" t="str">
        <f>D935&amp;"-"&amp;E935&amp;"-"&amp;F935&amp;"-"&amp;G935&amp;"-"&amp;H935</f>
        <v>E-1-e-0-14.5</v>
      </c>
      <c r="P935" t="str">
        <f>I935&amp;"-"&amp;J935&amp;"-"&amp;K935&amp;"-"&amp;L935&amp;"-"&amp;M935</f>
        <v>X-1-e-0-13.5</v>
      </c>
      <c r="Q935">
        <f>A935+R935</f>
        <v>19671.402542</v>
      </c>
      <c r="R935">
        <f>_xlfn.IFNA(VLOOKUP(P935,PGOPHER!A$2:G$181,7,FALSE),_xlfn.IFNA(VLOOKUP(P935,en!A$2:I$768,7,FALSE),-10000))</f>
        <v>657.61072200000001</v>
      </c>
      <c r="S935">
        <f>IF(O935=O934,Q934+S934,Q935)</f>
        <v>19671.402542</v>
      </c>
      <c r="T935">
        <f>IF(O935=O934,T934+1,1)</f>
        <v>1</v>
      </c>
      <c r="U935" t="str">
        <f>IF(O935=O936,"",S935/T935)</f>
        <v/>
      </c>
      <c r="V935" t="str">
        <f>IF(U935="","",IF(ABS(Q935-U935)&gt;V$1,"error",""))</f>
        <v/>
      </c>
    </row>
    <row r="936" spans="1:22" x14ac:dyDescent="0.55000000000000004">
      <c r="A936">
        <v>18806.219789999999</v>
      </c>
      <c r="B936" s="1">
        <v>5.5E-2</v>
      </c>
      <c r="C936" s="1">
        <v>5.5E-2</v>
      </c>
      <c r="D936" s="2" t="s">
        <v>680</v>
      </c>
      <c r="E936">
        <v>1</v>
      </c>
      <c r="F936" s="2" t="s">
        <v>2</v>
      </c>
      <c r="G936">
        <v>0</v>
      </c>
      <c r="H936">
        <v>14.5</v>
      </c>
      <c r="I936" s="2" t="s">
        <v>0</v>
      </c>
      <c r="J936">
        <v>1</v>
      </c>
      <c r="K936" s="2" t="s">
        <v>2</v>
      </c>
      <c r="L936">
        <v>0</v>
      </c>
      <c r="M936">
        <v>15.5</v>
      </c>
      <c r="N936" s="2" t="s">
        <v>834</v>
      </c>
      <c r="O936" t="str">
        <f>D936&amp;"-"&amp;E936&amp;"-"&amp;F936&amp;"-"&amp;G936&amp;"-"&amp;H936</f>
        <v>E-1-e-0-14.5</v>
      </c>
      <c r="P936" t="str">
        <f>I936&amp;"-"&amp;J936&amp;"-"&amp;K936&amp;"-"&amp;L936&amp;"-"&amp;M936</f>
        <v>X-1-e-0-15.5</v>
      </c>
      <c r="Q936">
        <f>A936+R936</f>
        <v>19671.397449</v>
      </c>
      <c r="R936">
        <f>_xlfn.IFNA(VLOOKUP(P936,PGOPHER!A$2:G$181,7,FALSE),_xlfn.IFNA(VLOOKUP(P936,en!A$2:I$768,7,FALSE),-10000))</f>
        <v>865.17765899999995</v>
      </c>
      <c r="S936">
        <f>IF(O936=O935,Q935+S935,Q936)</f>
        <v>39342.805084</v>
      </c>
      <c r="T936">
        <f>IF(O936=O935,T935+1,1)</f>
        <v>2</v>
      </c>
      <c r="U936" t="str">
        <f>IF(O936=O937,"",S936/T936)</f>
        <v/>
      </c>
      <c r="V936" t="str">
        <f>IF(U936="","",IF(ABS(Q936-U936)&gt;V$1,"error",""))</f>
        <v/>
      </c>
    </row>
    <row r="937" spans="1:22" x14ac:dyDescent="0.55000000000000004">
      <c r="A937">
        <v>18808.09837</v>
      </c>
      <c r="B937" s="1">
        <v>2.5000000000000001E-2</v>
      </c>
      <c r="C937" s="1">
        <v>2.5000000000000001E-2</v>
      </c>
      <c r="D937" s="2" t="s">
        <v>680</v>
      </c>
      <c r="E937">
        <v>1</v>
      </c>
      <c r="F937" s="2" t="s">
        <v>2</v>
      </c>
      <c r="G937">
        <v>0</v>
      </c>
      <c r="H937">
        <v>14.5</v>
      </c>
      <c r="I937" s="2" t="s">
        <v>0</v>
      </c>
      <c r="J937">
        <v>2</v>
      </c>
      <c r="K937" s="2" t="s">
        <v>1</v>
      </c>
      <c r="L937">
        <v>0</v>
      </c>
      <c r="M937">
        <v>14.5</v>
      </c>
      <c r="N937" s="2" t="s">
        <v>835</v>
      </c>
      <c r="O937" t="str">
        <f>D937&amp;"-"&amp;E937&amp;"-"&amp;F937&amp;"-"&amp;G937&amp;"-"&amp;H937</f>
        <v>E-1-e-0-14.5</v>
      </c>
      <c r="P937" t="str">
        <f>I937&amp;"-"&amp;J937&amp;"-"&amp;K937&amp;"-"&amp;L937&amp;"-"&amp;M937</f>
        <v>X-2-f-0-14.5</v>
      </c>
      <c r="Q937">
        <f>A937+R937</f>
        <v>19671.401375000001</v>
      </c>
      <c r="R937">
        <f>_xlfn.IFNA(VLOOKUP(P937,PGOPHER!A$2:G$181,7,FALSE),_xlfn.IFNA(VLOOKUP(P937,en!A$2:I$768,7,FALSE),-10000))</f>
        <v>863.30300499999998</v>
      </c>
      <c r="S937">
        <f>IF(O937=O936,Q936+S936,Q937)</f>
        <v>59014.202533000003</v>
      </c>
      <c r="T937">
        <f>IF(O937=O936,T936+1,1)</f>
        <v>3</v>
      </c>
      <c r="U937">
        <f>IF(O937=O938,"",S937/T937)</f>
        <v>19671.400844333333</v>
      </c>
      <c r="V937" t="str">
        <f>IF(U937="","",IF(ABS(Q937-U937)&gt;V$1,"error",""))</f>
        <v/>
      </c>
    </row>
    <row r="938" spans="1:22" x14ac:dyDescent="0.55000000000000004">
      <c r="A938">
        <v>18999.157230000001</v>
      </c>
      <c r="B938" s="1">
        <v>5.0000000000000001E-3</v>
      </c>
      <c r="C938" s="1">
        <v>5.0000000000000001E-3</v>
      </c>
      <c r="D938" s="2" t="s">
        <v>680</v>
      </c>
      <c r="E938">
        <v>1</v>
      </c>
      <c r="F938" s="2" t="s">
        <v>2</v>
      </c>
      <c r="G938">
        <v>1</v>
      </c>
      <c r="H938">
        <v>14.5</v>
      </c>
      <c r="I938" s="2" t="s">
        <v>0</v>
      </c>
      <c r="J938">
        <v>1</v>
      </c>
      <c r="K938" s="2" t="s">
        <v>2</v>
      </c>
      <c r="L938">
        <v>1</v>
      </c>
      <c r="M938">
        <v>13.5</v>
      </c>
      <c r="N938" s="2" t="s">
        <v>1082</v>
      </c>
      <c r="O938" t="str">
        <f>D938&amp;"-"&amp;E938&amp;"-"&amp;F938&amp;"-"&amp;G938&amp;"-"&amp;H938</f>
        <v>E-1-e-1-14.5</v>
      </c>
      <c r="P938" t="str">
        <f>I938&amp;"-"&amp;J938&amp;"-"&amp;K938&amp;"-"&amp;L938&amp;"-"&amp;M938</f>
        <v>X-1-e-1-13.5</v>
      </c>
      <c r="Q938">
        <f>A938+R938</f>
        <v>20814.943405000002</v>
      </c>
      <c r="R938">
        <f>_xlfn.IFNA(VLOOKUP(P938,PGOPHER!A$2:G$181,7,FALSE),_xlfn.IFNA(VLOOKUP(P938,en!A$2:I$768,7,FALSE),-10000))</f>
        <v>1815.786175</v>
      </c>
      <c r="S938">
        <f>IF(O938=O937,Q937+S937,Q938)</f>
        <v>20814.943405000002</v>
      </c>
      <c r="T938">
        <f>IF(O938=O937,T937+1,1)</f>
        <v>1</v>
      </c>
      <c r="U938" t="str">
        <f>IF(O938=O939,"",S938/T938)</f>
        <v/>
      </c>
      <c r="V938" t="str">
        <f>IF(U938="","",IF(ABS(Q938-U938)&gt;V$1,"error",""))</f>
        <v/>
      </c>
    </row>
    <row r="939" spans="1:22" x14ac:dyDescent="0.55000000000000004">
      <c r="A939">
        <v>18796.26338</v>
      </c>
      <c r="B939" s="1">
        <v>2.2450000000000001E-2</v>
      </c>
      <c r="C939" s="1">
        <v>2.2450000000000001E-2</v>
      </c>
      <c r="D939" s="2" t="s">
        <v>680</v>
      </c>
      <c r="E939">
        <v>1</v>
      </c>
      <c r="F939" s="2" t="s">
        <v>2</v>
      </c>
      <c r="G939">
        <v>1</v>
      </c>
      <c r="H939">
        <v>14.5</v>
      </c>
      <c r="I939" s="2" t="s">
        <v>0</v>
      </c>
      <c r="J939">
        <v>1</v>
      </c>
      <c r="K939" s="2" t="s">
        <v>2</v>
      </c>
      <c r="L939">
        <v>1</v>
      </c>
      <c r="M939">
        <v>15.5</v>
      </c>
      <c r="N939" s="2" t="s">
        <v>1081</v>
      </c>
      <c r="O939" t="str">
        <f>D939&amp;"-"&amp;E939&amp;"-"&amp;F939&amp;"-"&amp;G939&amp;"-"&amp;H939</f>
        <v>E-1-e-1-14.5</v>
      </c>
      <c r="P939" t="str">
        <f>I939&amp;"-"&amp;J939&amp;"-"&amp;K939&amp;"-"&amp;L939&amp;"-"&amp;M939</f>
        <v>X-1-e-1-15.5</v>
      </c>
      <c r="Q939">
        <f>A939+R939</f>
        <v>20814.964312</v>
      </c>
      <c r="R939">
        <f>_xlfn.IFNA(VLOOKUP(P939,PGOPHER!A$2:G$181,7,FALSE),_xlfn.IFNA(VLOOKUP(P939,en!A$2:I$768,7,FALSE),-10000))</f>
        <v>2018.700932</v>
      </c>
      <c r="S939">
        <f>IF(O939=O938,Q938+S938,Q939)</f>
        <v>41629.886810000004</v>
      </c>
      <c r="T939">
        <f>IF(O939=O938,T938+1,1)</f>
        <v>2</v>
      </c>
      <c r="U939">
        <f>IF(O939=O940,"",S939/T939)</f>
        <v>20814.943405000002</v>
      </c>
      <c r="V939" t="str">
        <f>IF(U939="","",IF(ABS(Q939-U939)&gt;V$1,"error",""))</f>
        <v/>
      </c>
    </row>
    <row r="940" spans="1:22" x14ac:dyDescent="0.55000000000000004">
      <c r="A940">
        <v>18693.816159999998</v>
      </c>
      <c r="B940" s="1">
        <v>5.0000000000000001E-3</v>
      </c>
      <c r="C940" s="1">
        <v>5.0000000000000001E-3</v>
      </c>
      <c r="D940" s="2" t="s">
        <v>680</v>
      </c>
      <c r="E940">
        <v>1</v>
      </c>
      <c r="F940" s="2" t="s">
        <v>1</v>
      </c>
      <c r="G940">
        <v>0</v>
      </c>
      <c r="H940">
        <v>14.5</v>
      </c>
      <c r="I940" s="2" t="s">
        <v>0</v>
      </c>
      <c r="J940">
        <v>2</v>
      </c>
      <c r="K940" s="2" t="s">
        <v>1</v>
      </c>
      <c r="L940">
        <v>0</v>
      </c>
      <c r="M940">
        <v>15.5</v>
      </c>
      <c r="N940" s="2" t="s">
        <v>836</v>
      </c>
      <c r="O940" t="str">
        <f>D940&amp;"-"&amp;E940&amp;"-"&amp;F940&amp;"-"&amp;G940&amp;"-"&amp;H940</f>
        <v>E-1-f-0-14.5</v>
      </c>
      <c r="P940" t="str">
        <f>I940&amp;"-"&amp;J940&amp;"-"&amp;K940&amp;"-"&amp;L940&amp;"-"&amp;M940</f>
        <v>X-2-f-0-15.5</v>
      </c>
      <c r="Q940">
        <f>A940+R940</f>
        <v>19671.130266999997</v>
      </c>
      <c r="R940">
        <f>_xlfn.IFNA(VLOOKUP(P940,PGOPHER!A$2:G$181,7,FALSE),_xlfn.IFNA(VLOOKUP(P940,en!A$2:I$768,7,FALSE),-10000))</f>
        <v>977.31410700000004</v>
      </c>
      <c r="S940">
        <f>IF(O940=O939,Q939+S939,Q940)</f>
        <v>19671.130266999997</v>
      </c>
      <c r="T940">
        <f>IF(O940=O939,T939+1,1)</f>
        <v>1</v>
      </c>
      <c r="U940" t="str">
        <f>IF(O940=O941,"",S940/T940)</f>
        <v/>
      </c>
      <c r="V940" t="str">
        <f>IF(U940="","",IF(ABS(Q940-U940)&gt;V$1,"error",""))</f>
        <v/>
      </c>
    </row>
    <row r="941" spans="1:22" x14ac:dyDescent="0.55000000000000004">
      <c r="A941">
        <v>18914.96313</v>
      </c>
      <c r="B941" s="1">
        <v>5.0000000000000001E-3</v>
      </c>
      <c r="C941" s="1">
        <v>5.0000000000000001E-3</v>
      </c>
      <c r="D941" s="2" t="s">
        <v>680</v>
      </c>
      <c r="E941">
        <v>1</v>
      </c>
      <c r="F941" s="2" t="s">
        <v>1</v>
      </c>
      <c r="G941">
        <v>0</v>
      </c>
      <c r="H941">
        <v>14.5</v>
      </c>
      <c r="I941" s="2" t="s">
        <v>0</v>
      </c>
      <c r="J941">
        <v>2</v>
      </c>
      <c r="K941" s="2" t="s">
        <v>1</v>
      </c>
      <c r="L941">
        <v>0</v>
      </c>
      <c r="M941">
        <v>13.5</v>
      </c>
      <c r="N941" s="2" t="s">
        <v>837</v>
      </c>
      <c r="O941" t="str">
        <f>D941&amp;"-"&amp;E941&amp;"-"&amp;F941&amp;"-"&amp;G941&amp;"-"&amp;H941</f>
        <v>E-1-f-0-14.5</v>
      </c>
      <c r="P941" t="str">
        <f>I941&amp;"-"&amp;J941&amp;"-"&amp;K941&amp;"-"&amp;L941&amp;"-"&amp;M941</f>
        <v>X-2-f-0-13.5</v>
      </c>
      <c r="Q941">
        <f>A941+R941</f>
        <v>19671.130999000001</v>
      </c>
      <c r="R941">
        <f>_xlfn.IFNA(VLOOKUP(P941,PGOPHER!A$2:G$181,7,FALSE),_xlfn.IFNA(VLOOKUP(P941,en!A$2:I$768,7,FALSE),-10000))</f>
        <v>756.167869</v>
      </c>
      <c r="S941">
        <f>IF(O941=O940,Q940+S940,Q941)</f>
        <v>39342.260533999994</v>
      </c>
      <c r="T941">
        <f>IF(O941=O940,T940+1,1)</f>
        <v>2</v>
      </c>
      <c r="U941" t="str">
        <f>IF(O941=O942,"",S941/T941)</f>
        <v/>
      </c>
      <c r="V941" t="str">
        <f>IF(U941="","",IF(ABS(Q941-U941)&gt;V$1,"error",""))</f>
        <v/>
      </c>
    </row>
    <row r="942" spans="1:22" x14ac:dyDescent="0.55000000000000004">
      <c r="A942">
        <v>18913.201150000001</v>
      </c>
      <c r="B942" s="1">
        <v>5.0000000000000001E-3</v>
      </c>
      <c r="C942" s="1">
        <v>5.0000000000000001E-3</v>
      </c>
      <c r="D942" s="2" t="s">
        <v>680</v>
      </c>
      <c r="E942">
        <v>1</v>
      </c>
      <c r="F942" s="2" t="s">
        <v>1</v>
      </c>
      <c r="G942">
        <v>0</v>
      </c>
      <c r="H942">
        <v>14.5</v>
      </c>
      <c r="I942" s="2" t="s">
        <v>0</v>
      </c>
      <c r="J942">
        <v>1</v>
      </c>
      <c r="K942" s="2" t="s">
        <v>2</v>
      </c>
      <c r="L942">
        <v>0</v>
      </c>
      <c r="M942">
        <v>14.5</v>
      </c>
      <c r="N942" s="2" t="s">
        <v>838</v>
      </c>
      <c r="O942" t="str">
        <f>D942&amp;"-"&amp;E942&amp;"-"&amp;F942&amp;"-"&amp;G942&amp;"-"&amp;H942</f>
        <v>E-1-f-0-14.5</v>
      </c>
      <c r="P942" t="str">
        <f>I942&amp;"-"&amp;J942&amp;"-"&amp;K942&amp;"-"&amp;L942&amp;"-"&amp;M942</f>
        <v>X-1-e-0-14.5</v>
      </c>
      <c r="Q942">
        <f>A942+R942</f>
        <v>19671.130356000001</v>
      </c>
      <c r="R942">
        <f>_xlfn.IFNA(VLOOKUP(P942,PGOPHER!A$2:G$181,7,FALSE),_xlfn.IFNA(VLOOKUP(P942,en!A$2:I$768,7,FALSE),-10000))</f>
        <v>757.92920600000002</v>
      </c>
      <c r="S942">
        <f>IF(O942=O941,Q941+S941,Q942)</f>
        <v>59013.391532999995</v>
      </c>
      <c r="T942">
        <f>IF(O942=O941,T941+1,1)</f>
        <v>3</v>
      </c>
      <c r="U942">
        <f>IF(O942=O943,"",S942/T942)</f>
        <v>19671.130510999999</v>
      </c>
      <c r="V942" t="str">
        <f>IF(U942="","",IF(ABS(Q942-U942)&gt;V$1,"error",""))</f>
        <v/>
      </c>
    </row>
    <row r="943" spans="1:22" x14ac:dyDescent="0.55000000000000004">
      <c r="A943">
        <v>18900.898099999999</v>
      </c>
      <c r="B943" s="1">
        <v>0.20499999999999999</v>
      </c>
      <c r="C943" s="1">
        <v>0.20499999999999999</v>
      </c>
      <c r="D943" s="2" t="s">
        <v>680</v>
      </c>
      <c r="E943">
        <v>1</v>
      </c>
      <c r="F943" s="2" t="s">
        <v>1</v>
      </c>
      <c r="G943">
        <v>1</v>
      </c>
      <c r="H943">
        <v>14.5</v>
      </c>
      <c r="I943" s="2" t="s">
        <v>0</v>
      </c>
      <c r="J943">
        <v>1</v>
      </c>
      <c r="K943" s="2" t="s">
        <v>2</v>
      </c>
      <c r="L943">
        <v>1</v>
      </c>
      <c r="M943">
        <v>14.5</v>
      </c>
      <c r="N943" s="2" t="s">
        <v>1083</v>
      </c>
      <c r="O943" t="str">
        <f>D943&amp;"-"&amp;E943&amp;"-"&amp;F943&amp;"-"&amp;G943&amp;"-"&amp;H943</f>
        <v>E-1-f-1-14.5</v>
      </c>
      <c r="P943" t="str">
        <f>I943&amp;"-"&amp;J943&amp;"-"&amp;K943&amp;"-"&amp;L943&amp;"-"&amp;M943</f>
        <v>X-1-e-1-14.5</v>
      </c>
      <c r="Q943">
        <f>A943+R943</f>
        <v>20814.757544</v>
      </c>
      <c r="R943">
        <f>_xlfn.IFNA(VLOOKUP(P943,PGOPHER!A$2:G$181,7,FALSE),_xlfn.IFNA(VLOOKUP(P943,en!A$2:I$768,7,FALSE),-10000))</f>
        <v>1913.8594439999999</v>
      </c>
      <c r="S943">
        <f>IF(O943=O942,Q942+S942,Q943)</f>
        <v>20814.757544</v>
      </c>
      <c r="T943">
        <f>IF(O943=O942,T942+1,1)</f>
        <v>1</v>
      </c>
      <c r="U943">
        <f>IF(O943=O944,"",S943/T943)</f>
        <v>20814.757544</v>
      </c>
      <c r="V943" t="str">
        <f>IF(U943="","",IF(ABS(Q943-U943)&gt;V$1,"error",""))</f>
        <v/>
      </c>
    </row>
    <row r="944" spans="1:22" x14ac:dyDescent="0.55000000000000004">
      <c r="A944">
        <v>18963.46686</v>
      </c>
      <c r="B944" s="1">
        <v>1.4999999999999999E-2</v>
      </c>
      <c r="C944" s="1">
        <v>1.4999999999999999E-2</v>
      </c>
      <c r="D944" s="2" t="s">
        <v>680</v>
      </c>
      <c r="E944">
        <v>2</v>
      </c>
      <c r="F944" s="2" t="s">
        <v>2</v>
      </c>
      <c r="G944">
        <v>0</v>
      </c>
      <c r="H944">
        <v>14.5</v>
      </c>
      <c r="I944" s="2" t="s">
        <v>0</v>
      </c>
      <c r="J944">
        <v>2</v>
      </c>
      <c r="K944" s="2" t="s">
        <v>1</v>
      </c>
      <c r="L944">
        <v>0</v>
      </c>
      <c r="M944">
        <v>14.5</v>
      </c>
      <c r="N944" s="2" t="s">
        <v>840</v>
      </c>
      <c r="O944" t="str">
        <f>D944&amp;"-"&amp;E944&amp;"-"&amp;F944&amp;"-"&amp;G944&amp;"-"&amp;H944</f>
        <v>E-2-e-0-14.5</v>
      </c>
      <c r="P944" t="str">
        <f>I944&amp;"-"&amp;J944&amp;"-"&amp;K944&amp;"-"&amp;L944&amp;"-"&amp;M944</f>
        <v>X-2-f-0-14.5</v>
      </c>
      <c r="Q944">
        <f>A944+R944</f>
        <v>19826.769865000002</v>
      </c>
      <c r="R944">
        <f>_xlfn.IFNA(VLOOKUP(P944,PGOPHER!A$2:G$181,7,FALSE),_xlfn.IFNA(VLOOKUP(P944,en!A$2:I$768,7,FALSE),-10000))</f>
        <v>863.30300499999998</v>
      </c>
      <c r="S944">
        <f>IF(O944=O943,Q943+S943,Q944)</f>
        <v>19826.769865000002</v>
      </c>
      <c r="T944">
        <f>IF(O944=O943,T943+1,1)</f>
        <v>1</v>
      </c>
      <c r="U944" t="str">
        <f>IF(O944=O945,"",S944/T944)</f>
        <v/>
      </c>
      <c r="V944" t="str">
        <f>IF(U944="","",IF(ABS(Q944-U944)&gt;V$1,"error",""))</f>
        <v/>
      </c>
    </row>
    <row r="945" spans="1:22" x14ac:dyDescent="0.55000000000000004">
      <c r="A945">
        <v>19169.16317</v>
      </c>
      <c r="B945" s="1">
        <v>5.0000000000000001E-3</v>
      </c>
      <c r="C945" s="1">
        <v>5.0000000000000001E-3</v>
      </c>
      <c r="D945" s="2" t="s">
        <v>680</v>
      </c>
      <c r="E945">
        <v>2</v>
      </c>
      <c r="F945" s="2" t="s">
        <v>2</v>
      </c>
      <c r="G945">
        <v>0</v>
      </c>
      <c r="H945">
        <v>14.5</v>
      </c>
      <c r="I945" s="2" t="s">
        <v>0</v>
      </c>
      <c r="J945">
        <v>1</v>
      </c>
      <c r="K945" s="2" t="s">
        <v>2</v>
      </c>
      <c r="L945">
        <v>0</v>
      </c>
      <c r="M945">
        <v>13.5</v>
      </c>
      <c r="N945" s="2" t="s">
        <v>839</v>
      </c>
      <c r="O945" t="str">
        <f>D945&amp;"-"&amp;E945&amp;"-"&amp;F945&amp;"-"&amp;G945&amp;"-"&amp;H945</f>
        <v>E-2-e-0-14.5</v>
      </c>
      <c r="P945" t="str">
        <f>I945&amp;"-"&amp;J945&amp;"-"&amp;K945&amp;"-"&amp;L945&amp;"-"&amp;M945</f>
        <v>X-1-e-0-13.5</v>
      </c>
      <c r="Q945">
        <f>A945+R945</f>
        <v>19826.773892000001</v>
      </c>
      <c r="R945">
        <f>_xlfn.IFNA(VLOOKUP(P945,PGOPHER!A$2:G$181,7,FALSE),_xlfn.IFNA(VLOOKUP(P945,en!A$2:I$768,7,FALSE),-10000))</f>
        <v>657.61072200000001</v>
      </c>
      <c r="S945">
        <f>IF(O945=O944,Q944+S944,Q945)</f>
        <v>39653.539730000004</v>
      </c>
      <c r="T945">
        <f>IF(O945=O944,T944+1,1)</f>
        <v>2</v>
      </c>
      <c r="U945">
        <f>IF(O945=O946,"",S945/T945)</f>
        <v>19826.769865000002</v>
      </c>
      <c r="V945" t="str">
        <f>IF(U945="","",IF(ABS(Q945-U945)&gt;V$1,"error",""))</f>
        <v/>
      </c>
    </row>
    <row r="946" spans="1:22" x14ac:dyDescent="0.55000000000000004">
      <c r="A946">
        <v>18954.011159999998</v>
      </c>
      <c r="B946" s="1">
        <v>5.0000000000000001E-3</v>
      </c>
      <c r="C946" s="1">
        <v>5.0000000000000001E-3</v>
      </c>
      <c r="D946" s="2" t="s">
        <v>680</v>
      </c>
      <c r="E946">
        <v>2</v>
      </c>
      <c r="F946" s="2" t="s">
        <v>2</v>
      </c>
      <c r="G946">
        <v>1</v>
      </c>
      <c r="H946">
        <v>14.5</v>
      </c>
      <c r="I946" s="2" t="s">
        <v>0</v>
      </c>
      <c r="J946">
        <v>2</v>
      </c>
      <c r="K946" s="2" t="s">
        <v>1</v>
      </c>
      <c r="L946">
        <v>1</v>
      </c>
      <c r="M946">
        <v>14.5</v>
      </c>
      <c r="N946" s="2" t="s">
        <v>1085</v>
      </c>
      <c r="O946" t="str">
        <f>D946&amp;"-"&amp;E946&amp;"-"&amp;F946&amp;"-"&amp;G946&amp;"-"&amp;H946</f>
        <v>E-2-e-1-14.5</v>
      </c>
      <c r="P946" t="str">
        <f>I946&amp;"-"&amp;J946&amp;"-"&amp;K946&amp;"-"&amp;L946&amp;"-"&amp;M946</f>
        <v>X-2-f-1-14.5</v>
      </c>
      <c r="Q946">
        <f>A946+R946</f>
        <v>20970.896997999997</v>
      </c>
      <c r="R946">
        <f>_xlfn.IFNA(VLOOKUP(P946,PGOPHER!A$2:G$181,7,FALSE),_xlfn.IFNA(VLOOKUP(P946,en!A$2:I$768,7,FALSE),-10000))</f>
        <v>2016.8858379999999</v>
      </c>
      <c r="S946">
        <f>IF(O946=O945,Q945+S945,Q946)</f>
        <v>20970.896997999997</v>
      </c>
      <c r="T946">
        <f>IF(O946=O945,T945+1,1)</f>
        <v>1</v>
      </c>
      <c r="U946" t="str">
        <f>IF(O946=O947,"",S946/T946)</f>
        <v/>
      </c>
      <c r="V946" t="str">
        <f>IF(U946="","",IF(ABS(Q946-U946)&gt;V$1,"error",""))</f>
        <v/>
      </c>
    </row>
    <row r="947" spans="1:22" x14ac:dyDescent="0.55000000000000004">
      <c r="A947">
        <v>19155.108090000002</v>
      </c>
      <c r="B947" s="1">
        <v>5.0000000000000001E-3</v>
      </c>
      <c r="C947" s="1">
        <v>5.0000000000000001E-3</v>
      </c>
      <c r="D947" s="2" t="s">
        <v>680</v>
      </c>
      <c r="E947">
        <v>2</v>
      </c>
      <c r="F947" s="2" t="s">
        <v>2</v>
      </c>
      <c r="G947">
        <v>1</v>
      </c>
      <c r="H947">
        <v>14.5</v>
      </c>
      <c r="I947" s="2" t="s">
        <v>0</v>
      </c>
      <c r="J947">
        <v>1</v>
      </c>
      <c r="K947" s="2" t="s">
        <v>2</v>
      </c>
      <c r="L947">
        <v>1</v>
      </c>
      <c r="M947">
        <v>13.5</v>
      </c>
      <c r="N947" s="2" t="s">
        <v>1084</v>
      </c>
      <c r="O947" t="str">
        <f>D947&amp;"-"&amp;E947&amp;"-"&amp;F947&amp;"-"&amp;G947&amp;"-"&amp;H947</f>
        <v>E-2-e-1-14.5</v>
      </c>
      <c r="P947" t="str">
        <f>I947&amp;"-"&amp;J947&amp;"-"&amp;K947&amp;"-"&amp;L947&amp;"-"&amp;M947</f>
        <v>X-1-e-1-13.5</v>
      </c>
      <c r="Q947">
        <f>A947+R947</f>
        <v>20970.894265000003</v>
      </c>
      <c r="R947">
        <f>_xlfn.IFNA(VLOOKUP(P947,PGOPHER!A$2:G$181,7,FALSE),_xlfn.IFNA(VLOOKUP(P947,en!A$2:I$768,7,FALSE),-10000))</f>
        <v>1815.786175</v>
      </c>
      <c r="S947">
        <f>IF(O947=O946,Q946+S946,Q947)</f>
        <v>41941.793995999993</v>
      </c>
      <c r="T947">
        <f>IF(O947=O946,T946+1,1)</f>
        <v>2</v>
      </c>
      <c r="U947">
        <f>IF(O947=O948,"",S947/T947)</f>
        <v>20970.896997999997</v>
      </c>
      <c r="V947" t="str">
        <f>IF(U947="","",IF(ABS(Q947-U947)&gt;V$1,"error",""))</f>
        <v/>
      </c>
    </row>
    <row r="948" spans="1:22" x14ac:dyDescent="0.55000000000000004">
      <c r="A948">
        <v>19072.13522</v>
      </c>
      <c r="B948" s="1">
        <v>5.0000000000000001E-3</v>
      </c>
      <c r="C948" s="1">
        <v>5.0000000000000001E-3</v>
      </c>
      <c r="D948" s="2" t="s">
        <v>680</v>
      </c>
      <c r="E948">
        <v>2</v>
      </c>
      <c r="F948" s="2" t="s">
        <v>1</v>
      </c>
      <c r="G948">
        <v>0</v>
      </c>
      <c r="H948">
        <v>14.5</v>
      </c>
      <c r="I948" s="2" t="s">
        <v>0</v>
      </c>
      <c r="J948">
        <v>2</v>
      </c>
      <c r="K948" s="2" t="s">
        <v>1</v>
      </c>
      <c r="L948">
        <v>0</v>
      </c>
      <c r="M948">
        <v>13.5</v>
      </c>
      <c r="N948" s="2" t="s">
        <v>841</v>
      </c>
      <c r="O948" t="str">
        <f>D948&amp;"-"&amp;E948&amp;"-"&amp;F948&amp;"-"&amp;G948&amp;"-"&amp;H948</f>
        <v>E-2-f-0-14.5</v>
      </c>
      <c r="P948" t="str">
        <f>I948&amp;"-"&amp;J948&amp;"-"&amp;K948&amp;"-"&amp;L948&amp;"-"&amp;M948</f>
        <v>X-2-f-0-13.5</v>
      </c>
      <c r="Q948">
        <f>A948+R948</f>
        <v>19828.303089000001</v>
      </c>
      <c r="R948">
        <f>_xlfn.IFNA(VLOOKUP(P948,PGOPHER!A$2:G$181,7,FALSE),_xlfn.IFNA(VLOOKUP(P948,en!A$2:I$768,7,FALSE),-10000))</f>
        <v>756.167869</v>
      </c>
      <c r="S948">
        <f>IF(O948=O947,Q947+S947,Q948)</f>
        <v>19828.303089000001</v>
      </c>
      <c r="T948">
        <f>IF(O948=O947,T947+1,1)</f>
        <v>1</v>
      </c>
      <c r="U948" t="str">
        <f>IF(O948=O949,"",S948/T948)</f>
        <v/>
      </c>
      <c r="V948" t="str">
        <f>IF(U948="","",IF(ABS(Q948-U948)&gt;V$1,"error",""))</f>
        <v/>
      </c>
    </row>
    <row r="949" spans="1:22" x14ac:dyDescent="0.55000000000000004">
      <c r="A949">
        <v>18850.98286</v>
      </c>
      <c r="B949" s="1">
        <v>5.0000000000000001E-3</v>
      </c>
      <c r="C949" s="1">
        <v>5.0000000000000001E-3</v>
      </c>
      <c r="D949" s="2" t="s">
        <v>680</v>
      </c>
      <c r="E949">
        <v>2</v>
      </c>
      <c r="F949" s="2" t="s">
        <v>1</v>
      </c>
      <c r="G949">
        <v>0</v>
      </c>
      <c r="H949">
        <v>14.5</v>
      </c>
      <c r="I949" s="2" t="s">
        <v>0</v>
      </c>
      <c r="J949">
        <v>2</v>
      </c>
      <c r="K949" s="2" t="s">
        <v>1</v>
      </c>
      <c r="L949">
        <v>0</v>
      </c>
      <c r="M949">
        <v>15.5</v>
      </c>
      <c r="N949" s="2" t="s">
        <v>842</v>
      </c>
      <c r="O949" t="str">
        <f>D949&amp;"-"&amp;E949&amp;"-"&amp;F949&amp;"-"&amp;G949&amp;"-"&amp;H949</f>
        <v>E-2-f-0-14.5</v>
      </c>
      <c r="P949" t="str">
        <f>I949&amp;"-"&amp;J949&amp;"-"&amp;K949&amp;"-"&amp;L949&amp;"-"&amp;M949</f>
        <v>X-2-f-0-15.5</v>
      </c>
      <c r="Q949">
        <f>A949+R949</f>
        <v>19828.296966999998</v>
      </c>
      <c r="R949">
        <f>_xlfn.IFNA(VLOOKUP(P949,PGOPHER!A$2:G$181,7,FALSE),_xlfn.IFNA(VLOOKUP(P949,en!A$2:I$768,7,FALSE),-10000))</f>
        <v>977.31410700000004</v>
      </c>
      <c r="S949">
        <f>IF(O949=O948,Q948+S948,Q949)</f>
        <v>39656.606178000002</v>
      </c>
      <c r="T949">
        <f>IF(O949=O948,T948+1,1)</f>
        <v>2</v>
      </c>
      <c r="U949" t="str">
        <f>IF(O949=O950,"",S949/T949)</f>
        <v/>
      </c>
      <c r="V949" t="str">
        <f>IF(U949="","",IF(ABS(Q949-U949)&gt;V$1,"error",""))</f>
        <v/>
      </c>
    </row>
    <row r="950" spans="1:22" x14ac:dyDescent="0.55000000000000004">
      <c r="A950">
        <v>19070.370739999998</v>
      </c>
      <c r="B950" s="1">
        <v>5.0000000000000001E-3</v>
      </c>
      <c r="C950" s="1">
        <v>5.0000000000000001E-3</v>
      </c>
      <c r="D950" s="2" t="s">
        <v>680</v>
      </c>
      <c r="E950">
        <v>2</v>
      </c>
      <c r="F950" s="2" t="s">
        <v>1</v>
      </c>
      <c r="G950">
        <v>0</v>
      </c>
      <c r="H950">
        <v>14.5</v>
      </c>
      <c r="I950" s="2" t="s">
        <v>0</v>
      </c>
      <c r="J950">
        <v>1</v>
      </c>
      <c r="K950" s="2" t="s">
        <v>2</v>
      </c>
      <c r="L950">
        <v>0</v>
      </c>
      <c r="M950">
        <v>14.5</v>
      </c>
      <c r="N950" s="2" t="s">
        <v>843</v>
      </c>
      <c r="O950" t="str">
        <f>D950&amp;"-"&amp;E950&amp;"-"&amp;F950&amp;"-"&amp;G950&amp;"-"&amp;H950</f>
        <v>E-2-f-0-14.5</v>
      </c>
      <c r="P950" t="str">
        <f>I950&amp;"-"&amp;J950&amp;"-"&amp;K950&amp;"-"&amp;L950&amp;"-"&amp;M950</f>
        <v>X-1-e-0-14.5</v>
      </c>
      <c r="Q950">
        <f>A950+R950</f>
        <v>19828.299945999999</v>
      </c>
      <c r="R950">
        <f>_xlfn.IFNA(VLOOKUP(P950,PGOPHER!A$2:G$181,7,FALSE),_xlfn.IFNA(VLOOKUP(P950,en!A$2:I$768,7,FALSE),-10000))</f>
        <v>757.92920600000002</v>
      </c>
      <c r="S950">
        <f>IF(O950=O949,Q949+S949,Q950)</f>
        <v>59484.903145000004</v>
      </c>
      <c r="T950">
        <f>IF(O950=O949,T949+1,1)</f>
        <v>3</v>
      </c>
      <c r="U950">
        <f>IF(O950=O951,"",S950/T950)</f>
        <v>19828.301048333335</v>
      </c>
      <c r="V950" t="str">
        <f>IF(U950="","",IF(ABS(Q950-U950)&gt;V$1,"error",""))</f>
        <v/>
      </c>
    </row>
    <row r="951" spans="1:22" x14ac:dyDescent="0.55000000000000004">
      <c r="A951">
        <v>19058.271980000001</v>
      </c>
      <c r="B951" s="1">
        <v>5.0000000000000001E-3</v>
      </c>
      <c r="C951" s="1">
        <v>5.0000000000000001E-3</v>
      </c>
      <c r="D951" s="2" t="s">
        <v>680</v>
      </c>
      <c r="E951">
        <v>2</v>
      </c>
      <c r="F951" s="2" t="s">
        <v>1</v>
      </c>
      <c r="G951">
        <v>1</v>
      </c>
      <c r="H951">
        <v>14.5</v>
      </c>
      <c r="I951" s="2" t="s">
        <v>0</v>
      </c>
      <c r="J951">
        <v>1</v>
      </c>
      <c r="K951" s="2" t="s">
        <v>2</v>
      </c>
      <c r="L951">
        <v>1</v>
      </c>
      <c r="M951">
        <v>14.5</v>
      </c>
      <c r="N951" s="2" t="s">
        <v>1086</v>
      </c>
      <c r="O951" t="str">
        <f>D951&amp;"-"&amp;E951&amp;"-"&amp;F951&amp;"-"&amp;G951&amp;"-"&amp;H951</f>
        <v>E-2-f-1-14.5</v>
      </c>
      <c r="P951" t="str">
        <f>I951&amp;"-"&amp;J951&amp;"-"&amp;K951&amp;"-"&amp;L951&amp;"-"&amp;M951</f>
        <v>X-1-e-1-14.5</v>
      </c>
      <c r="Q951">
        <f>A951+R951</f>
        <v>20972.131424000003</v>
      </c>
      <c r="R951">
        <f>_xlfn.IFNA(VLOOKUP(P951,PGOPHER!A$2:G$181,7,FALSE),_xlfn.IFNA(VLOOKUP(P951,en!A$2:I$768,7,FALSE),-10000))</f>
        <v>1913.8594439999999</v>
      </c>
      <c r="S951">
        <f>IF(O951=O950,Q950+S950,Q951)</f>
        <v>20972.131424000003</v>
      </c>
      <c r="T951">
        <f>IF(O951=O950,T950+1,1)</f>
        <v>1</v>
      </c>
      <c r="U951" t="str">
        <f>IF(O951=O952,"",S951/T951)</f>
        <v/>
      </c>
      <c r="V951" t="str">
        <f>IF(U951="","",IF(ABS(Q951-U951)&gt;V$1,"error",""))</f>
        <v/>
      </c>
    </row>
    <row r="952" spans="1:22" x14ac:dyDescent="0.55000000000000004">
      <c r="A952">
        <v>19059.994429999999</v>
      </c>
      <c r="B952" s="1">
        <v>2.2519999999999998E-2</v>
      </c>
      <c r="C952" s="1">
        <v>2.2519999999999998E-2</v>
      </c>
      <c r="D952" s="2" t="s">
        <v>680</v>
      </c>
      <c r="E952">
        <v>2</v>
      </c>
      <c r="F952" s="2" t="s">
        <v>1</v>
      </c>
      <c r="G952">
        <v>1</v>
      </c>
      <c r="H952">
        <v>14.5</v>
      </c>
      <c r="I952" s="2" t="s">
        <v>0</v>
      </c>
      <c r="J952">
        <v>2</v>
      </c>
      <c r="K952" s="2" t="s">
        <v>1</v>
      </c>
      <c r="L952">
        <v>1</v>
      </c>
      <c r="M952">
        <v>13.5</v>
      </c>
      <c r="N952" s="2" t="s">
        <v>1087</v>
      </c>
      <c r="O952" t="str">
        <f>D952&amp;"-"&amp;E952&amp;"-"&amp;F952&amp;"-"&amp;G952&amp;"-"&amp;H952</f>
        <v>E-2-f-1-14.5</v>
      </c>
      <c r="P952" t="str">
        <f>I952&amp;"-"&amp;J952&amp;"-"&amp;K952&amp;"-"&amp;L952&amp;"-"&amp;M952</f>
        <v>X-2-f-1-13.5</v>
      </c>
      <c r="Q952">
        <f>A952+R952</f>
        <v>20972.153117999998</v>
      </c>
      <c r="R952">
        <f>_xlfn.IFNA(VLOOKUP(P952,PGOPHER!A$2:G$181,7,FALSE),_xlfn.IFNA(VLOOKUP(P952,en!A$2:I$768,7,FALSE),-10000))</f>
        <v>1912.158688</v>
      </c>
      <c r="S952">
        <f>IF(O952=O951,Q951+S951,Q952)</f>
        <v>41944.262848000006</v>
      </c>
      <c r="T952">
        <f>IF(O952=O951,T951+1,1)</f>
        <v>2</v>
      </c>
      <c r="U952" t="str">
        <f>IF(O952=O953,"",S952/T952)</f>
        <v/>
      </c>
      <c r="V952" t="str">
        <f>IF(U952="","",IF(ABS(Q952-U952)&gt;V$1,"error",""))</f>
        <v/>
      </c>
    </row>
    <row r="953" spans="1:22" x14ac:dyDescent="0.55000000000000004">
      <c r="A953">
        <v>18843.811819999999</v>
      </c>
      <c r="B953" s="1">
        <v>2.248E-2</v>
      </c>
      <c r="C953" s="1">
        <v>2.248E-2</v>
      </c>
      <c r="D953" s="2" t="s">
        <v>680</v>
      </c>
      <c r="E953">
        <v>2</v>
      </c>
      <c r="F953" s="2" t="s">
        <v>1</v>
      </c>
      <c r="G953">
        <v>1</v>
      </c>
      <c r="H953">
        <v>14.5</v>
      </c>
      <c r="I953" s="2" t="s">
        <v>0</v>
      </c>
      <c r="J953">
        <v>2</v>
      </c>
      <c r="K953" s="2" t="s">
        <v>1</v>
      </c>
      <c r="L953">
        <v>1</v>
      </c>
      <c r="M953">
        <v>15.5</v>
      </c>
      <c r="N953" s="2" t="s">
        <v>1088</v>
      </c>
      <c r="O953" t="str">
        <f>D953&amp;"-"&amp;E953&amp;"-"&amp;F953&amp;"-"&amp;G953&amp;"-"&amp;H953</f>
        <v>E-2-f-1-14.5</v>
      </c>
      <c r="P953" t="str">
        <f>I953&amp;"-"&amp;J953&amp;"-"&amp;K953&amp;"-"&amp;L953&amp;"-"&amp;M953</f>
        <v>X-2-f-1-15.5</v>
      </c>
      <c r="Q953">
        <f>A953+R953</f>
        <v>20972.152588999998</v>
      </c>
      <c r="R953">
        <f>_xlfn.IFNA(VLOOKUP(P953,PGOPHER!A$2:G$181,7,FALSE),_xlfn.IFNA(VLOOKUP(P953,en!A$2:I$768,7,FALSE),-10000))</f>
        <v>2128.3407689999999</v>
      </c>
      <c r="S953">
        <f>IF(O953=O952,Q952+S952,Q953)</f>
        <v>62916.415966</v>
      </c>
      <c r="T953">
        <f>IF(O953=O952,T952+1,1)</f>
        <v>3</v>
      </c>
      <c r="U953">
        <f>IF(O953=O954,"",S953/T953)</f>
        <v>20972.138655333332</v>
      </c>
      <c r="V953" t="str">
        <f>IF(U953="","",IF(ABS(Q953-U953)&gt;V$1,"error",""))</f>
        <v/>
      </c>
    </row>
    <row r="954" spans="1:22" x14ac:dyDescent="0.55000000000000004">
      <c r="A954">
        <v>19024.778549999999</v>
      </c>
      <c r="B954" s="1">
        <v>5.5E-2</v>
      </c>
      <c r="C954" s="1">
        <v>5.5E-2</v>
      </c>
      <c r="D954" s="2" t="s">
        <v>680</v>
      </c>
      <c r="E954">
        <v>1</v>
      </c>
      <c r="F954" s="2" t="s">
        <v>2</v>
      </c>
      <c r="G954">
        <v>0</v>
      </c>
      <c r="H954">
        <v>15.5</v>
      </c>
      <c r="I954" s="2" t="s">
        <v>0</v>
      </c>
      <c r="J954">
        <v>1</v>
      </c>
      <c r="K954" s="2" t="s">
        <v>2</v>
      </c>
      <c r="L954">
        <v>0</v>
      </c>
      <c r="M954">
        <v>14.5</v>
      </c>
      <c r="N954" s="2" t="s">
        <v>844</v>
      </c>
      <c r="O954" t="str">
        <f>D954&amp;"-"&amp;E954&amp;"-"&amp;F954&amp;"-"&amp;G954&amp;"-"&amp;H954</f>
        <v>E-1-e-0-15.5</v>
      </c>
      <c r="P954" t="str">
        <f>I954&amp;"-"&amp;J954&amp;"-"&amp;K954&amp;"-"&amp;L954&amp;"-"&amp;M954</f>
        <v>X-1-e-0-14.5</v>
      </c>
      <c r="Q954">
        <f>A954+R954</f>
        <v>19782.707756</v>
      </c>
      <c r="R954">
        <f>_xlfn.IFNA(VLOOKUP(P954,PGOPHER!A$2:G$181,7,FALSE),_xlfn.IFNA(VLOOKUP(P954,en!A$2:I$768,7,FALSE),-10000))</f>
        <v>757.92920600000002</v>
      </c>
      <c r="S954">
        <f>IF(O954=O953,Q953+S953,Q954)</f>
        <v>19782.707756</v>
      </c>
      <c r="T954">
        <f>IF(O954=O953,T953+1,1)</f>
        <v>1</v>
      </c>
      <c r="U954" t="str">
        <f>IF(O954=O955,"",S954/T954)</f>
        <v/>
      </c>
      <c r="V954" t="str">
        <f>IF(U954="","",IF(ABS(Q954-U954)&gt;V$1,"error",""))</f>
        <v/>
      </c>
    </row>
    <row r="955" spans="1:22" x14ac:dyDescent="0.55000000000000004">
      <c r="A955">
        <v>18803.395219999999</v>
      </c>
      <c r="B955" s="1">
        <v>5.0000000000000001E-3</v>
      </c>
      <c r="C955" s="1">
        <v>5.0000000000000001E-3</v>
      </c>
      <c r="D955" s="2" t="s">
        <v>680</v>
      </c>
      <c r="E955">
        <v>1</v>
      </c>
      <c r="F955" s="2" t="s">
        <v>2</v>
      </c>
      <c r="G955">
        <v>0</v>
      </c>
      <c r="H955">
        <v>15.5</v>
      </c>
      <c r="I955" s="2" t="s">
        <v>0</v>
      </c>
      <c r="J955">
        <v>1</v>
      </c>
      <c r="K955" s="2" t="s">
        <v>2</v>
      </c>
      <c r="L955">
        <v>0</v>
      </c>
      <c r="M955">
        <v>16.5</v>
      </c>
      <c r="N955" s="2" t="s">
        <v>845</v>
      </c>
      <c r="O955" t="str">
        <f>D955&amp;"-"&amp;E955&amp;"-"&amp;F955&amp;"-"&amp;G955&amp;"-"&amp;H955</f>
        <v>E-1-e-0-15.5</v>
      </c>
      <c r="P955" t="str">
        <f>I955&amp;"-"&amp;J955&amp;"-"&amp;K955&amp;"-"&amp;L955&amp;"-"&amp;M955</f>
        <v>X-1-e-0-16.5</v>
      </c>
      <c r="Q955">
        <f>A955+R955</f>
        <v>19782.703184999998</v>
      </c>
      <c r="R955">
        <f>_xlfn.IFNA(VLOOKUP(P955,PGOPHER!A$2:G$181,7,FALSE),_xlfn.IFNA(VLOOKUP(P955,en!A$2:I$768,7,FALSE),-10000))</f>
        <v>979.30796499999997</v>
      </c>
      <c r="S955">
        <f>IF(O955=O954,Q954+S954,Q955)</f>
        <v>39565.415512</v>
      </c>
      <c r="T955">
        <f>IF(O955=O954,T954+1,1)</f>
        <v>2</v>
      </c>
      <c r="U955" t="str">
        <f>IF(O955=O956,"",S955/T955)</f>
        <v/>
      </c>
      <c r="V955" t="str">
        <f>IF(U955="","",IF(ABS(Q955-U955)&gt;V$1,"error",""))</f>
        <v/>
      </c>
    </row>
    <row r="956" spans="1:22" x14ac:dyDescent="0.55000000000000004">
      <c r="A956">
        <v>18805.388709999999</v>
      </c>
      <c r="B956" s="1">
        <v>5.0000000000000001E-3</v>
      </c>
      <c r="C956" s="1">
        <v>5.0000000000000001E-3</v>
      </c>
      <c r="D956" s="2" t="s">
        <v>680</v>
      </c>
      <c r="E956">
        <v>1</v>
      </c>
      <c r="F956" s="2" t="s">
        <v>2</v>
      </c>
      <c r="G956">
        <v>0</v>
      </c>
      <c r="H956">
        <v>15.5</v>
      </c>
      <c r="I956" s="2" t="s">
        <v>0</v>
      </c>
      <c r="J956">
        <v>2</v>
      </c>
      <c r="K956" s="2" t="s">
        <v>1</v>
      </c>
      <c r="L956">
        <v>0</v>
      </c>
      <c r="M956">
        <v>15.5</v>
      </c>
      <c r="N956" s="2" t="s">
        <v>846</v>
      </c>
      <c r="O956" t="str">
        <f>D956&amp;"-"&amp;E956&amp;"-"&amp;F956&amp;"-"&amp;G956&amp;"-"&amp;H956</f>
        <v>E-1-e-0-15.5</v>
      </c>
      <c r="P956" t="str">
        <f>I956&amp;"-"&amp;J956&amp;"-"&amp;K956&amp;"-"&amp;L956&amp;"-"&amp;M956</f>
        <v>X-2-f-0-15.5</v>
      </c>
      <c r="Q956">
        <f>A956+R956</f>
        <v>19782.702816999998</v>
      </c>
      <c r="R956">
        <f>_xlfn.IFNA(VLOOKUP(P956,PGOPHER!A$2:G$181,7,FALSE),_xlfn.IFNA(VLOOKUP(P956,en!A$2:I$768,7,FALSE),-10000))</f>
        <v>977.31410700000004</v>
      </c>
      <c r="S956">
        <f>IF(O956=O955,Q955+S955,Q956)</f>
        <v>59348.118696999998</v>
      </c>
      <c r="T956">
        <f>IF(O956=O955,T955+1,1)</f>
        <v>3</v>
      </c>
      <c r="U956">
        <f>IF(O956=O957,"",S956/T956)</f>
        <v>19782.706232333334</v>
      </c>
      <c r="V956" t="str">
        <f>IF(U956="","",IF(ABS(Q956-U956)&gt;V$1,"error",""))</f>
        <v/>
      </c>
    </row>
    <row r="957" spans="1:22" x14ac:dyDescent="0.55000000000000004">
      <c r="A957">
        <v>19009.446110000001</v>
      </c>
      <c r="B957" s="1">
        <v>0.05</v>
      </c>
      <c r="C957" s="1">
        <v>0.05</v>
      </c>
      <c r="D957" s="2" t="s">
        <v>680</v>
      </c>
      <c r="E957">
        <v>1</v>
      </c>
      <c r="F957" s="2" t="s">
        <v>2</v>
      </c>
      <c r="G957">
        <v>1</v>
      </c>
      <c r="H957">
        <v>15.5</v>
      </c>
      <c r="I957" s="2" t="s">
        <v>0</v>
      </c>
      <c r="J957">
        <v>1</v>
      </c>
      <c r="K957" s="2" t="s">
        <v>2</v>
      </c>
      <c r="L957">
        <v>1</v>
      </c>
      <c r="M957">
        <v>14.5</v>
      </c>
      <c r="N957" s="2" t="s">
        <v>1090</v>
      </c>
      <c r="O957" t="str">
        <f>D957&amp;"-"&amp;E957&amp;"-"&amp;F957&amp;"-"&amp;G957&amp;"-"&amp;H957</f>
        <v>E-1-e-1-15.5</v>
      </c>
      <c r="P957" t="str">
        <f>I957&amp;"-"&amp;J957&amp;"-"&amp;K957&amp;"-"&amp;L957&amp;"-"&amp;M957</f>
        <v>X-1-e-1-14.5</v>
      </c>
      <c r="Q957">
        <f>A957+R957</f>
        <v>20923.305554000002</v>
      </c>
      <c r="R957">
        <f>_xlfn.IFNA(VLOOKUP(P957,PGOPHER!A$2:G$181,7,FALSE),_xlfn.IFNA(VLOOKUP(P957,en!A$2:I$768,7,FALSE),-10000))</f>
        <v>1913.8594439999999</v>
      </c>
      <c r="S957">
        <f>IF(O957=O956,Q956+S956,Q957)</f>
        <v>20923.305554000002</v>
      </c>
      <c r="T957">
        <f>IF(O957=O956,T956+1,1)</f>
        <v>1</v>
      </c>
      <c r="U957" t="str">
        <f>IF(O957=O958,"",S957/T957)</f>
        <v/>
      </c>
      <c r="V957" t="str">
        <f>IF(U957="","",IF(ABS(Q957-U957)&gt;V$1,"error",""))</f>
        <v/>
      </c>
    </row>
    <row r="958" spans="1:22" x14ac:dyDescent="0.55000000000000004">
      <c r="A958">
        <v>18793.04134</v>
      </c>
      <c r="B958" s="1">
        <v>5.0000000000000001E-3</v>
      </c>
      <c r="C958" s="1">
        <v>5.0000000000000001E-3</v>
      </c>
      <c r="D958" s="2" t="s">
        <v>680</v>
      </c>
      <c r="E958">
        <v>1</v>
      </c>
      <c r="F958" s="2" t="s">
        <v>2</v>
      </c>
      <c r="G958">
        <v>1</v>
      </c>
      <c r="H958">
        <v>15.5</v>
      </c>
      <c r="I958" s="2" t="s">
        <v>0</v>
      </c>
      <c r="J958">
        <v>1</v>
      </c>
      <c r="K958" s="2" t="s">
        <v>2</v>
      </c>
      <c r="L958">
        <v>1</v>
      </c>
      <c r="M958">
        <v>16.5</v>
      </c>
      <c r="N958" s="2" t="s">
        <v>1089</v>
      </c>
      <c r="O958" t="str">
        <f>D958&amp;"-"&amp;E958&amp;"-"&amp;F958&amp;"-"&amp;G958&amp;"-"&amp;H958</f>
        <v>E-1-e-1-15.5</v>
      </c>
      <c r="P958" t="str">
        <f>I958&amp;"-"&amp;J958&amp;"-"&amp;K958&amp;"-"&amp;L958&amp;"-"&amp;M958</f>
        <v>X-1-e-1-16.5</v>
      </c>
      <c r="Q958">
        <f>A958+R958</f>
        <v>20923.306173000001</v>
      </c>
      <c r="R958">
        <f>_xlfn.IFNA(VLOOKUP(P958,PGOPHER!A$2:G$181,7,FALSE),_xlfn.IFNA(VLOOKUP(P958,en!A$2:I$768,7,FALSE),-10000))</f>
        <v>2130.2648330000002</v>
      </c>
      <c r="S958">
        <f>IF(O958=O957,Q957+S957,Q958)</f>
        <v>41846.611108000005</v>
      </c>
      <c r="T958">
        <f>IF(O958=O957,T957+1,1)</f>
        <v>2</v>
      </c>
      <c r="U958">
        <f>IF(O958=O959,"",S958/T958)</f>
        <v>20923.305554000002</v>
      </c>
      <c r="V958" t="str">
        <f>IF(U958="","",IF(ABS(Q958-U958)&gt;V$1,"error",""))</f>
        <v/>
      </c>
    </row>
    <row r="959" spans="1:22" x14ac:dyDescent="0.55000000000000004">
      <c r="A959">
        <v>18684.11</v>
      </c>
      <c r="B959" s="1">
        <v>5.0000000000000001E-3</v>
      </c>
      <c r="C959" s="1">
        <v>5.0000000000000001E-3</v>
      </c>
      <c r="D959" s="2" t="s">
        <v>680</v>
      </c>
      <c r="E959">
        <v>1</v>
      </c>
      <c r="F959" s="2" t="s">
        <v>1</v>
      </c>
      <c r="G959">
        <v>0</v>
      </c>
      <c r="H959">
        <v>15.5</v>
      </c>
      <c r="I959" s="2" t="s">
        <v>0</v>
      </c>
      <c r="J959">
        <v>2</v>
      </c>
      <c r="K959" s="2" t="s">
        <v>1</v>
      </c>
      <c r="L959">
        <v>0</v>
      </c>
      <c r="M959">
        <v>16.5</v>
      </c>
      <c r="N959" s="2" t="s">
        <v>847</v>
      </c>
      <c r="O959" t="str">
        <f>D959&amp;"-"&amp;E959&amp;"-"&amp;F959&amp;"-"&amp;G959&amp;"-"&amp;H959</f>
        <v>E-1-f-0-15.5</v>
      </c>
      <c r="P959" t="str">
        <f>I959&amp;"-"&amp;J959&amp;"-"&amp;K959&amp;"-"&amp;L959&amp;"-"&amp;M959</f>
        <v>X-2-f-0-16.5</v>
      </c>
      <c r="Q959">
        <f>A959+R959</f>
        <v>19782.274982999999</v>
      </c>
      <c r="R959">
        <f>_xlfn.IFNA(VLOOKUP(P959,PGOPHER!A$2:G$181,7,FALSE),_xlfn.IFNA(VLOOKUP(P959,en!A$2:I$768,7,FALSE),-10000))</f>
        <v>1098.1649829999999</v>
      </c>
      <c r="S959">
        <f>IF(O959=O958,Q958+S958,Q959)</f>
        <v>19782.274982999999</v>
      </c>
      <c r="T959">
        <f>IF(O959=O958,T958+1,1)</f>
        <v>1</v>
      </c>
      <c r="U959" t="str">
        <f>IF(O959=O960,"",S959/T959)</f>
        <v/>
      </c>
      <c r="V959" t="str">
        <f>IF(U959="","",IF(ABS(Q959-U959)&gt;V$1,"error",""))</f>
        <v/>
      </c>
    </row>
    <row r="960" spans="1:22" x14ac:dyDescent="0.55000000000000004">
      <c r="A960">
        <v>18918.97682</v>
      </c>
      <c r="B960" s="1">
        <v>5.0000000000000001E-3</v>
      </c>
      <c r="C960" s="1">
        <v>5.0000000000000001E-3</v>
      </c>
      <c r="D960" s="2" t="s">
        <v>680</v>
      </c>
      <c r="E960">
        <v>1</v>
      </c>
      <c r="F960" s="2" t="s">
        <v>1</v>
      </c>
      <c r="G960">
        <v>0</v>
      </c>
      <c r="H960">
        <v>15.5</v>
      </c>
      <c r="I960" s="2" t="s">
        <v>0</v>
      </c>
      <c r="J960">
        <v>2</v>
      </c>
      <c r="K960" s="2" t="s">
        <v>1</v>
      </c>
      <c r="L960">
        <v>0</v>
      </c>
      <c r="M960">
        <v>14.5</v>
      </c>
      <c r="N960" s="2" t="s">
        <v>848</v>
      </c>
      <c r="O960" t="str">
        <f>D960&amp;"-"&amp;E960&amp;"-"&amp;F960&amp;"-"&amp;G960&amp;"-"&amp;H960</f>
        <v>E-1-f-0-15.5</v>
      </c>
      <c r="P960" t="str">
        <f>I960&amp;"-"&amp;J960&amp;"-"&amp;K960&amp;"-"&amp;L960&amp;"-"&amp;M960</f>
        <v>X-2-f-0-14.5</v>
      </c>
      <c r="Q960">
        <f>A960+R960</f>
        <v>19782.279825000001</v>
      </c>
      <c r="R960">
        <f>_xlfn.IFNA(VLOOKUP(P960,PGOPHER!A$2:G$181,7,FALSE),_xlfn.IFNA(VLOOKUP(P960,en!A$2:I$768,7,FALSE),-10000))</f>
        <v>863.30300499999998</v>
      </c>
      <c r="S960">
        <f>IF(O960=O959,Q959+S959,Q960)</f>
        <v>39564.549965999999</v>
      </c>
      <c r="T960">
        <f>IF(O960=O959,T959+1,1)</f>
        <v>2</v>
      </c>
      <c r="U960" t="str">
        <f>IF(O960=O961,"",S960/T960)</f>
        <v/>
      </c>
      <c r="V960" t="str">
        <f>IF(U960="","",IF(ABS(Q960-U960)&gt;V$1,"error",""))</f>
        <v/>
      </c>
    </row>
    <row r="961" spans="1:22" x14ac:dyDescent="0.55000000000000004">
      <c r="A961">
        <v>18917.100009999998</v>
      </c>
      <c r="B961" s="1">
        <v>5.0000000000000001E-3</v>
      </c>
      <c r="C961" s="1">
        <v>5.0000000000000001E-3</v>
      </c>
      <c r="D961" s="2" t="s">
        <v>680</v>
      </c>
      <c r="E961">
        <v>1</v>
      </c>
      <c r="F961" s="2" t="s">
        <v>1</v>
      </c>
      <c r="G961">
        <v>0</v>
      </c>
      <c r="H961">
        <v>15.5</v>
      </c>
      <c r="I961" s="2" t="s">
        <v>0</v>
      </c>
      <c r="J961">
        <v>1</v>
      </c>
      <c r="K961" s="2" t="s">
        <v>2</v>
      </c>
      <c r="L961">
        <v>0</v>
      </c>
      <c r="M961">
        <v>15.5</v>
      </c>
      <c r="N961" s="2" t="s">
        <v>849</v>
      </c>
      <c r="O961" t="str">
        <f>D961&amp;"-"&amp;E961&amp;"-"&amp;F961&amp;"-"&amp;G961&amp;"-"&amp;H961</f>
        <v>E-1-f-0-15.5</v>
      </c>
      <c r="P961" t="str">
        <f>I961&amp;"-"&amp;J961&amp;"-"&amp;K961&amp;"-"&amp;L961&amp;"-"&amp;M961</f>
        <v>X-1-e-0-15.5</v>
      </c>
      <c r="Q961">
        <f>A961+R961</f>
        <v>19782.277668999999</v>
      </c>
      <c r="R961">
        <f>_xlfn.IFNA(VLOOKUP(P961,PGOPHER!A$2:G$181,7,FALSE),_xlfn.IFNA(VLOOKUP(P961,en!A$2:I$768,7,FALSE),-10000))</f>
        <v>865.17765899999995</v>
      </c>
      <c r="S961">
        <f>IF(O961=O960,Q960+S960,Q961)</f>
        <v>59346.829790999996</v>
      </c>
      <c r="T961">
        <f>IF(O961=O960,T960+1,1)</f>
        <v>3</v>
      </c>
      <c r="U961">
        <f>IF(O961=O962,"",S961/T961)</f>
        <v>19782.276597</v>
      </c>
      <c r="V961" t="str">
        <f>IF(U961="","",IF(ABS(Q961-U961)&gt;V$1,"error",""))</f>
        <v/>
      </c>
    </row>
    <row r="962" spans="1:22" x14ac:dyDescent="0.55000000000000004">
      <c r="A962">
        <v>18904.241720000002</v>
      </c>
      <c r="B962" s="1">
        <v>0.20499999999999999</v>
      </c>
      <c r="C962" s="1">
        <v>0.20499999999999999</v>
      </c>
      <c r="D962" s="2" t="s">
        <v>680</v>
      </c>
      <c r="E962">
        <v>1</v>
      </c>
      <c r="F962" s="2" t="s">
        <v>1</v>
      </c>
      <c r="G962">
        <v>1</v>
      </c>
      <c r="H962">
        <v>15.5</v>
      </c>
      <c r="I962" s="2" t="s">
        <v>0</v>
      </c>
      <c r="J962">
        <v>1</v>
      </c>
      <c r="K962" s="2" t="s">
        <v>2</v>
      </c>
      <c r="L962">
        <v>1</v>
      </c>
      <c r="M962">
        <v>15.5</v>
      </c>
      <c r="N962" s="2" t="s">
        <v>1091</v>
      </c>
      <c r="O962" t="str">
        <f>D962&amp;"-"&amp;E962&amp;"-"&amp;F962&amp;"-"&amp;G962&amp;"-"&amp;H962</f>
        <v>E-1-f-1-15.5</v>
      </c>
      <c r="P962" t="str">
        <f>I962&amp;"-"&amp;J962&amp;"-"&amp;K962&amp;"-"&amp;L962&amp;"-"&amp;M962</f>
        <v>X-1-e-1-15.5</v>
      </c>
      <c r="Q962">
        <f>A962+R962</f>
        <v>20922.942652000002</v>
      </c>
      <c r="R962">
        <f>_xlfn.IFNA(VLOOKUP(P962,PGOPHER!A$2:G$181,7,FALSE),_xlfn.IFNA(VLOOKUP(P962,en!A$2:I$768,7,FALSE),-10000))</f>
        <v>2018.700932</v>
      </c>
      <c r="S962">
        <f>IF(O962=O961,Q961+S961,Q962)</f>
        <v>20922.942652000002</v>
      </c>
      <c r="T962">
        <f>IF(O962=O961,T961+1,1)</f>
        <v>1</v>
      </c>
      <c r="U962">
        <f>IF(O962=O963,"",S962/T962)</f>
        <v>20922.942652000002</v>
      </c>
      <c r="V962" t="str">
        <f>IF(U962="","",IF(ABS(Q962-U962)&gt;V$1,"error",""))</f>
        <v/>
      </c>
    </row>
    <row r="963" spans="1:22" x14ac:dyDescent="0.55000000000000004">
      <c r="A963">
        <v>18966.191449999998</v>
      </c>
      <c r="B963" s="1">
        <v>0.105</v>
      </c>
      <c r="C963" s="1">
        <v>0.105</v>
      </c>
      <c r="D963" s="2" t="s">
        <v>680</v>
      </c>
      <c r="E963">
        <v>2</v>
      </c>
      <c r="F963" s="2" t="s">
        <v>2</v>
      </c>
      <c r="G963">
        <v>0</v>
      </c>
      <c r="H963">
        <v>15.5</v>
      </c>
      <c r="I963" s="2" t="s">
        <v>0</v>
      </c>
      <c r="J963">
        <v>2</v>
      </c>
      <c r="K963" s="2" t="s">
        <v>1</v>
      </c>
      <c r="L963">
        <v>0</v>
      </c>
      <c r="M963">
        <v>15.5</v>
      </c>
      <c r="N963" s="2" t="s">
        <v>851</v>
      </c>
      <c r="O963" t="str">
        <f>D963&amp;"-"&amp;E963&amp;"-"&amp;F963&amp;"-"&amp;G963&amp;"-"&amp;H963</f>
        <v>E-2-e-0-15.5</v>
      </c>
      <c r="P963" t="str">
        <f>I963&amp;"-"&amp;J963&amp;"-"&amp;K963&amp;"-"&amp;L963&amp;"-"&amp;M963</f>
        <v>X-2-f-0-15.5</v>
      </c>
      <c r="Q963">
        <f>A963+R963</f>
        <v>19943.505556999997</v>
      </c>
      <c r="R963">
        <f>_xlfn.IFNA(VLOOKUP(P963,PGOPHER!A$2:G$181,7,FALSE),_xlfn.IFNA(VLOOKUP(P963,en!A$2:I$768,7,FALSE),-10000))</f>
        <v>977.31410700000004</v>
      </c>
      <c r="S963">
        <f>IF(O963=O962,Q962+S962,Q963)</f>
        <v>19943.505556999997</v>
      </c>
      <c r="T963">
        <f>IF(O963=O962,T962+1,1)</f>
        <v>1</v>
      </c>
      <c r="U963" t="str">
        <f>IF(O963=O964,"",S963/T963)</f>
        <v/>
      </c>
      <c r="V963" t="str">
        <f>IF(U963="","",IF(ABS(Q963-U963)&gt;V$1,"error",""))</f>
        <v/>
      </c>
    </row>
    <row r="964" spans="1:22" x14ac:dyDescent="0.55000000000000004">
      <c r="A964">
        <v>19185.567330000002</v>
      </c>
      <c r="B964" s="1">
        <v>0.105</v>
      </c>
      <c r="C964" s="1">
        <v>0.105</v>
      </c>
      <c r="D964" s="2" t="s">
        <v>680</v>
      </c>
      <c r="E964">
        <v>2</v>
      </c>
      <c r="F964" s="2" t="s">
        <v>2</v>
      </c>
      <c r="G964">
        <v>0</v>
      </c>
      <c r="H964">
        <v>15.5</v>
      </c>
      <c r="I964" s="2" t="s">
        <v>0</v>
      </c>
      <c r="J964">
        <v>1</v>
      </c>
      <c r="K964" s="2" t="s">
        <v>2</v>
      </c>
      <c r="L964">
        <v>0</v>
      </c>
      <c r="M964">
        <v>14.5</v>
      </c>
      <c r="N964" s="2" t="s">
        <v>850</v>
      </c>
      <c r="O964" t="str">
        <f>D964&amp;"-"&amp;E964&amp;"-"&amp;F964&amp;"-"&amp;G964&amp;"-"&amp;H964</f>
        <v>E-2-e-0-15.5</v>
      </c>
      <c r="P964" t="str">
        <f>I964&amp;"-"&amp;J964&amp;"-"&amp;K964&amp;"-"&amp;L964&amp;"-"&amp;M964</f>
        <v>X-1-e-0-14.5</v>
      </c>
      <c r="Q964">
        <f>A964+R964</f>
        <v>19943.496536000002</v>
      </c>
      <c r="R964">
        <f>_xlfn.IFNA(VLOOKUP(P964,PGOPHER!A$2:G$181,7,FALSE),_xlfn.IFNA(VLOOKUP(P964,en!A$2:I$768,7,FALSE),-10000))</f>
        <v>757.92920600000002</v>
      </c>
      <c r="S964">
        <f>IF(O964=O963,Q963+S963,Q964)</f>
        <v>39887.011113999994</v>
      </c>
      <c r="T964">
        <f>IF(O964=O963,T963+1,1)</f>
        <v>2</v>
      </c>
      <c r="U964">
        <f>IF(O964=O965,"",S964/T964)</f>
        <v>19943.505556999997</v>
      </c>
      <c r="V964" t="str">
        <f>IF(U964="","",IF(ABS(Q964-U964)&gt;V$1,"error",""))</f>
        <v/>
      </c>
    </row>
    <row r="965" spans="1:22" x14ac:dyDescent="0.55000000000000004">
      <c r="A965">
        <v>18956.127120000001</v>
      </c>
      <c r="B965" s="1">
        <v>5.0000000000000001E-3</v>
      </c>
      <c r="C965" s="1">
        <v>5.0000000000000001E-3</v>
      </c>
      <c r="D965" s="2" t="s">
        <v>680</v>
      </c>
      <c r="E965">
        <v>2</v>
      </c>
      <c r="F965" s="2" t="s">
        <v>2</v>
      </c>
      <c r="G965">
        <v>1</v>
      </c>
      <c r="H965">
        <v>15.5</v>
      </c>
      <c r="I965" s="2" t="s">
        <v>0</v>
      </c>
      <c r="J965">
        <v>2</v>
      </c>
      <c r="K965" s="2" t="s">
        <v>1</v>
      </c>
      <c r="L965">
        <v>1</v>
      </c>
      <c r="M965">
        <v>15.5</v>
      </c>
      <c r="N965" s="2" t="s">
        <v>1093</v>
      </c>
      <c r="O965" t="str">
        <f>D965&amp;"-"&amp;E965&amp;"-"&amp;F965&amp;"-"&amp;G965&amp;"-"&amp;H965</f>
        <v>E-2-e-1-15.5</v>
      </c>
      <c r="P965" t="str">
        <f>I965&amp;"-"&amp;J965&amp;"-"&amp;K965&amp;"-"&amp;L965&amp;"-"&amp;M965</f>
        <v>X-2-f-1-15.5</v>
      </c>
      <c r="Q965">
        <f>A965+R965</f>
        <v>21084.467889</v>
      </c>
      <c r="R965">
        <f>_xlfn.IFNA(VLOOKUP(P965,PGOPHER!A$2:G$181,7,FALSE),_xlfn.IFNA(VLOOKUP(P965,en!A$2:I$768,7,FALSE),-10000))</f>
        <v>2128.3407689999999</v>
      </c>
      <c r="S965">
        <f>IF(O965=O964,Q964+S964,Q965)</f>
        <v>21084.467889</v>
      </c>
      <c r="T965">
        <f>IF(O965=O964,T964+1,1)</f>
        <v>1</v>
      </c>
      <c r="U965" t="str">
        <f>IF(O965=O966,"",S965/T965)</f>
        <v/>
      </c>
      <c r="V965" t="str">
        <f>IF(U965="","",IF(ABS(Q965-U965)&gt;V$1,"error",""))</f>
        <v/>
      </c>
    </row>
    <row r="966" spans="1:22" x14ac:dyDescent="0.55000000000000004">
      <c r="A966">
        <v>19170.60253</v>
      </c>
      <c r="B966" s="1">
        <v>5.0000000000000001E-3</v>
      </c>
      <c r="C966" s="1">
        <v>5.0000000000000001E-3</v>
      </c>
      <c r="D966" s="2" t="s">
        <v>680</v>
      </c>
      <c r="E966">
        <v>2</v>
      </c>
      <c r="F966" s="2" t="s">
        <v>2</v>
      </c>
      <c r="G966">
        <v>1</v>
      </c>
      <c r="H966">
        <v>15.5</v>
      </c>
      <c r="I966" s="2" t="s">
        <v>0</v>
      </c>
      <c r="J966">
        <v>1</v>
      </c>
      <c r="K966" s="2" t="s">
        <v>2</v>
      </c>
      <c r="L966">
        <v>1</v>
      </c>
      <c r="M966">
        <v>14.5</v>
      </c>
      <c r="N966" s="2" t="s">
        <v>1092</v>
      </c>
      <c r="O966" t="str">
        <f>D966&amp;"-"&amp;E966&amp;"-"&amp;F966&amp;"-"&amp;G966&amp;"-"&amp;H966</f>
        <v>E-2-e-1-15.5</v>
      </c>
      <c r="P966" t="str">
        <f>I966&amp;"-"&amp;J966&amp;"-"&amp;K966&amp;"-"&amp;L966&amp;"-"&amp;M966</f>
        <v>X-1-e-1-14.5</v>
      </c>
      <c r="Q966">
        <f>A966+R966</f>
        <v>21084.461974000002</v>
      </c>
      <c r="R966">
        <f>_xlfn.IFNA(VLOOKUP(P966,PGOPHER!A$2:G$181,7,FALSE),_xlfn.IFNA(VLOOKUP(P966,en!A$2:I$768,7,FALSE),-10000))</f>
        <v>1913.8594439999999</v>
      </c>
      <c r="S966">
        <f>IF(O966=O965,Q965+S965,Q966)</f>
        <v>42168.935777999999</v>
      </c>
      <c r="T966">
        <f>IF(O966=O965,T965+1,1)</f>
        <v>2</v>
      </c>
      <c r="U966">
        <f>IF(O966=O967,"",S966/T966)</f>
        <v>21084.467889</v>
      </c>
      <c r="V966" t="str">
        <f>IF(U966="","",IF(ABS(Q966-U966)&gt;V$1,"error",""))</f>
        <v/>
      </c>
    </row>
    <row r="967" spans="1:22" x14ac:dyDescent="0.55000000000000004">
      <c r="A967">
        <v>19082.051479999998</v>
      </c>
      <c r="B967" s="1">
        <v>5.0000000000000001E-3</v>
      </c>
      <c r="C967" s="1">
        <v>5.0000000000000001E-3</v>
      </c>
      <c r="D967" s="2" t="s">
        <v>680</v>
      </c>
      <c r="E967">
        <v>2</v>
      </c>
      <c r="F967" s="2" t="s">
        <v>1</v>
      </c>
      <c r="G967">
        <v>0</v>
      </c>
      <c r="H967">
        <v>15.5</v>
      </c>
      <c r="I967" s="2" t="s">
        <v>0</v>
      </c>
      <c r="J967">
        <v>2</v>
      </c>
      <c r="K967" s="2" t="s">
        <v>1</v>
      </c>
      <c r="L967">
        <v>0</v>
      </c>
      <c r="M967">
        <v>14.5</v>
      </c>
      <c r="N967" s="2" t="s">
        <v>852</v>
      </c>
      <c r="O967" t="str">
        <f>D967&amp;"-"&amp;E967&amp;"-"&amp;F967&amp;"-"&amp;G967&amp;"-"&amp;H967</f>
        <v>E-2-f-0-15.5</v>
      </c>
      <c r="P967" t="str">
        <f>I967&amp;"-"&amp;J967&amp;"-"&amp;K967&amp;"-"&amp;L967&amp;"-"&amp;M967</f>
        <v>X-2-f-0-14.5</v>
      </c>
      <c r="Q967">
        <f>A967+R967</f>
        <v>19945.354485</v>
      </c>
      <c r="R967">
        <f>_xlfn.IFNA(VLOOKUP(P967,PGOPHER!A$2:G$181,7,FALSE),_xlfn.IFNA(VLOOKUP(P967,en!A$2:I$768,7,FALSE),-10000))</f>
        <v>863.30300499999998</v>
      </c>
      <c r="S967">
        <f>IF(O967=O966,Q966+S966,Q967)</f>
        <v>19945.354485</v>
      </c>
      <c r="T967">
        <f>IF(O967=O966,T966+1,1)</f>
        <v>1</v>
      </c>
      <c r="U967" t="str">
        <f>IF(O967=O968,"",S967/T967)</f>
        <v/>
      </c>
      <c r="V967" t="str">
        <f>IF(U967="","",IF(ABS(Q967-U967)&gt;V$1,"error",""))</f>
        <v/>
      </c>
    </row>
    <row r="968" spans="1:22" x14ac:dyDescent="0.55000000000000004">
      <c r="A968">
        <v>18847.183779999999</v>
      </c>
      <c r="B968" s="1">
        <v>1.4999999999999999E-2</v>
      </c>
      <c r="C968" s="1">
        <v>1.4999999999999999E-2</v>
      </c>
      <c r="D968" s="2" t="s">
        <v>680</v>
      </c>
      <c r="E968">
        <v>2</v>
      </c>
      <c r="F968" s="2" t="s">
        <v>1</v>
      </c>
      <c r="G968">
        <v>0</v>
      </c>
      <c r="H968">
        <v>15.5</v>
      </c>
      <c r="I968" s="2" t="s">
        <v>0</v>
      </c>
      <c r="J968">
        <v>2</v>
      </c>
      <c r="K968" s="2" t="s">
        <v>1</v>
      </c>
      <c r="L968">
        <v>0</v>
      </c>
      <c r="M968">
        <v>16.5</v>
      </c>
      <c r="N968" s="2" t="s">
        <v>853</v>
      </c>
      <c r="O968" t="str">
        <f>D968&amp;"-"&amp;E968&amp;"-"&amp;F968&amp;"-"&amp;G968&amp;"-"&amp;H968</f>
        <v>E-2-f-0-15.5</v>
      </c>
      <c r="P968" t="str">
        <f>I968&amp;"-"&amp;J968&amp;"-"&amp;K968&amp;"-"&amp;L968&amp;"-"&amp;M968</f>
        <v>X-2-f-0-16.5</v>
      </c>
      <c r="Q968">
        <f>A968+R968</f>
        <v>19945.348762999998</v>
      </c>
      <c r="R968">
        <f>_xlfn.IFNA(VLOOKUP(P968,PGOPHER!A$2:G$181,7,FALSE),_xlfn.IFNA(VLOOKUP(P968,en!A$2:I$768,7,FALSE),-10000))</f>
        <v>1098.1649829999999</v>
      </c>
      <c r="S968">
        <f>IF(O968=O967,Q967+S967,Q968)</f>
        <v>39890.70897</v>
      </c>
      <c r="T968">
        <f>IF(O968=O967,T967+1,1)</f>
        <v>2</v>
      </c>
      <c r="U968" t="str">
        <f>IF(O968=O969,"",S968/T968)</f>
        <v/>
      </c>
      <c r="V968" t="str">
        <f>IF(U968="","",IF(ABS(Q968-U968)&gt;V$1,"error",""))</f>
        <v/>
      </c>
    </row>
    <row r="969" spans="1:22" x14ac:dyDescent="0.55000000000000004">
      <c r="A969">
        <v>19080.174419999999</v>
      </c>
      <c r="B969" s="1">
        <v>5.0000000000000001E-3</v>
      </c>
      <c r="C969" s="1">
        <v>5.0000000000000001E-3</v>
      </c>
      <c r="D969" s="2" t="s">
        <v>680</v>
      </c>
      <c r="E969">
        <v>2</v>
      </c>
      <c r="F969" s="2" t="s">
        <v>1</v>
      </c>
      <c r="G969">
        <v>0</v>
      </c>
      <c r="H969">
        <v>15.5</v>
      </c>
      <c r="I969" s="2" t="s">
        <v>0</v>
      </c>
      <c r="J969">
        <v>1</v>
      </c>
      <c r="K969" s="2" t="s">
        <v>2</v>
      </c>
      <c r="L969">
        <v>0</v>
      </c>
      <c r="M969">
        <v>15.5</v>
      </c>
      <c r="N969" s="2" t="s">
        <v>854</v>
      </c>
      <c r="O969" t="str">
        <f>D969&amp;"-"&amp;E969&amp;"-"&amp;F969&amp;"-"&amp;G969&amp;"-"&amp;H969</f>
        <v>E-2-f-0-15.5</v>
      </c>
      <c r="P969" t="str">
        <f>I969&amp;"-"&amp;J969&amp;"-"&amp;K969&amp;"-"&amp;L969&amp;"-"&amp;M969</f>
        <v>X-1-e-0-15.5</v>
      </c>
      <c r="Q969">
        <f>A969+R969</f>
        <v>19945.352079</v>
      </c>
      <c r="R969">
        <f>_xlfn.IFNA(VLOOKUP(P969,PGOPHER!A$2:G$181,7,FALSE),_xlfn.IFNA(VLOOKUP(P969,en!A$2:I$768,7,FALSE),-10000))</f>
        <v>865.17765899999995</v>
      </c>
      <c r="S969">
        <f>IF(O969=O968,Q968+S968,Q969)</f>
        <v>59836.057732999994</v>
      </c>
      <c r="T969">
        <f>IF(O969=O968,T968+1,1)</f>
        <v>3</v>
      </c>
      <c r="U969">
        <f>IF(O969=O970,"",S969/T969)</f>
        <v>19945.352577666665</v>
      </c>
      <c r="V969" t="str">
        <f>IF(U969="","",IF(ABS(Q969-U969)&gt;V$1,"error",""))</f>
        <v/>
      </c>
    </row>
    <row r="970" spans="1:22" x14ac:dyDescent="0.55000000000000004">
      <c r="A970">
        <v>19067.186369999999</v>
      </c>
      <c r="B970" s="1">
        <v>1.4999999999999999E-2</v>
      </c>
      <c r="C970" s="1">
        <v>1.4999999999999999E-2</v>
      </c>
      <c r="D970" s="2" t="s">
        <v>680</v>
      </c>
      <c r="E970">
        <v>2</v>
      </c>
      <c r="F970" s="2" t="s">
        <v>1</v>
      </c>
      <c r="G970">
        <v>1</v>
      </c>
      <c r="H970">
        <v>15.5</v>
      </c>
      <c r="I970" s="2" t="s">
        <v>0</v>
      </c>
      <c r="J970">
        <v>1</v>
      </c>
      <c r="K970" s="2" t="s">
        <v>2</v>
      </c>
      <c r="L970">
        <v>1</v>
      </c>
      <c r="M970">
        <v>15.5</v>
      </c>
      <c r="N970" s="2" t="s">
        <v>1094</v>
      </c>
      <c r="O970" t="str">
        <f>D970&amp;"-"&amp;E970&amp;"-"&amp;F970&amp;"-"&amp;G970&amp;"-"&amp;H970</f>
        <v>E-2-f-1-15.5</v>
      </c>
      <c r="P970" t="str">
        <f>I970&amp;"-"&amp;J970&amp;"-"&amp;K970&amp;"-"&amp;L970&amp;"-"&amp;M970</f>
        <v>X-1-e-1-15.5</v>
      </c>
      <c r="Q970">
        <f>A970+R970</f>
        <v>21085.887301999999</v>
      </c>
      <c r="R970">
        <f>_xlfn.IFNA(VLOOKUP(P970,PGOPHER!A$2:G$181,7,FALSE),_xlfn.IFNA(VLOOKUP(P970,en!A$2:I$768,7,FALSE),-10000))</f>
        <v>2018.700932</v>
      </c>
      <c r="S970">
        <f>IF(O970=O969,Q969+S969,Q970)</f>
        <v>21085.887301999999</v>
      </c>
      <c r="T970">
        <f>IF(O970=O969,T969+1,1)</f>
        <v>1</v>
      </c>
      <c r="U970" t="str">
        <f>IF(O970=O971,"",S970/T970)</f>
        <v/>
      </c>
      <c r="V970" t="str">
        <f>IF(U970="","",IF(ABS(Q970-U970)&gt;V$1,"error",""))</f>
        <v/>
      </c>
    </row>
    <row r="971" spans="1:22" x14ac:dyDescent="0.55000000000000004">
      <c r="A971">
        <v>19068.996360000001</v>
      </c>
      <c r="B971" s="1">
        <v>5.0000000000000001E-3</v>
      </c>
      <c r="C971" s="1">
        <v>5.0000000000000001E-3</v>
      </c>
      <c r="D971" s="2" t="s">
        <v>680</v>
      </c>
      <c r="E971">
        <v>2</v>
      </c>
      <c r="F971" s="2" t="s">
        <v>1</v>
      </c>
      <c r="G971">
        <v>1</v>
      </c>
      <c r="H971">
        <v>15.5</v>
      </c>
      <c r="I971" s="2" t="s">
        <v>0</v>
      </c>
      <c r="J971">
        <v>2</v>
      </c>
      <c r="K971" s="2" t="s">
        <v>1</v>
      </c>
      <c r="L971">
        <v>1</v>
      </c>
      <c r="M971">
        <v>14.5</v>
      </c>
      <c r="N971" s="2" t="s">
        <v>1095</v>
      </c>
      <c r="O971" t="str">
        <f>D971&amp;"-"&amp;E971&amp;"-"&amp;F971&amp;"-"&amp;G971&amp;"-"&amp;H971</f>
        <v>E-2-f-1-15.5</v>
      </c>
      <c r="P971" t="str">
        <f>I971&amp;"-"&amp;J971&amp;"-"&amp;K971&amp;"-"&amp;L971&amp;"-"&amp;M971</f>
        <v>X-2-f-1-14.5</v>
      </c>
      <c r="Q971">
        <f>A971+R971</f>
        <v>21085.882197999999</v>
      </c>
      <c r="R971">
        <f>_xlfn.IFNA(VLOOKUP(P971,PGOPHER!A$2:G$181,7,FALSE),_xlfn.IFNA(VLOOKUP(P971,en!A$2:I$768,7,FALSE),-10000))</f>
        <v>2016.8858379999999</v>
      </c>
      <c r="S971">
        <f>IF(O971=O970,Q970+S970,Q971)</f>
        <v>42171.774603999998</v>
      </c>
      <c r="T971">
        <f>IF(O971=O970,T970+1,1)</f>
        <v>2</v>
      </c>
      <c r="U971" t="str">
        <f>IF(O971=O972,"",S971/T971)</f>
        <v/>
      </c>
      <c r="V971" t="str">
        <f>IF(U971="","",IF(ABS(Q971-U971)&gt;V$1,"error",""))</f>
        <v/>
      </c>
    </row>
    <row r="972" spans="1:22" x14ac:dyDescent="0.55000000000000004">
      <c r="A972">
        <v>18839.41185</v>
      </c>
      <c r="B972" s="1">
        <v>5.0000000000000001E-3</v>
      </c>
      <c r="C972" s="1">
        <v>5.0000000000000001E-3</v>
      </c>
      <c r="D972" s="2" t="s">
        <v>680</v>
      </c>
      <c r="E972">
        <v>2</v>
      </c>
      <c r="F972" s="2" t="s">
        <v>1</v>
      </c>
      <c r="G972">
        <v>1</v>
      </c>
      <c r="H972">
        <v>15.5</v>
      </c>
      <c r="I972" s="2" t="s">
        <v>0</v>
      </c>
      <c r="J972">
        <v>2</v>
      </c>
      <c r="K972" s="2" t="s">
        <v>1</v>
      </c>
      <c r="L972">
        <v>1</v>
      </c>
      <c r="M972">
        <v>16.5</v>
      </c>
      <c r="N972" s="2" t="s">
        <v>1096</v>
      </c>
      <c r="O972" t="str">
        <f>D972&amp;"-"&amp;E972&amp;"-"&amp;F972&amp;"-"&amp;G972&amp;"-"&amp;H972</f>
        <v>E-2-f-1-15.5</v>
      </c>
      <c r="P972" t="str">
        <f>I972&amp;"-"&amp;J972&amp;"-"&amp;K972&amp;"-"&amp;L972&amp;"-"&amp;M972</f>
        <v>X-2-f-1-16.5</v>
      </c>
      <c r="Q972">
        <f>A972+R972</f>
        <v>21085.874775</v>
      </c>
      <c r="R972">
        <f>_xlfn.IFNA(VLOOKUP(P972,PGOPHER!A$2:G$181,7,FALSE),_xlfn.IFNA(VLOOKUP(P972,en!A$2:I$768,7,FALSE),-10000))</f>
        <v>2246.4629249999998</v>
      </c>
      <c r="S972">
        <f>IF(O972=O971,Q971+S971,Q972)</f>
        <v>63257.656801999998</v>
      </c>
      <c r="T972">
        <f>IF(O972=O971,T971+1,1)</f>
        <v>3</v>
      </c>
      <c r="U972">
        <f>IF(O972=O973,"",S972/T972)</f>
        <v>21085.885600666665</v>
      </c>
      <c r="V972" t="str">
        <f>IF(U972="","",IF(ABS(Q972-U972)&gt;V$1,"error",""))</f>
        <v/>
      </c>
    </row>
    <row r="973" spans="1:22" x14ac:dyDescent="0.55000000000000004">
      <c r="A973">
        <v>19035.841410000001</v>
      </c>
      <c r="B973" s="1">
        <v>5.0000000000000001E-3</v>
      </c>
      <c r="C973" s="1">
        <v>5.0000000000000001E-3</v>
      </c>
      <c r="D973" s="2" t="s">
        <v>680</v>
      </c>
      <c r="E973">
        <v>1</v>
      </c>
      <c r="F973" s="2" t="s">
        <v>2</v>
      </c>
      <c r="G973">
        <v>0</v>
      </c>
      <c r="H973">
        <v>16.5</v>
      </c>
      <c r="I973" s="2" t="s">
        <v>0</v>
      </c>
      <c r="J973">
        <v>1</v>
      </c>
      <c r="K973" s="2" t="s">
        <v>2</v>
      </c>
      <c r="L973">
        <v>0</v>
      </c>
      <c r="M973">
        <v>15.5</v>
      </c>
      <c r="N973" s="2" t="s">
        <v>855</v>
      </c>
      <c r="O973" t="str">
        <f>D973&amp;"-"&amp;E973&amp;"-"&amp;F973&amp;"-"&amp;G973&amp;"-"&amp;H973</f>
        <v>E-1-e-0-16.5</v>
      </c>
      <c r="P973" t="str">
        <f>I973&amp;"-"&amp;J973&amp;"-"&amp;K973&amp;"-"&amp;L973&amp;"-"&amp;M973</f>
        <v>X-1-e-0-15.5</v>
      </c>
      <c r="Q973">
        <f>A973+R973</f>
        <v>19901.019069000002</v>
      </c>
      <c r="R973">
        <f>_xlfn.IFNA(VLOOKUP(P973,PGOPHER!A$2:G$181,7,FALSE),_xlfn.IFNA(VLOOKUP(P973,en!A$2:I$768,7,FALSE),-10000))</f>
        <v>865.17765899999995</v>
      </c>
      <c r="S973">
        <f>IF(O973=O972,Q972+S972,Q973)</f>
        <v>19901.019069000002</v>
      </c>
      <c r="T973">
        <f>IF(O973=O972,T972+1,1)</f>
        <v>1</v>
      </c>
      <c r="U973" t="str">
        <f>IF(O973=O974,"",S973/T973)</f>
        <v/>
      </c>
      <c r="V973" t="str">
        <f>IF(U973="","",IF(ABS(Q973-U973)&gt;V$1,"error",""))</f>
        <v/>
      </c>
    </row>
    <row r="974" spans="1:22" x14ac:dyDescent="0.55000000000000004">
      <c r="A974">
        <v>18800.744979999999</v>
      </c>
      <c r="B974" s="1">
        <v>5.0000000000000001E-3</v>
      </c>
      <c r="C974" s="1">
        <v>5.0000000000000001E-3</v>
      </c>
      <c r="D974" s="2" t="s">
        <v>680</v>
      </c>
      <c r="E974">
        <v>1</v>
      </c>
      <c r="F974" s="2" t="s">
        <v>2</v>
      </c>
      <c r="G974">
        <v>0</v>
      </c>
      <c r="H974">
        <v>16.5</v>
      </c>
      <c r="I974" s="2" t="s">
        <v>0</v>
      </c>
      <c r="J974">
        <v>1</v>
      </c>
      <c r="K974" s="2" t="s">
        <v>2</v>
      </c>
      <c r="L974">
        <v>0</v>
      </c>
      <c r="M974">
        <v>17.5</v>
      </c>
      <c r="N974" s="2" t="s">
        <v>856</v>
      </c>
      <c r="O974" t="str">
        <f>D974&amp;"-"&amp;E974&amp;"-"&amp;F974&amp;"-"&amp;G974&amp;"-"&amp;H974</f>
        <v>E-1-e-0-16.5</v>
      </c>
      <c r="P974" t="str">
        <f>I974&amp;"-"&amp;J974&amp;"-"&amp;K974&amp;"-"&amp;L974&amp;"-"&amp;M974</f>
        <v>X-1-e-0-17.5</v>
      </c>
      <c r="Q974">
        <f>A974+R974</f>
        <v>19901.017024000001</v>
      </c>
      <c r="R974">
        <f>_xlfn.IFNA(VLOOKUP(P974,PGOPHER!A$2:G$181,7,FALSE),_xlfn.IFNA(VLOOKUP(P974,en!A$2:I$768,7,FALSE),-10000))</f>
        <v>1100.2720440000001</v>
      </c>
      <c r="S974">
        <f>IF(O974=O973,Q973+S973,Q974)</f>
        <v>39802.038138000004</v>
      </c>
      <c r="T974">
        <f>IF(O974=O973,T973+1,1)</f>
        <v>2</v>
      </c>
      <c r="U974" t="str">
        <f>IF(O974=O975,"",S974/T974)</f>
        <v/>
      </c>
      <c r="V974" t="str">
        <f>IF(U974="","",IF(ABS(Q974-U974)&gt;V$1,"error",""))</f>
        <v/>
      </c>
    </row>
    <row r="975" spans="1:22" x14ac:dyDescent="0.55000000000000004">
      <c r="A975">
        <v>18802.849129999999</v>
      </c>
      <c r="B975" s="1">
        <v>5.0000000000000001E-3</v>
      </c>
      <c r="C975" s="1">
        <v>5.0000000000000001E-3</v>
      </c>
      <c r="D975" s="2" t="s">
        <v>680</v>
      </c>
      <c r="E975">
        <v>1</v>
      </c>
      <c r="F975" s="2" t="s">
        <v>2</v>
      </c>
      <c r="G975">
        <v>0</v>
      </c>
      <c r="H975">
        <v>16.5</v>
      </c>
      <c r="I975" s="2" t="s">
        <v>0</v>
      </c>
      <c r="J975">
        <v>2</v>
      </c>
      <c r="K975" s="2" t="s">
        <v>1</v>
      </c>
      <c r="L975">
        <v>0</v>
      </c>
      <c r="M975">
        <v>16.5</v>
      </c>
      <c r="N975" s="2" t="s">
        <v>857</v>
      </c>
      <c r="O975" t="str">
        <f>D975&amp;"-"&amp;E975&amp;"-"&amp;F975&amp;"-"&amp;G975&amp;"-"&amp;H975</f>
        <v>E-1-e-0-16.5</v>
      </c>
      <c r="P975" t="str">
        <f>I975&amp;"-"&amp;J975&amp;"-"&amp;K975&amp;"-"&amp;L975&amp;"-"&amp;M975</f>
        <v>X-2-f-0-16.5</v>
      </c>
      <c r="Q975">
        <f>A975+R975</f>
        <v>19901.014112999997</v>
      </c>
      <c r="R975">
        <f>_xlfn.IFNA(VLOOKUP(P975,PGOPHER!A$2:G$181,7,FALSE),_xlfn.IFNA(VLOOKUP(P975,en!A$2:I$768,7,FALSE),-10000))</f>
        <v>1098.1649829999999</v>
      </c>
      <c r="S975">
        <f>IF(O975=O974,Q974+S974,Q975)</f>
        <v>59703.055162000004</v>
      </c>
      <c r="T975">
        <f>IF(O975=O974,T974+1,1)</f>
        <v>3</v>
      </c>
      <c r="U975">
        <f>IF(O975=O976,"",S975/T975)</f>
        <v>19901.018387333334</v>
      </c>
      <c r="V975" t="str">
        <f>IF(U975="","",IF(ABS(Q975-U975)&gt;V$1,"error",""))</f>
        <v/>
      </c>
    </row>
    <row r="976" spans="1:22" x14ac:dyDescent="0.55000000000000004">
      <c r="A976">
        <v>19019.734369999998</v>
      </c>
      <c r="B976" s="1">
        <v>5.0000000000000001E-3</v>
      </c>
      <c r="C976" s="1">
        <v>5.0000000000000001E-3</v>
      </c>
      <c r="D976" s="2" t="s">
        <v>680</v>
      </c>
      <c r="E976">
        <v>1</v>
      </c>
      <c r="F976" s="2" t="s">
        <v>2</v>
      </c>
      <c r="G976">
        <v>1</v>
      </c>
      <c r="H976">
        <v>16.5</v>
      </c>
      <c r="I976" s="2" t="s">
        <v>0</v>
      </c>
      <c r="J976">
        <v>1</v>
      </c>
      <c r="K976" s="2" t="s">
        <v>2</v>
      </c>
      <c r="L976">
        <v>1</v>
      </c>
      <c r="M976">
        <v>15.5</v>
      </c>
      <c r="N976" s="2" t="s">
        <v>1098</v>
      </c>
      <c r="O976" t="str">
        <f>D976&amp;"-"&amp;E976&amp;"-"&amp;F976&amp;"-"&amp;G976&amp;"-"&amp;H976</f>
        <v>E-1-e-1-16.5</v>
      </c>
      <c r="P976" t="str">
        <f>I976&amp;"-"&amp;J976&amp;"-"&amp;K976&amp;"-"&amp;L976&amp;"-"&amp;M976</f>
        <v>X-1-e-1-15.5</v>
      </c>
      <c r="Q976">
        <f>A976+R976</f>
        <v>21038.435301999998</v>
      </c>
      <c r="R976">
        <f>_xlfn.IFNA(VLOOKUP(P976,PGOPHER!A$2:G$181,7,FALSE),_xlfn.IFNA(VLOOKUP(P976,en!A$2:I$768,7,FALSE),-10000))</f>
        <v>2018.700932</v>
      </c>
      <c r="S976">
        <f>IF(O976=O975,Q975+S975,Q976)</f>
        <v>21038.435301999998</v>
      </c>
      <c r="T976">
        <f>IF(O976=O975,T975+1,1)</f>
        <v>1</v>
      </c>
      <c r="U976" t="str">
        <f>IF(O976=O977,"",S976/T976)</f>
        <v/>
      </c>
      <c r="V976" t="str">
        <f>IF(U976="","",IF(ABS(Q976-U976)&gt;V$1,"error",""))</f>
        <v/>
      </c>
    </row>
    <row r="977" spans="1:22" x14ac:dyDescent="0.55000000000000004">
      <c r="A977">
        <v>18789.941340000001</v>
      </c>
      <c r="B977" s="1">
        <v>5.0000000000000001E-3</v>
      </c>
      <c r="C977" s="1">
        <v>5.0000000000000001E-3</v>
      </c>
      <c r="D977" s="2" t="s">
        <v>680</v>
      </c>
      <c r="E977">
        <v>1</v>
      </c>
      <c r="F977" s="2" t="s">
        <v>2</v>
      </c>
      <c r="G977">
        <v>1</v>
      </c>
      <c r="H977">
        <v>16.5</v>
      </c>
      <c r="I977" s="2" t="s">
        <v>0</v>
      </c>
      <c r="J977">
        <v>1</v>
      </c>
      <c r="K977" s="2" t="s">
        <v>2</v>
      </c>
      <c r="L977">
        <v>1</v>
      </c>
      <c r="M977">
        <v>17.5</v>
      </c>
      <c r="N977" s="2" t="s">
        <v>1097</v>
      </c>
      <c r="O977" t="str">
        <f>D977&amp;"-"&amp;E977&amp;"-"&amp;F977&amp;"-"&amp;G977&amp;"-"&amp;H977</f>
        <v>E-1-e-1-16.5</v>
      </c>
      <c r="P977" t="str">
        <f>I977&amp;"-"&amp;J977&amp;"-"&amp;K977&amp;"-"&amp;L977&amp;"-"&amp;M977</f>
        <v>X-1-e-1-17.5</v>
      </c>
      <c r="Q977">
        <f>A977+R977</f>
        <v>21038.440320000002</v>
      </c>
      <c r="R977">
        <f>_xlfn.IFNA(VLOOKUP(P977,PGOPHER!A$2:G$181,7,FALSE),_xlfn.IFNA(VLOOKUP(P977,en!A$2:I$768,7,FALSE),-10000))</f>
        <v>2248.4989799999998</v>
      </c>
      <c r="S977">
        <f>IF(O977=O976,Q976+S976,Q977)</f>
        <v>42076.870603999996</v>
      </c>
      <c r="T977">
        <f>IF(O977=O976,T976+1,1)</f>
        <v>2</v>
      </c>
      <c r="U977">
        <f>IF(O977=O978,"",S977/T977)</f>
        <v>21038.435301999998</v>
      </c>
      <c r="V977" t="str">
        <f>IF(U977="","",IF(ABS(Q977-U977)&gt;V$1,"error",""))</f>
        <v/>
      </c>
    </row>
    <row r="978" spans="1:22" x14ac:dyDescent="0.55000000000000004">
      <c r="A978">
        <v>18674.594260000002</v>
      </c>
      <c r="B978" s="1">
        <v>2.5000000000000001E-2</v>
      </c>
      <c r="C978" s="1">
        <v>2.5000000000000001E-2</v>
      </c>
      <c r="D978" s="2" t="s">
        <v>680</v>
      </c>
      <c r="E978">
        <v>1</v>
      </c>
      <c r="F978" s="2" t="s">
        <v>1</v>
      </c>
      <c r="G978">
        <v>0</v>
      </c>
      <c r="H978">
        <v>16.5</v>
      </c>
      <c r="I978" s="2" t="s">
        <v>0</v>
      </c>
      <c r="J978">
        <v>2</v>
      </c>
      <c r="K978" s="2" t="s">
        <v>1</v>
      </c>
      <c r="L978">
        <v>0</v>
      </c>
      <c r="M978">
        <v>17.5</v>
      </c>
      <c r="N978" s="2" t="s">
        <v>858</v>
      </c>
      <c r="O978" t="str">
        <f>D978&amp;"-"&amp;E978&amp;"-"&amp;F978&amp;"-"&amp;G978&amp;"-"&amp;H978</f>
        <v>E-1-f-0-16.5</v>
      </c>
      <c r="P978" t="str">
        <f>I978&amp;"-"&amp;J978&amp;"-"&amp;K978&amp;"-"&amp;L978&amp;"-"&amp;M978</f>
        <v>X-2-f-0-17.5</v>
      </c>
      <c r="Q978">
        <f>A978+R978</f>
        <v>19900.384129000002</v>
      </c>
      <c r="R978">
        <f>_xlfn.IFNA(VLOOKUP(P978,PGOPHER!A$2:G$181,7,FALSE),_xlfn.IFNA(VLOOKUP(P978,en!A$2:I$768,7,FALSE),-10000))</f>
        <v>1225.789869</v>
      </c>
      <c r="S978">
        <f>IF(O978=O977,Q977+S977,Q978)</f>
        <v>19900.384129000002</v>
      </c>
      <c r="T978">
        <f>IF(O978=O977,T977+1,1)</f>
        <v>1</v>
      </c>
      <c r="U978" t="str">
        <f>IF(O978=O979,"",S978/T978)</f>
        <v/>
      </c>
      <c r="V978" t="str">
        <f>IF(U978="","",IF(ABS(Q978-U978)&gt;V$1,"error",""))</f>
        <v/>
      </c>
    </row>
    <row r="979" spans="1:22" x14ac:dyDescent="0.55000000000000004">
      <c r="A979">
        <v>18923.07835</v>
      </c>
      <c r="B979" s="1">
        <v>5.0000000000000001E-3</v>
      </c>
      <c r="C979" s="1">
        <v>5.0000000000000001E-3</v>
      </c>
      <c r="D979" s="2" t="s">
        <v>680</v>
      </c>
      <c r="E979">
        <v>1</v>
      </c>
      <c r="F979" s="2" t="s">
        <v>1</v>
      </c>
      <c r="G979">
        <v>0</v>
      </c>
      <c r="H979">
        <v>16.5</v>
      </c>
      <c r="I979" s="2" t="s">
        <v>0</v>
      </c>
      <c r="J979">
        <v>2</v>
      </c>
      <c r="K979" s="2" t="s">
        <v>1</v>
      </c>
      <c r="L979">
        <v>0</v>
      </c>
      <c r="M979">
        <v>15.5</v>
      </c>
      <c r="N979" s="2" t="s">
        <v>859</v>
      </c>
      <c r="O979" t="str">
        <f>D979&amp;"-"&amp;E979&amp;"-"&amp;F979&amp;"-"&amp;G979&amp;"-"&amp;H979</f>
        <v>E-1-f-0-16.5</v>
      </c>
      <c r="P979" t="str">
        <f>I979&amp;"-"&amp;J979&amp;"-"&amp;K979&amp;"-"&amp;L979&amp;"-"&amp;M979</f>
        <v>X-2-f-0-15.5</v>
      </c>
      <c r="Q979">
        <f>A979+R979</f>
        <v>19900.392456999998</v>
      </c>
      <c r="R979">
        <f>_xlfn.IFNA(VLOOKUP(P979,PGOPHER!A$2:G$181,7,FALSE),_xlfn.IFNA(VLOOKUP(P979,en!A$2:I$768,7,FALSE),-10000))</f>
        <v>977.31410700000004</v>
      </c>
      <c r="S979">
        <f>IF(O979=O978,Q978+S978,Q979)</f>
        <v>39800.768258000004</v>
      </c>
      <c r="T979">
        <f>IF(O979=O978,T978+1,1)</f>
        <v>2</v>
      </c>
      <c r="U979" t="str">
        <f>IF(O979=O980,"",S979/T979)</f>
        <v/>
      </c>
      <c r="V979" t="str">
        <f>IF(U979="","",IF(ABS(Q979-U979)&gt;V$1,"error",""))</f>
        <v/>
      </c>
    </row>
    <row r="980" spans="1:22" x14ac:dyDescent="0.55000000000000004">
      <c r="A980">
        <v>18921.080709999998</v>
      </c>
      <c r="B980" s="1">
        <v>5.0000000000000001E-3</v>
      </c>
      <c r="C980" s="1">
        <v>5.0000000000000001E-3</v>
      </c>
      <c r="D980" s="2" t="s">
        <v>680</v>
      </c>
      <c r="E980">
        <v>1</v>
      </c>
      <c r="F980" s="2" t="s">
        <v>1</v>
      </c>
      <c r="G980">
        <v>0</v>
      </c>
      <c r="H980">
        <v>16.5</v>
      </c>
      <c r="I980" s="2" t="s">
        <v>0</v>
      </c>
      <c r="J980">
        <v>1</v>
      </c>
      <c r="K980" s="2" t="s">
        <v>2</v>
      </c>
      <c r="L980">
        <v>0</v>
      </c>
      <c r="M980">
        <v>16.5</v>
      </c>
      <c r="N980" s="2" t="s">
        <v>860</v>
      </c>
      <c r="O980" t="str">
        <f>D980&amp;"-"&amp;E980&amp;"-"&amp;F980&amp;"-"&amp;G980&amp;"-"&amp;H980</f>
        <v>E-1-f-0-16.5</v>
      </c>
      <c r="P980" t="str">
        <f>I980&amp;"-"&amp;J980&amp;"-"&amp;K980&amp;"-"&amp;L980&amp;"-"&amp;M980</f>
        <v>X-1-e-0-16.5</v>
      </c>
      <c r="Q980">
        <f>A980+R980</f>
        <v>19900.388674999998</v>
      </c>
      <c r="R980">
        <f>_xlfn.IFNA(VLOOKUP(P980,PGOPHER!A$2:G$181,7,FALSE),_xlfn.IFNA(VLOOKUP(P980,en!A$2:I$768,7,FALSE),-10000))</f>
        <v>979.30796499999997</v>
      </c>
      <c r="S980">
        <f>IF(O980=O979,Q979+S979,Q980)</f>
        <v>59701.160715000005</v>
      </c>
      <c r="T980">
        <f>IF(O980=O979,T979+1,1)</f>
        <v>3</v>
      </c>
      <c r="U980">
        <f>IF(O980=O981,"",S980/T980)</f>
        <v>19900.386905000003</v>
      </c>
      <c r="V980" t="str">
        <f>IF(U980="","",IF(ABS(Q980-U980)&gt;V$1,"error",""))</f>
        <v/>
      </c>
    </row>
    <row r="981" spans="1:22" x14ac:dyDescent="0.55000000000000004">
      <c r="A981">
        <v>18907.660790000002</v>
      </c>
      <c r="B981" s="1">
        <v>0.105</v>
      </c>
      <c r="C981" s="1">
        <v>0.105</v>
      </c>
      <c r="D981" s="2" t="s">
        <v>680</v>
      </c>
      <c r="E981">
        <v>1</v>
      </c>
      <c r="F981" s="2" t="s">
        <v>1</v>
      </c>
      <c r="G981">
        <v>1</v>
      </c>
      <c r="H981">
        <v>16.5</v>
      </c>
      <c r="I981" s="2" t="s">
        <v>0</v>
      </c>
      <c r="J981">
        <v>1</v>
      </c>
      <c r="K981" s="2" t="s">
        <v>2</v>
      </c>
      <c r="L981">
        <v>1</v>
      </c>
      <c r="M981">
        <v>16.5</v>
      </c>
      <c r="N981" s="2" t="s">
        <v>1099</v>
      </c>
      <c r="O981" t="str">
        <f>D981&amp;"-"&amp;E981&amp;"-"&amp;F981&amp;"-"&amp;G981&amp;"-"&amp;H981</f>
        <v>E-1-f-1-16.5</v>
      </c>
      <c r="P981" t="str">
        <f>I981&amp;"-"&amp;J981&amp;"-"&amp;K981&amp;"-"&amp;L981&amp;"-"&amp;M981</f>
        <v>X-1-e-1-16.5</v>
      </c>
      <c r="Q981">
        <f>A981+R981</f>
        <v>21037.925623000003</v>
      </c>
      <c r="R981">
        <f>_xlfn.IFNA(VLOOKUP(P981,PGOPHER!A$2:G$181,7,FALSE),_xlfn.IFNA(VLOOKUP(P981,en!A$2:I$768,7,FALSE),-10000))</f>
        <v>2130.2648330000002</v>
      </c>
      <c r="S981">
        <f>IF(O981=O980,Q980+S980,Q981)</f>
        <v>21037.925623000003</v>
      </c>
      <c r="T981">
        <f>IF(O981=O980,T980+1,1)</f>
        <v>1</v>
      </c>
      <c r="U981">
        <f>IF(O981=O982,"",S981/T981)</f>
        <v>21037.925623000003</v>
      </c>
      <c r="V981" t="str">
        <f>IF(U981="","",IF(ABS(Q981-U981)&gt;V$1,"error",""))</f>
        <v/>
      </c>
    </row>
    <row r="982" spans="1:22" x14ac:dyDescent="0.55000000000000004">
      <c r="A982">
        <v>18969.30069</v>
      </c>
      <c r="B982" s="1">
        <v>5.0000000000000001E-3</v>
      </c>
      <c r="C982" s="1">
        <v>5.0000000000000001E-3</v>
      </c>
      <c r="D982" s="2" t="s">
        <v>680</v>
      </c>
      <c r="E982">
        <v>2</v>
      </c>
      <c r="F982" s="2" t="s">
        <v>2</v>
      </c>
      <c r="G982">
        <v>0</v>
      </c>
      <c r="H982">
        <v>16.5</v>
      </c>
      <c r="I982" s="2" t="s">
        <v>0</v>
      </c>
      <c r="J982">
        <v>2</v>
      </c>
      <c r="K982" s="2" t="s">
        <v>1</v>
      </c>
      <c r="L982">
        <v>0</v>
      </c>
      <c r="M982">
        <v>16.5</v>
      </c>
      <c r="N982" s="2" t="s">
        <v>862</v>
      </c>
      <c r="O982" t="str">
        <f>D982&amp;"-"&amp;E982&amp;"-"&amp;F982&amp;"-"&amp;G982&amp;"-"&amp;H982</f>
        <v>E-2-e-0-16.5</v>
      </c>
      <c r="P982" t="str">
        <f>I982&amp;"-"&amp;J982&amp;"-"&amp;K982&amp;"-"&amp;L982&amp;"-"&amp;M982</f>
        <v>X-2-f-0-16.5</v>
      </c>
      <c r="Q982">
        <f>A982+R982</f>
        <v>20067.465672999999</v>
      </c>
      <c r="R982">
        <f>_xlfn.IFNA(VLOOKUP(P982,PGOPHER!A$2:G$181,7,FALSE),_xlfn.IFNA(VLOOKUP(P982,en!A$2:I$768,7,FALSE),-10000))</f>
        <v>1098.1649829999999</v>
      </c>
      <c r="S982">
        <f>IF(O982=O981,Q981+S981,Q982)</f>
        <v>20067.465672999999</v>
      </c>
      <c r="T982">
        <f>IF(O982=O981,T981+1,1)</f>
        <v>1</v>
      </c>
      <c r="U982" t="str">
        <f>IF(O982=O983,"",S982/T982)</f>
        <v/>
      </c>
      <c r="V982" t="str">
        <f>IF(U982="","",IF(ABS(Q982-U982)&gt;V$1,"error",""))</f>
        <v/>
      </c>
    </row>
    <row r="983" spans="1:22" x14ac:dyDescent="0.55000000000000004">
      <c r="A983">
        <v>19202.286520000001</v>
      </c>
      <c r="B983" s="1">
        <v>5.0000000000000001E-3</v>
      </c>
      <c r="C983" s="1">
        <v>5.0000000000000001E-3</v>
      </c>
      <c r="D983" s="2" t="s">
        <v>680</v>
      </c>
      <c r="E983">
        <v>2</v>
      </c>
      <c r="F983" s="2" t="s">
        <v>2</v>
      </c>
      <c r="G983">
        <v>0</v>
      </c>
      <c r="H983">
        <v>16.5</v>
      </c>
      <c r="I983" s="2" t="s">
        <v>0</v>
      </c>
      <c r="J983">
        <v>1</v>
      </c>
      <c r="K983" s="2" t="s">
        <v>2</v>
      </c>
      <c r="L983">
        <v>0</v>
      </c>
      <c r="M983">
        <v>15.5</v>
      </c>
      <c r="N983" s="2" t="s">
        <v>861</v>
      </c>
      <c r="O983" t="str">
        <f>D983&amp;"-"&amp;E983&amp;"-"&amp;F983&amp;"-"&amp;G983&amp;"-"&amp;H983</f>
        <v>E-2-e-0-16.5</v>
      </c>
      <c r="P983" t="str">
        <f>I983&amp;"-"&amp;J983&amp;"-"&amp;K983&amp;"-"&amp;L983&amp;"-"&amp;M983</f>
        <v>X-1-e-0-15.5</v>
      </c>
      <c r="Q983">
        <f>A983+R983</f>
        <v>20067.464179000002</v>
      </c>
      <c r="R983">
        <f>_xlfn.IFNA(VLOOKUP(P983,PGOPHER!A$2:G$181,7,FALSE),_xlfn.IFNA(VLOOKUP(P983,en!A$2:I$768,7,FALSE),-10000))</f>
        <v>865.17765899999995</v>
      </c>
      <c r="S983">
        <f>IF(O983=O982,Q982+S982,Q983)</f>
        <v>40134.931345999998</v>
      </c>
      <c r="T983">
        <f>IF(O983=O982,T982+1,1)</f>
        <v>2</v>
      </c>
      <c r="U983">
        <f>IF(O983=O984,"",S983/T983)</f>
        <v>20067.465672999999</v>
      </c>
      <c r="V983" t="str">
        <f>IF(U983="","",IF(ABS(Q983-U983)&gt;V$1,"error",""))</f>
        <v/>
      </c>
    </row>
    <row r="984" spans="1:22" x14ac:dyDescent="0.55000000000000004">
      <c r="A984">
        <v>19092.167689999998</v>
      </c>
      <c r="B984" s="1">
        <v>2.3E-2</v>
      </c>
      <c r="C984" s="1">
        <v>2.3E-2</v>
      </c>
      <c r="D984" s="2" t="s">
        <v>680</v>
      </c>
      <c r="E984">
        <v>2</v>
      </c>
      <c r="F984" s="2" t="s">
        <v>1</v>
      </c>
      <c r="G984">
        <v>0</v>
      </c>
      <c r="H984">
        <v>16.5</v>
      </c>
      <c r="I984" s="2" t="s">
        <v>0</v>
      </c>
      <c r="J984">
        <v>2</v>
      </c>
      <c r="K984" s="2" t="s">
        <v>1</v>
      </c>
      <c r="L984">
        <v>0</v>
      </c>
      <c r="M984">
        <v>15.5</v>
      </c>
      <c r="N984" s="2" t="s">
        <v>863</v>
      </c>
      <c r="O984" t="str">
        <f>D984&amp;"-"&amp;E984&amp;"-"&amp;F984&amp;"-"&amp;G984&amp;"-"&amp;H984</f>
        <v>E-2-f-0-16.5</v>
      </c>
      <c r="P984" t="str">
        <f>I984&amp;"-"&amp;J984&amp;"-"&amp;K984&amp;"-"&amp;L984&amp;"-"&amp;M984</f>
        <v>X-2-f-0-15.5</v>
      </c>
      <c r="Q984">
        <f>A984+R984</f>
        <v>20069.481796999997</v>
      </c>
      <c r="R984">
        <f>_xlfn.IFNA(VLOOKUP(P984,PGOPHER!A$2:G$181,7,FALSE),_xlfn.IFNA(VLOOKUP(P984,en!A$2:I$768,7,FALSE),-10000))</f>
        <v>977.31410700000004</v>
      </c>
      <c r="S984">
        <f>IF(O984=O983,Q983+S983,Q984)</f>
        <v>20069.481796999997</v>
      </c>
      <c r="T984">
        <f>IF(O984=O983,T983+1,1)</f>
        <v>1</v>
      </c>
      <c r="U984" t="str">
        <f>IF(O984=O985,"",S984/T984)</f>
        <v/>
      </c>
      <c r="V984" t="str">
        <f>IF(U984="","",IF(ABS(Q984-U984)&gt;V$1,"error",""))</f>
        <v/>
      </c>
    </row>
    <row r="985" spans="1:22" x14ac:dyDescent="0.55000000000000004">
      <c r="A985">
        <v>18843.697039999999</v>
      </c>
      <c r="B985" s="1">
        <v>5.0000000000000001E-3</v>
      </c>
      <c r="C985" s="1">
        <v>5.0000000000000001E-3</v>
      </c>
      <c r="D985" s="2" t="s">
        <v>680</v>
      </c>
      <c r="E985">
        <v>2</v>
      </c>
      <c r="F985" s="2" t="s">
        <v>1</v>
      </c>
      <c r="G985">
        <v>0</v>
      </c>
      <c r="H985">
        <v>16.5</v>
      </c>
      <c r="I985" s="2" t="s">
        <v>0</v>
      </c>
      <c r="J985">
        <v>2</v>
      </c>
      <c r="K985" s="2" t="s">
        <v>1</v>
      </c>
      <c r="L985">
        <v>0</v>
      </c>
      <c r="M985">
        <v>17.5</v>
      </c>
      <c r="N985" s="2" t="s">
        <v>864</v>
      </c>
      <c r="O985" t="str">
        <f>D985&amp;"-"&amp;E985&amp;"-"&amp;F985&amp;"-"&amp;G985&amp;"-"&amp;H985</f>
        <v>E-2-f-0-16.5</v>
      </c>
      <c r="P985" t="str">
        <f>I985&amp;"-"&amp;J985&amp;"-"&amp;K985&amp;"-"&amp;L985&amp;"-"&amp;M985</f>
        <v>X-2-f-0-17.5</v>
      </c>
      <c r="Q985">
        <f>A985+R985</f>
        <v>20069.486908999999</v>
      </c>
      <c r="R985">
        <f>_xlfn.IFNA(VLOOKUP(P985,PGOPHER!A$2:G$181,7,FALSE),_xlfn.IFNA(VLOOKUP(P985,en!A$2:I$768,7,FALSE),-10000))</f>
        <v>1225.789869</v>
      </c>
      <c r="S985">
        <f>IF(O985=O984,Q984+S984,Q985)</f>
        <v>40138.963593999993</v>
      </c>
      <c r="T985">
        <f>IF(O985=O984,T984+1,1)</f>
        <v>2</v>
      </c>
      <c r="U985" t="str">
        <f>IF(O985=O986,"",S985/T985)</f>
        <v/>
      </c>
      <c r="V985" t="str">
        <f>IF(U985="","",IF(ABS(Q985-U985)&gt;V$1,"error",""))</f>
        <v/>
      </c>
    </row>
    <row r="986" spans="1:22" x14ac:dyDescent="0.55000000000000004">
      <c r="A986">
        <v>19090.182219999999</v>
      </c>
      <c r="B986" s="1">
        <v>5.0000000000000001E-3</v>
      </c>
      <c r="C986" s="1">
        <v>5.0000000000000001E-3</v>
      </c>
      <c r="D986" s="2" t="s">
        <v>680</v>
      </c>
      <c r="E986">
        <v>2</v>
      </c>
      <c r="F986" s="2" t="s">
        <v>1</v>
      </c>
      <c r="G986">
        <v>0</v>
      </c>
      <c r="H986">
        <v>16.5</v>
      </c>
      <c r="I986" s="2" t="s">
        <v>0</v>
      </c>
      <c r="J986">
        <v>1</v>
      </c>
      <c r="K986" s="2" t="s">
        <v>2</v>
      </c>
      <c r="L986">
        <v>0</v>
      </c>
      <c r="M986">
        <v>16.5</v>
      </c>
      <c r="N986" s="2" t="s">
        <v>865</v>
      </c>
      <c r="O986" t="str">
        <f>D986&amp;"-"&amp;E986&amp;"-"&amp;F986&amp;"-"&amp;G986&amp;"-"&amp;H986</f>
        <v>E-2-f-0-16.5</v>
      </c>
      <c r="P986" t="str">
        <f>I986&amp;"-"&amp;J986&amp;"-"&amp;K986&amp;"-"&amp;L986&amp;"-"&amp;M986</f>
        <v>X-1-e-0-16.5</v>
      </c>
      <c r="Q986">
        <f>A986+R986</f>
        <v>20069.490184999999</v>
      </c>
      <c r="R986">
        <f>_xlfn.IFNA(VLOOKUP(P986,PGOPHER!A$2:G$181,7,FALSE),_xlfn.IFNA(VLOOKUP(P986,en!A$2:I$768,7,FALSE),-10000))</f>
        <v>979.30796499999997</v>
      </c>
      <c r="S986">
        <f>IF(O986=O985,Q985+S985,Q986)</f>
        <v>60208.450502999993</v>
      </c>
      <c r="T986">
        <f>IF(O986=O985,T985+1,1)</f>
        <v>3</v>
      </c>
      <c r="U986">
        <f>IF(O986=O987,"",S986/T986)</f>
        <v>20069.483500999999</v>
      </c>
      <c r="V986" t="str">
        <f>IF(U986="","",IF(ABS(Q986-U986)&gt;V$1,"error",""))</f>
        <v/>
      </c>
    </row>
    <row r="987" spans="1:22" x14ac:dyDescent="0.55000000000000004">
      <c r="A987">
        <v>19078.14777</v>
      </c>
      <c r="B987">
        <v>1.162E-2</v>
      </c>
      <c r="C987">
        <v>1.162E-2</v>
      </c>
      <c r="D987" s="2" t="s">
        <v>680</v>
      </c>
      <c r="E987">
        <v>2</v>
      </c>
      <c r="F987" s="2" t="s">
        <v>1</v>
      </c>
      <c r="G987">
        <v>1</v>
      </c>
      <c r="H987">
        <v>16.5</v>
      </c>
      <c r="I987" s="2" t="s">
        <v>0</v>
      </c>
      <c r="J987">
        <v>2</v>
      </c>
      <c r="K987" s="2" t="s">
        <v>1</v>
      </c>
      <c r="L987">
        <v>1</v>
      </c>
      <c r="M987">
        <v>15.5</v>
      </c>
      <c r="N987" s="2" t="s">
        <v>1102</v>
      </c>
      <c r="S987">
        <f>IF(O987=O986,Q986+S986,Q987)</f>
        <v>0</v>
      </c>
      <c r="T987">
        <f>IF(O987=O986,T986+1,1)</f>
        <v>1</v>
      </c>
      <c r="U987" t="str">
        <f>IF(O987=O988,"",S987/T987)</f>
        <v/>
      </c>
      <c r="V987" t="str">
        <f>IF(U987="","",IF(ABS(Q987-U987)&gt;V$1,"error",""))</f>
        <v/>
      </c>
    </row>
    <row r="988" spans="1:22" x14ac:dyDescent="0.55000000000000004">
      <c r="A988">
        <v>18835.266780000002</v>
      </c>
      <c r="B988">
        <v>5.0000000000000001E-3</v>
      </c>
      <c r="C988">
        <v>5.0000000000000001E-3</v>
      </c>
      <c r="D988" s="2" t="s">
        <v>680</v>
      </c>
      <c r="E988">
        <v>2</v>
      </c>
      <c r="F988" s="2" t="s">
        <v>1</v>
      </c>
      <c r="G988">
        <v>1</v>
      </c>
      <c r="H988">
        <v>16.5</v>
      </c>
      <c r="I988" s="2" t="s">
        <v>0</v>
      </c>
      <c r="J988">
        <v>2</v>
      </c>
      <c r="K988" s="2" t="s">
        <v>1</v>
      </c>
      <c r="L988">
        <v>1</v>
      </c>
      <c r="M988">
        <v>17.5</v>
      </c>
      <c r="N988" s="2" t="s">
        <v>1103</v>
      </c>
      <c r="S988">
        <f>IF(O988=O987,Q987+S987,Q988)</f>
        <v>0</v>
      </c>
      <c r="T988">
        <f>IF(O988=O987,T987+1,1)</f>
        <v>2</v>
      </c>
      <c r="U988" t="str">
        <f>IF(O988=O989,"",S988/T988)</f>
        <v/>
      </c>
      <c r="V988" t="str">
        <f>IF(U988="","",IF(ABS(Q988-U988)&gt;V$1,"error",""))</f>
        <v/>
      </c>
    </row>
    <row r="989" spans="1:22" x14ac:dyDescent="0.55000000000000004">
      <c r="A989">
        <v>18958.43302</v>
      </c>
      <c r="B989">
        <v>5.0000000000000001E-3</v>
      </c>
      <c r="C989">
        <v>5.0000000000000001E-3</v>
      </c>
      <c r="D989" s="2" t="s">
        <v>680</v>
      </c>
      <c r="E989">
        <v>2</v>
      </c>
      <c r="F989" s="2" t="s">
        <v>2</v>
      </c>
      <c r="G989">
        <v>1</v>
      </c>
      <c r="H989">
        <v>16.5</v>
      </c>
      <c r="I989" s="2" t="s">
        <v>0</v>
      </c>
      <c r="J989">
        <v>2</v>
      </c>
      <c r="K989" s="2" t="s">
        <v>1</v>
      </c>
      <c r="L989">
        <v>1</v>
      </c>
      <c r="M989">
        <v>16.5</v>
      </c>
      <c r="N989" s="2" t="s">
        <v>1100</v>
      </c>
      <c r="S989">
        <f>IF(O989=O988,Q988+S988,Q989)</f>
        <v>0</v>
      </c>
      <c r="T989">
        <f>IF(O989=O988,T988+1,1)</f>
        <v>3</v>
      </c>
      <c r="U989" t="str">
        <f>IF(O989=O990,"",S989/T989)</f>
        <v/>
      </c>
      <c r="V989" t="str">
        <f>IF(U989="","",IF(ABS(Q989-U989)&gt;V$1,"error",""))</f>
        <v/>
      </c>
    </row>
    <row r="990" spans="1:22" x14ac:dyDescent="0.55000000000000004">
      <c r="A990">
        <v>19076.212070000001</v>
      </c>
      <c r="B990">
        <v>5.0000000000000001E-3</v>
      </c>
      <c r="C990">
        <v>5.0000000000000001E-3</v>
      </c>
      <c r="D990" s="2" t="s">
        <v>680</v>
      </c>
      <c r="E990">
        <v>2</v>
      </c>
      <c r="F990" s="2" t="s">
        <v>1</v>
      </c>
      <c r="G990">
        <v>1</v>
      </c>
      <c r="H990">
        <v>16.5</v>
      </c>
      <c r="I990" s="2" t="s">
        <v>0</v>
      </c>
      <c r="J990">
        <v>1</v>
      </c>
      <c r="K990" s="2" t="s">
        <v>2</v>
      </c>
      <c r="L990">
        <v>1</v>
      </c>
      <c r="M990">
        <v>16.5</v>
      </c>
      <c r="N990" s="2" t="s">
        <v>1101</v>
      </c>
      <c r="S990">
        <f>IF(O990=O989,Q989+S989,Q990)</f>
        <v>0</v>
      </c>
      <c r="T990">
        <f>IF(O990=O989,T989+1,1)</f>
        <v>4</v>
      </c>
      <c r="U990">
        <f>IF(O990=O991,"",S990/T990)</f>
        <v>0</v>
      </c>
      <c r="V990" t="str">
        <f>IF(U990="","",IF(ABS(Q990-U990)&gt;V$1,"error",""))</f>
        <v/>
      </c>
    </row>
    <row r="991" spans="1:22" x14ac:dyDescent="0.55000000000000004">
      <c r="A991">
        <v>19046.976610000002</v>
      </c>
      <c r="B991" s="1">
        <v>5.0000000000000001E-3</v>
      </c>
      <c r="C991" s="1">
        <v>5.0000000000000001E-3</v>
      </c>
      <c r="D991" s="2" t="s">
        <v>680</v>
      </c>
      <c r="E991">
        <v>1</v>
      </c>
      <c r="F991" s="2" t="s">
        <v>2</v>
      </c>
      <c r="G991">
        <v>0</v>
      </c>
      <c r="H991">
        <v>17.5</v>
      </c>
      <c r="I991" s="2" t="s">
        <v>0</v>
      </c>
      <c r="J991">
        <v>1</v>
      </c>
      <c r="K991" s="2" t="s">
        <v>2</v>
      </c>
      <c r="L991">
        <v>0</v>
      </c>
      <c r="M991">
        <v>16.5</v>
      </c>
      <c r="N991" s="2" t="s">
        <v>866</v>
      </c>
      <c r="O991" t="str">
        <f>D991&amp;"-"&amp;E991&amp;"-"&amp;F991&amp;"-"&amp;G991&amp;"-"&amp;H991</f>
        <v>E-1-e-0-17.5</v>
      </c>
      <c r="P991" t="str">
        <f>I991&amp;"-"&amp;J991&amp;"-"&amp;K991&amp;"-"&amp;L991&amp;"-"&amp;M991</f>
        <v>X-1-e-0-16.5</v>
      </c>
      <c r="Q991">
        <f>A991+R991</f>
        <v>20026.284575000001</v>
      </c>
      <c r="R991">
        <f>_xlfn.IFNA(VLOOKUP(P991,PGOPHER!A$2:G$181,7,FALSE),_xlfn.IFNA(VLOOKUP(P991,en!A$2:I$768,7,FALSE),-10000))</f>
        <v>979.30796499999997</v>
      </c>
      <c r="S991">
        <f>IF(O991=O990,Q990+S990,Q991)</f>
        <v>20026.284575000001</v>
      </c>
      <c r="T991">
        <f>IF(O991=O990,T990+1,1)</f>
        <v>1</v>
      </c>
      <c r="U991" t="str">
        <f>IF(O991=O992,"",S991/T991)</f>
        <v/>
      </c>
      <c r="V991" t="str">
        <f>IF(U991="","",IF(ABS(Q991-U991)&gt;V$1,"error",""))</f>
        <v/>
      </c>
    </row>
    <row r="992" spans="1:22" x14ac:dyDescent="0.55000000000000004">
      <c r="A992">
        <v>18798.273850000001</v>
      </c>
      <c r="B992" s="1">
        <v>5.0000000000000001E-3</v>
      </c>
      <c r="C992" s="1">
        <v>5.0000000000000001E-3</v>
      </c>
      <c r="D992" s="2" t="s">
        <v>680</v>
      </c>
      <c r="E992">
        <v>1</v>
      </c>
      <c r="F992" s="2" t="s">
        <v>2</v>
      </c>
      <c r="G992">
        <v>0</v>
      </c>
      <c r="H992">
        <v>17.5</v>
      </c>
      <c r="I992" s="2" t="s">
        <v>0</v>
      </c>
      <c r="J992">
        <v>1</v>
      </c>
      <c r="K992" s="2" t="s">
        <v>2</v>
      </c>
      <c r="L992">
        <v>0</v>
      </c>
      <c r="M992">
        <v>18.5</v>
      </c>
      <c r="N992" s="2" t="s">
        <v>867</v>
      </c>
      <c r="O992" t="str">
        <f>D992&amp;"-"&amp;E992&amp;"-"&amp;F992&amp;"-"&amp;G992&amp;"-"&amp;H992</f>
        <v>E-1-e-0-17.5</v>
      </c>
      <c r="P992" t="str">
        <f>I992&amp;"-"&amp;J992&amp;"-"&amp;K992&amp;"-"&amp;L992&amp;"-"&amp;M992</f>
        <v>X-1-e-0-18.5</v>
      </c>
      <c r="Q992">
        <f>A992+R992</f>
        <v>20026.283151000003</v>
      </c>
      <c r="R992">
        <f>_xlfn.IFNA(VLOOKUP(P992,PGOPHER!A$2:G$181,7,FALSE),_xlfn.IFNA(VLOOKUP(P992,en!A$2:I$768,7,FALSE),-10000))</f>
        <v>1228.0093010000001</v>
      </c>
      <c r="S992">
        <f>IF(O992=O991,Q991+S991,Q992)</f>
        <v>40052.569150000003</v>
      </c>
      <c r="T992">
        <f>IF(O992=O991,T991+1,1)</f>
        <v>2</v>
      </c>
      <c r="U992" t="str">
        <f>IF(O992=O993,"",S992/T992)</f>
        <v/>
      </c>
      <c r="V992" t="str">
        <f>IF(U992="","",IF(ABS(Q992-U992)&gt;V$1,"error",""))</f>
        <v/>
      </c>
    </row>
    <row r="993" spans="1:22" x14ac:dyDescent="0.55000000000000004">
      <c r="A993">
        <v>18800.49163</v>
      </c>
      <c r="B993" s="1">
        <v>5.0000000000000001E-3</v>
      </c>
      <c r="C993" s="1">
        <v>5.0000000000000001E-3</v>
      </c>
      <c r="D993" s="2" t="s">
        <v>680</v>
      </c>
      <c r="E993">
        <v>1</v>
      </c>
      <c r="F993" s="2" t="s">
        <v>2</v>
      </c>
      <c r="G993">
        <v>0</v>
      </c>
      <c r="H993">
        <v>17.5</v>
      </c>
      <c r="I993" s="2" t="s">
        <v>0</v>
      </c>
      <c r="J993">
        <v>2</v>
      </c>
      <c r="K993" s="2" t="s">
        <v>1</v>
      </c>
      <c r="L993">
        <v>0</v>
      </c>
      <c r="M993">
        <v>17.5</v>
      </c>
      <c r="N993" s="2" t="s">
        <v>868</v>
      </c>
      <c r="O993" t="str">
        <f>D993&amp;"-"&amp;E993&amp;"-"&amp;F993&amp;"-"&amp;G993&amp;"-"&amp;H993</f>
        <v>E-1-e-0-17.5</v>
      </c>
      <c r="P993" t="str">
        <f>I993&amp;"-"&amp;J993&amp;"-"&amp;K993&amp;"-"&amp;L993&amp;"-"&amp;M993</f>
        <v>X-2-f-0-17.5</v>
      </c>
      <c r="Q993">
        <f>A993+R993</f>
        <v>20026.281499000001</v>
      </c>
      <c r="R993">
        <f>_xlfn.IFNA(VLOOKUP(P993,PGOPHER!A$2:G$181,7,FALSE),_xlfn.IFNA(VLOOKUP(P993,en!A$2:I$768,7,FALSE),-10000))</f>
        <v>1225.789869</v>
      </c>
      <c r="S993">
        <f>IF(O993=O992,Q992+S992,Q993)</f>
        <v>60078.852301000006</v>
      </c>
      <c r="T993">
        <f>IF(O993=O992,T992+1,1)</f>
        <v>3</v>
      </c>
      <c r="U993">
        <f>IF(O993=O994,"",S993/T993)</f>
        <v>20026.284100333334</v>
      </c>
      <c r="V993" t="str">
        <f>IF(U993="","",IF(ABS(Q993-U993)&gt;V$1,"error",""))</f>
        <v/>
      </c>
    </row>
    <row r="994" spans="1:22" x14ac:dyDescent="0.55000000000000004">
      <c r="A994">
        <v>18925.177019999999</v>
      </c>
      <c r="B994" s="1">
        <v>5.0000000000000001E-3</v>
      </c>
      <c r="C994" s="1">
        <v>5.0000000000000001E-3</v>
      </c>
      <c r="D994" s="2" t="s">
        <v>680</v>
      </c>
      <c r="E994">
        <v>1</v>
      </c>
      <c r="F994" s="2" t="s">
        <v>1</v>
      </c>
      <c r="G994">
        <v>0</v>
      </c>
      <c r="H994">
        <v>17.5</v>
      </c>
      <c r="I994" s="2" t="s">
        <v>0</v>
      </c>
      <c r="J994">
        <v>1</v>
      </c>
      <c r="K994" s="2" t="s">
        <v>2</v>
      </c>
      <c r="L994">
        <v>0</v>
      </c>
      <c r="M994">
        <v>17.5</v>
      </c>
      <c r="N994" s="2" t="s">
        <v>870</v>
      </c>
      <c r="O994" t="str">
        <f>D994&amp;"-"&amp;E994&amp;"-"&amp;F994&amp;"-"&amp;G994&amp;"-"&amp;H994</f>
        <v>E-1-f-0-17.5</v>
      </c>
      <c r="P994" t="str">
        <f>I994&amp;"-"&amp;J994&amp;"-"&amp;K994&amp;"-"&amp;L994&amp;"-"&amp;M994</f>
        <v>X-1-e-0-17.5</v>
      </c>
      <c r="Q994">
        <f>A994+R994</f>
        <v>20025.449064</v>
      </c>
      <c r="R994">
        <f>_xlfn.IFNA(VLOOKUP(P994,PGOPHER!A$2:G$181,7,FALSE),_xlfn.IFNA(VLOOKUP(P994,en!A$2:I$768,7,FALSE),-10000))</f>
        <v>1100.2720440000001</v>
      </c>
      <c r="S994">
        <f>IF(O994=O993,Q993+S993,Q994)</f>
        <v>20025.449064</v>
      </c>
      <c r="T994">
        <f>IF(O994=O993,T993+1,1)</f>
        <v>1</v>
      </c>
      <c r="U994" t="str">
        <f>IF(O994=O995,"",S994/T994)</f>
        <v/>
      </c>
      <c r="V994" t="str">
        <f>IF(U994="","",IF(ABS(Q994-U994)&gt;V$1,"error",""))</f>
        <v/>
      </c>
    </row>
    <row r="995" spans="1:22" x14ac:dyDescent="0.55000000000000004">
      <c r="A995">
        <v>18665.297269999999</v>
      </c>
      <c r="B995" s="1">
        <v>2.5000000000000001E-2</v>
      </c>
      <c r="C995" s="1">
        <v>2.5000000000000001E-2</v>
      </c>
      <c r="D995" s="2" t="s">
        <v>680</v>
      </c>
      <c r="E995">
        <v>1</v>
      </c>
      <c r="F995" s="2" t="s">
        <v>1</v>
      </c>
      <c r="G995">
        <v>0</v>
      </c>
      <c r="H995">
        <v>17.5</v>
      </c>
      <c r="I995" s="2" t="s">
        <v>0</v>
      </c>
      <c r="J995">
        <v>2</v>
      </c>
      <c r="K995" s="2" t="s">
        <v>1</v>
      </c>
      <c r="L995">
        <v>0</v>
      </c>
      <c r="M995">
        <v>18.5</v>
      </c>
      <c r="N995" s="2" t="s">
        <v>869</v>
      </c>
      <c r="O995" t="str">
        <f>D995&amp;"-"&amp;E995&amp;"-"&amp;F995&amp;"-"&amp;G995&amp;"-"&amp;H995</f>
        <v>E-1-f-0-17.5</v>
      </c>
      <c r="P995" t="str">
        <f>I995&amp;"-"&amp;J995&amp;"-"&amp;K995&amp;"-"&amp;L995&amp;"-"&amp;M995</f>
        <v>X-2-f-0-18.5</v>
      </c>
      <c r="Q995">
        <f>A995+R995</f>
        <v>20025.441815999999</v>
      </c>
      <c r="R995">
        <f>_xlfn.IFNA(VLOOKUP(P995,PGOPHER!A$2:G$181,7,FALSE),_xlfn.IFNA(VLOOKUP(P995,en!A$2:I$768,7,FALSE),-10000))</f>
        <v>1360.144546</v>
      </c>
      <c r="S995">
        <f>IF(O995=O994,Q994+S994,Q995)</f>
        <v>40050.898128000001</v>
      </c>
      <c r="T995">
        <f>IF(O995=O994,T994+1,1)</f>
        <v>2</v>
      </c>
      <c r="U995">
        <f>IF(O995=O996,"",S995/T995)</f>
        <v>20025.449064</v>
      </c>
      <c r="V995" t="str">
        <f>IF(U995="","",IF(ABS(Q995-U995)&gt;V$1,"error",""))</f>
        <v/>
      </c>
    </row>
    <row r="996" spans="1:22" x14ac:dyDescent="0.55000000000000004">
      <c r="A996">
        <v>18972.56781</v>
      </c>
      <c r="B996" s="1">
        <v>5.0000000000000001E-3</v>
      </c>
      <c r="C996" s="1">
        <v>5.0000000000000001E-3</v>
      </c>
      <c r="D996" s="2" t="s">
        <v>680</v>
      </c>
      <c r="E996">
        <v>2</v>
      </c>
      <c r="F996" s="2" t="s">
        <v>2</v>
      </c>
      <c r="G996">
        <v>0</v>
      </c>
      <c r="H996">
        <v>17.5</v>
      </c>
      <c r="I996" s="2" t="s">
        <v>0</v>
      </c>
      <c r="J996">
        <v>2</v>
      </c>
      <c r="K996" s="2" t="s">
        <v>1</v>
      </c>
      <c r="L996">
        <v>0</v>
      </c>
      <c r="M996">
        <v>17.5</v>
      </c>
      <c r="N996" s="2" t="s">
        <v>872</v>
      </c>
      <c r="O996" t="str">
        <f>D996&amp;"-"&amp;E996&amp;"-"&amp;F996&amp;"-"&amp;G996&amp;"-"&amp;H996</f>
        <v>E-2-e-0-17.5</v>
      </c>
      <c r="P996" t="str">
        <f>I996&amp;"-"&amp;J996&amp;"-"&amp;K996&amp;"-"&amp;L996&amp;"-"&amp;M996</f>
        <v>X-2-f-0-17.5</v>
      </c>
      <c r="Q996">
        <f>A996+R996</f>
        <v>20198.357679000001</v>
      </c>
      <c r="R996">
        <f>_xlfn.IFNA(VLOOKUP(P996,PGOPHER!A$2:G$181,7,FALSE),_xlfn.IFNA(VLOOKUP(P996,en!A$2:I$768,7,FALSE),-10000))</f>
        <v>1225.789869</v>
      </c>
      <c r="S996">
        <f>IF(O996=O995,Q995+S995,Q996)</f>
        <v>20198.357679000001</v>
      </c>
      <c r="T996">
        <f>IF(O996=O995,T995+1,1)</f>
        <v>1</v>
      </c>
      <c r="U996" t="str">
        <f>IF(O996=O997,"",S996/T996)</f>
        <v/>
      </c>
      <c r="V996" t="str">
        <f>IF(U996="","",IF(ABS(Q996-U996)&gt;V$1,"error",""))</f>
        <v/>
      </c>
    </row>
    <row r="997" spans="1:22" x14ac:dyDescent="0.55000000000000004">
      <c r="A997">
        <v>19219.04263</v>
      </c>
      <c r="B997" s="1">
        <v>5.0000000000000001E-3</v>
      </c>
      <c r="C997" s="1">
        <v>5.0000000000000001E-3</v>
      </c>
      <c r="D997" s="2" t="s">
        <v>680</v>
      </c>
      <c r="E997">
        <v>2</v>
      </c>
      <c r="F997" s="2" t="s">
        <v>2</v>
      </c>
      <c r="G997">
        <v>0</v>
      </c>
      <c r="H997">
        <v>17.5</v>
      </c>
      <c r="I997" s="2" t="s">
        <v>0</v>
      </c>
      <c r="J997">
        <v>1</v>
      </c>
      <c r="K997" s="2" t="s">
        <v>2</v>
      </c>
      <c r="L997">
        <v>0</v>
      </c>
      <c r="M997">
        <v>16.5</v>
      </c>
      <c r="N997" s="2" t="s">
        <v>871</v>
      </c>
      <c r="O997" t="str">
        <f>D997&amp;"-"&amp;E997&amp;"-"&amp;F997&amp;"-"&amp;G997&amp;"-"&amp;H997</f>
        <v>E-2-e-0-17.5</v>
      </c>
      <c r="P997" t="str">
        <f>I997&amp;"-"&amp;J997&amp;"-"&amp;K997&amp;"-"&amp;L997&amp;"-"&amp;M997</f>
        <v>X-1-e-0-16.5</v>
      </c>
      <c r="Q997">
        <f>A997+R997</f>
        <v>20198.350595</v>
      </c>
      <c r="R997">
        <f>_xlfn.IFNA(VLOOKUP(P997,PGOPHER!A$2:G$181,7,FALSE),_xlfn.IFNA(VLOOKUP(P997,en!A$2:I$768,7,FALSE),-10000))</f>
        <v>979.30796499999997</v>
      </c>
      <c r="S997">
        <f>IF(O997=O996,Q996+S996,Q997)</f>
        <v>40396.715358000001</v>
      </c>
      <c r="T997">
        <f>IF(O997=O996,T996+1,1)</f>
        <v>2</v>
      </c>
      <c r="U997">
        <f>IF(O997=O998,"",S997/T997)</f>
        <v>20198.357679000001</v>
      </c>
      <c r="V997" t="str">
        <f>IF(U997="","",IF(ABS(Q997-U997)&gt;V$1,"error",""))</f>
        <v/>
      </c>
    </row>
    <row r="998" spans="1:22" x14ac:dyDescent="0.55000000000000004">
      <c r="A998">
        <v>19102.49278</v>
      </c>
      <c r="B998" s="1">
        <v>5.0000000000000001E-3</v>
      </c>
      <c r="C998" s="1">
        <v>5.0000000000000001E-3</v>
      </c>
      <c r="D998" s="2" t="s">
        <v>680</v>
      </c>
      <c r="E998">
        <v>2</v>
      </c>
      <c r="F998" s="2" t="s">
        <v>1</v>
      </c>
      <c r="G998">
        <v>0</v>
      </c>
      <c r="H998">
        <v>17.5</v>
      </c>
      <c r="I998" s="2" t="s">
        <v>0</v>
      </c>
      <c r="J998">
        <v>2</v>
      </c>
      <c r="K998" s="2" t="s">
        <v>1</v>
      </c>
      <c r="L998">
        <v>0</v>
      </c>
      <c r="M998">
        <v>16.5</v>
      </c>
      <c r="N998" s="2" t="s">
        <v>873</v>
      </c>
      <c r="O998" t="str">
        <f>D998&amp;"-"&amp;E998&amp;"-"&amp;F998&amp;"-"&amp;G998&amp;"-"&amp;H998</f>
        <v>E-2-f-0-17.5</v>
      </c>
      <c r="P998" t="str">
        <f>I998&amp;"-"&amp;J998&amp;"-"&amp;K998&amp;"-"&amp;L998&amp;"-"&amp;M998</f>
        <v>X-2-f-0-16.5</v>
      </c>
      <c r="Q998">
        <f>A998+R998</f>
        <v>20200.657762999999</v>
      </c>
      <c r="R998">
        <f>_xlfn.IFNA(VLOOKUP(P998,PGOPHER!A$2:G$181,7,FALSE),_xlfn.IFNA(VLOOKUP(P998,en!A$2:I$768,7,FALSE),-10000))</f>
        <v>1098.1649829999999</v>
      </c>
      <c r="S998">
        <f>IF(O998=O997,Q997+S997,Q998)</f>
        <v>20200.657762999999</v>
      </c>
      <c r="T998">
        <f>IF(O998=O997,T997+1,1)</f>
        <v>1</v>
      </c>
      <c r="U998" t="str">
        <f>IF(O998=O999,"",S998/T998)</f>
        <v/>
      </c>
      <c r="V998" t="str">
        <f>IF(U998="","",IF(ABS(Q998-U998)&gt;V$1,"error",""))</f>
        <v/>
      </c>
    </row>
    <row r="999" spans="1:22" x14ac:dyDescent="0.55000000000000004">
      <c r="A999">
        <v>18840.506649999999</v>
      </c>
      <c r="B999" s="1">
        <v>5.0000000000000001E-3</v>
      </c>
      <c r="C999" s="1">
        <v>5.0000000000000001E-3</v>
      </c>
      <c r="D999" s="2" t="s">
        <v>680</v>
      </c>
      <c r="E999">
        <v>2</v>
      </c>
      <c r="F999" s="2" t="s">
        <v>1</v>
      </c>
      <c r="G999">
        <v>0</v>
      </c>
      <c r="H999">
        <v>17.5</v>
      </c>
      <c r="I999" s="2" t="s">
        <v>0</v>
      </c>
      <c r="J999">
        <v>2</v>
      </c>
      <c r="K999" s="2" t="s">
        <v>1</v>
      </c>
      <c r="L999">
        <v>0</v>
      </c>
      <c r="M999">
        <v>18.5</v>
      </c>
      <c r="N999" s="2" t="s">
        <v>874</v>
      </c>
      <c r="O999" t="str">
        <f>D999&amp;"-"&amp;E999&amp;"-"&amp;F999&amp;"-"&amp;G999&amp;"-"&amp;H999</f>
        <v>E-2-f-0-17.5</v>
      </c>
      <c r="P999" t="str">
        <f>I999&amp;"-"&amp;J999&amp;"-"&amp;K999&amp;"-"&amp;L999&amp;"-"&amp;M999</f>
        <v>X-2-f-0-18.5</v>
      </c>
      <c r="Q999">
        <f>A999+R999</f>
        <v>20200.651195999999</v>
      </c>
      <c r="R999">
        <f>_xlfn.IFNA(VLOOKUP(P999,PGOPHER!A$2:G$181,7,FALSE),_xlfn.IFNA(VLOOKUP(P999,en!A$2:I$768,7,FALSE),-10000))</f>
        <v>1360.144546</v>
      </c>
      <c r="S999">
        <f>IF(O999=O998,Q998+S998,Q999)</f>
        <v>40401.315525999998</v>
      </c>
      <c r="T999">
        <f>IF(O999=O998,T998+1,1)</f>
        <v>2</v>
      </c>
      <c r="U999" t="str">
        <f>IF(O999=O1000,"",S999/T999)</f>
        <v/>
      </c>
      <c r="V999" t="str">
        <f>IF(U999="","",IF(ABS(Q999-U999)&gt;V$1,"error",""))</f>
        <v/>
      </c>
    </row>
    <row r="1000" spans="1:22" x14ac:dyDescent="0.55000000000000004">
      <c r="A1000">
        <v>19100.385289999998</v>
      </c>
      <c r="B1000" s="1">
        <v>5.0000000000000001E-3</v>
      </c>
      <c r="C1000" s="1">
        <v>5.0000000000000001E-3</v>
      </c>
      <c r="D1000" s="2" t="s">
        <v>680</v>
      </c>
      <c r="E1000">
        <v>2</v>
      </c>
      <c r="F1000" s="2" t="s">
        <v>1</v>
      </c>
      <c r="G1000">
        <v>0</v>
      </c>
      <c r="H1000">
        <v>17.5</v>
      </c>
      <c r="I1000" s="2" t="s">
        <v>0</v>
      </c>
      <c r="J1000">
        <v>1</v>
      </c>
      <c r="K1000" s="2" t="s">
        <v>2</v>
      </c>
      <c r="L1000">
        <v>0</v>
      </c>
      <c r="M1000">
        <v>17.5</v>
      </c>
      <c r="N1000" s="2" t="s">
        <v>875</v>
      </c>
      <c r="O1000" t="str">
        <f>D1000&amp;"-"&amp;E1000&amp;"-"&amp;F1000&amp;"-"&amp;G1000&amp;"-"&amp;H1000</f>
        <v>E-2-f-0-17.5</v>
      </c>
      <c r="P1000" t="str">
        <f>I1000&amp;"-"&amp;J1000&amp;"-"&amp;K1000&amp;"-"&amp;L1000&amp;"-"&amp;M1000</f>
        <v>X-1-e-0-17.5</v>
      </c>
      <c r="Q1000">
        <f>A1000+R1000</f>
        <v>20200.657334</v>
      </c>
      <c r="R1000">
        <f>_xlfn.IFNA(VLOOKUP(P1000,PGOPHER!A$2:G$181,7,FALSE),_xlfn.IFNA(VLOOKUP(P1000,en!A$2:I$768,7,FALSE),-10000))</f>
        <v>1100.2720440000001</v>
      </c>
      <c r="S1000">
        <f>IF(O1000=O999,Q999+S999,Q1000)</f>
        <v>60601.966721999997</v>
      </c>
      <c r="T1000">
        <f>IF(O1000=O999,T999+1,1)</f>
        <v>3</v>
      </c>
      <c r="U1000">
        <f>IF(O1000=O1001,"",S1000/T1000)</f>
        <v>20200.655574</v>
      </c>
      <c r="V1000" t="str">
        <f>IF(U1000="","",IF(ABS(Q1000-U1000)&gt;V$1,"error",""))</f>
        <v/>
      </c>
    </row>
    <row r="1001" spans="1:22" x14ac:dyDescent="0.55000000000000004">
      <c r="A1001">
        <v>19087.394690000001</v>
      </c>
      <c r="B1001">
        <v>5.0000000000000001E-3</v>
      </c>
      <c r="C1001">
        <v>5.0000000000000001E-3</v>
      </c>
      <c r="D1001" s="2" t="s">
        <v>680</v>
      </c>
      <c r="E1001">
        <v>2</v>
      </c>
      <c r="F1001" s="2" t="s">
        <v>1</v>
      </c>
      <c r="G1001">
        <v>1</v>
      </c>
      <c r="H1001">
        <v>17.5</v>
      </c>
      <c r="I1001" s="2" t="s">
        <v>0</v>
      </c>
      <c r="J1001">
        <v>2</v>
      </c>
      <c r="K1001" s="2" t="s">
        <v>1</v>
      </c>
      <c r="L1001">
        <v>1</v>
      </c>
      <c r="M1001">
        <v>16.5</v>
      </c>
      <c r="N1001" s="2" t="s">
        <v>1109</v>
      </c>
      <c r="S1001">
        <f>IF(O1001=O1000,Q1000+S1000,Q1001)</f>
        <v>0</v>
      </c>
      <c r="T1001">
        <f>IF(O1001=O1000,T1000+1,1)</f>
        <v>1</v>
      </c>
      <c r="U1001" t="str">
        <f>IF(O1001=O1002,"",S1001/T1001)</f>
        <v/>
      </c>
      <c r="V1001" t="str">
        <f>IF(U1001="","",IF(ABS(Q1001-U1001)&gt;V$1,"error",""))</f>
        <v/>
      </c>
    </row>
    <row r="1002" spans="1:22" x14ac:dyDescent="0.55000000000000004">
      <c r="A1002">
        <v>18831.333900000001</v>
      </c>
      <c r="B1002">
        <v>6.0800000000000003E-3</v>
      </c>
      <c r="C1002">
        <v>6.0800000000000003E-3</v>
      </c>
      <c r="D1002" s="2" t="s">
        <v>680</v>
      </c>
      <c r="E1002">
        <v>2</v>
      </c>
      <c r="F1002" s="2" t="s">
        <v>1</v>
      </c>
      <c r="G1002">
        <v>1</v>
      </c>
      <c r="H1002">
        <v>17.5</v>
      </c>
      <c r="I1002" s="2" t="s">
        <v>0</v>
      </c>
      <c r="J1002">
        <v>2</v>
      </c>
      <c r="K1002" s="2" t="s">
        <v>1</v>
      </c>
      <c r="L1002">
        <v>1</v>
      </c>
      <c r="M1002">
        <v>18.5</v>
      </c>
      <c r="N1002" s="2" t="s">
        <v>1110</v>
      </c>
      <c r="S1002">
        <f>IF(O1002=O1001,Q1001+S1001,Q1002)</f>
        <v>0</v>
      </c>
      <c r="T1002">
        <f>IF(O1002=O1001,T1001+1,1)</f>
        <v>2</v>
      </c>
      <c r="U1002" t="str">
        <f>IF(O1002=O1003,"",S1002/T1002)</f>
        <v/>
      </c>
      <c r="V1002" t="str">
        <f>IF(U1002="","",IF(ABS(Q1002-U1002)&gt;V$1,"error",""))</f>
        <v/>
      </c>
    </row>
    <row r="1003" spans="1:22" x14ac:dyDescent="0.55000000000000004">
      <c r="A1003">
        <v>18786.934440000001</v>
      </c>
      <c r="B1003">
        <v>5.0000000000000001E-3</v>
      </c>
      <c r="C1003">
        <v>5.0000000000000001E-3</v>
      </c>
      <c r="D1003" s="2" t="s">
        <v>680</v>
      </c>
      <c r="E1003">
        <v>1</v>
      </c>
      <c r="F1003" s="2" t="s">
        <v>2</v>
      </c>
      <c r="G1003">
        <v>1</v>
      </c>
      <c r="H1003">
        <v>17.5</v>
      </c>
      <c r="I1003" s="2" t="s">
        <v>0</v>
      </c>
      <c r="J1003">
        <v>1</v>
      </c>
      <c r="K1003" s="2" t="s">
        <v>2</v>
      </c>
      <c r="L1003">
        <v>1</v>
      </c>
      <c r="M1003">
        <v>18.5</v>
      </c>
      <c r="N1003" s="2" t="s">
        <v>1104</v>
      </c>
      <c r="S1003">
        <f>IF(O1003=O1002,Q1002+S1002,Q1003)</f>
        <v>0</v>
      </c>
      <c r="T1003">
        <f>IF(O1003=O1002,T1002+1,1)</f>
        <v>3</v>
      </c>
      <c r="U1003" t="str">
        <f>IF(O1003=O1004,"",S1003/T1003)</f>
        <v/>
      </c>
      <c r="V1003" t="str">
        <f>IF(U1003="","",IF(ABS(Q1003-U1003)&gt;V$1,"error",""))</f>
        <v/>
      </c>
    </row>
    <row r="1004" spans="1:22" x14ac:dyDescent="0.55000000000000004">
      <c r="A1004">
        <v>19030.03397</v>
      </c>
      <c r="B1004">
        <v>5.0000000000000001E-3</v>
      </c>
      <c r="C1004">
        <v>5.0000000000000001E-3</v>
      </c>
      <c r="D1004" s="2" t="s">
        <v>680</v>
      </c>
      <c r="E1004">
        <v>1</v>
      </c>
      <c r="F1004" s="2" t="s">
        <v>2</v>
      </c>
      <c r="G1004">
        <v>1</v>
      </c>
      <c r="H1004">
        <v>17.5</v>
      </c>
      <c r="I1004" s="2" t="s">
        <v>0</v>
      </c>
      <c r="J1004">
        <v>1</v>
      </c>
      <c r="K1004" s="2" t="s">
        <v>2</v>
      </c>
      <c r="L1004">
        <v>1</v>
      </c>
      <c r="M1004">
        <v>16.5</v>
      </c>
      <c r="N1004" s="2" t="s">
        <v>1105</v>
      </c>
      <c r="S1004">
        <f>IF(O1004=O1003,Q1003+S1003,Q1004)</f>
        <v>0</v>
      </c>
      <c r="T1004">
        <f>IF(O1004=O1003,T1003+1,1)</f>
        <v>4</v>
      </c>
      <c r="U1004" t="str">
        <f>IF(O1004=O1005,"",S1004/T1004)</f>
        <v/>
      </c>
      <c r="V1004" t="str">
        <f>IF(U1004="","",IF(ABS(Q1004-U1004)&gt;V$1,"error",""))</f>
        <v/>
      </c>
    </row>
    <row r="1005" spans="1:22" x14ac:dyDescent="0.55000000000000004">
      <c r="A1005">
        <v>18911.138279999999</v>
      </c>
      <c r="B1005">
        <v>0.105</v>
      </c>
      <c r="C1005">
        <v>0.105</v>
      </c>
      <c r="D1005" s="2" t="s">
        <v>680</v>
      </c>
      <c r="E1005">
        <v>1</v>
      </c>
      <c r="F1005" s="2" t="s">
        <v>1</v>
      </c>
      <c r="G1005">
        <v>1</v>
      </c>
      <c r="H1005">
        <v>17.5</v>
      </c>
      <c r="I1005" s="2" t="s">
        <v>0</v>
      </c>
      <c r="J1005">
        <v>1</v>
      </c>
      <c r="K1005" s="2" t="s">
        <v>2</v>
      </c>
      <c r="L1005">
        <v>1</v>
      </c>
      <c r="M1005">
        <v>17.5</v>
      </c>
      <c r="N1005" s="2" t="s">
        <v>1106</v>
      </c>
      <c r="S1005">
        <f>IF(O1005=O1004,Q1004+S1004,Q1005)</f>
        <v>0</v>
      </c>
      <c r="T1005">
        <f>IF(O1005=O1004,T1004+1,1)</f>
        <v>5</v>
      </c>
      <c r="U1005" t="str">
        <f>IF(O1005=O1006,"",S1005/T1005)</f>
        <v/>
      </c>
      <c r="V1005" t="str">
        <f>IF(U1005="","",IF(ABS(Q1005-U1005)&gt;V$1,"error",""))</f>
        <v/>
      </c>
    </row>
    <row r="1006" spans="1:22" x14ac:dyDescent="0.55000000000000004">
      <c r="A1006">
        <v>18960.932239999998</v>
      </c>
      <c r="B1006">
        <v>5.0000000000000001E-3</v>
      </c>
      <c r="C1006">
        <v>5.0000000000000001E-3</v>
      </c>
      <c r="D1006" s="2" t="s">
        <v>680</v>
      </c>
      <c r="E1006">
        <v>2</v>
      </c>
      <c r="F1006" s="2" t="s">
        <v>2</v>
      </c>
      <c r="G1006">
        <v>1</v>
      </c>
      <c r="H1006">
        <v>17.5</v>
      </c>
      <c r="I1006" s="2" t="s">
        <v>0</v>
      </c>
      <c r="J1006">
        <v>2</v>
      </c>
      <c r="K1006" s="2" t="s">
        <v>1</v>
      </c>
      <c r="L1006">
        <v>1</v>
      </c>
      <c r="M1006">
        <v>17.5</v>
      </c>
      <c r="N1006" s="2" t="s">
        <v>1107</v>
      </c>
      <c r="S1006">
        <f>IF(O1006=O1005,Q1005+S1005,Q1006)</f>
        <v>0</v>
      </c>
      <c r="T1006">
        <f>IF(O1006=O1005,T1005+1,1)</f>
        <v>6</v>
      </c>
      <c r="U1006" t="str">
        <f>IF(O1006=O1007,"",S1006/T1006)</f>
        <v/>
      </c>
      <c r="V1006" t="str">
        <f>IF(U1006="","",IF(ABS(Q1006-U1006)&gt;V$1,"error",""))</f>
        <v/>
      </c>
    </row>
    <row r="1007" spans="1:22" x14ac:dyDescent="0.55000000000000004">
      <c r="A1007">
        <v>19085.36261</v>
      </c>
      <c r="B1007">
        <v>5.94E-3</v>
      </c>
      <c r="C1007">
        <v>5.94E-3</v>
      </c>
      <c r="D1007" s="2" t="s">
        <v>680</v>
      </c>
      <c r="E1007">
        <v>2</v>
      </c>
      <c r="F1007" s="2" t="s">
        <v>1</v>
      </c>
      <c r="G1007">
        <v>1</v>
      </c>
      <c r="H1007">
        <v>17.5</v>
      </c>
      <c r="I1007" s="2" t="s">
        <v>0</v>
      </c>
      <c r="J1007">
        <v>1</v>
      </c>
      <c r="K1007" s="2" t="s">
        <v>2</v>
      </c>
      <c r="L1007">
        <v>1</v>
      </c>
      <c r="M1007">
        <v>17.5</v>
      </c>
      <c r="N1007" s="2" t="s">
        <v>1108</v>
      </c>
      <c r="S1007">
        <f>IF(O1007=O1006,Q1006+S1006,Q1007)</f>
        <v>0</v>
      </c>
      <c r="T1007">
        <f>IF(O1007=O1006,T1006+1,1)</f>
        <v>7</v>
      </c>
      <c r="U1007">
        <f>IF(O1007=O1008,"",S1007/T1007)</f>
        <v>0</v>
      </c>
      <c r="V1007" t="str">
        <f>IF(U1007="","",IF(ABS(Q1007-U1007)&gt;V$1,"error",""))</f>
        <v/>
      </c>
    </row>
    <row r="1008" spans="1:22" x14ac:dyDescent="0.55000000000000004">
      <c r="A1008">
        <v>19058.181089999998</v>
      </c>
      <c r="B1008" s="1">
        <v>5.0000000000000001E-3</v>
      </c>
      <c r="C1008" s="1">
        <v>5.0000000000000001E-3</v>
      </c>
      <c r="D1008" s="2" t="s">
        <v>680</v>
      </c>
      <c r="E1008">
        <v>1</v>
      </c>
      <c r="F1008" s="2" t="s">
        <v>2</v>
      </c>
      <c r="G1008">
        <v>0</v>
      </c>
      <c r="H1008">
        <v>18.5</v>
      </c>
      <c r="I1008" s="2" t="s">
        <v>0</v>
      </c>
      <c r="J1008">
        <v>1</v>
      </c>
      <c r="K1008" s="2" t="s">
        <v>2</v>
      </c>
      <c r="L1008">
        <v>0</v>
      </c>
      <c r="M1008">
        <v>17.5</v>
      </c>
      <c r="N1008" s="2" t="s">
        <v>876</v>
      </c>
      <c r="O1008" t="str">
        <f>D1008&amp;"-"&amp;E1008&amp;"-"&amp;F1008&amp;"-"&amp;G1008&amp;"-"&amp;H1008</f>
        <v>E-1-e-0-18.5</v>
      </c>
      <c r="P1008" t="str">
        <f>I1008&amp;"-"&amp;J1008&amp;"-"&amp;K1008&amp;"-"&amp;L1008&amp;"-"&amp;M1008</f>
        <v>X-1-e-0-17.5</v>
      </c>
      <c r="Q1008">
        <f>A1008+R1008</f>
        <v>20158.453133999999</v>
      </c>
      <c r="R1008">
        <f>_xlfn.IFNA(VLOOKUP(P1008,PGOPHER!A$2:G$181,7,FALSE),_xlfn.IFNA(VLOOKUP(P1008,en!A$2:I$768,7,FALSE),-10000))</f>
        <v>1100.2720440000001</v>
      </c>
      <c r="S1008">
        <f>IF(O1008=O1007,Q1007+S1007,Q1008)</f>
        <v>20158.453133999999</v>
      </c>
      <c r="T1008">
        <f>IF(O1008=O1007,T1007+1,1)</f>
        <v>1</v>
      </c>
      <c r="U1008" t="str">
        <f>IF(O1008=O1009,"",S1008/T1008)</f>
        <v/>
      </c>
      <c r="V1008" t="str">
        <f>IF(U1008="","",IF(ABS(Q1008-U1008)&gt;V$1,"error",""))</f>
        <v/>
      </c>
    </row>
    <row r="1009" spans="1:22" x14ac:dyDescent="0.55000000000000004">
      <c r="A1009">
        <v>18795.97163</v>
      </c>
      <c r="B1009" s="1">
        <v>6.5529999999999998E-3</v>
      </c>
      <c r="C1009" s="1">
        <v>6.5529999999999998E-3</v>
      </c>
      <c r="D1009" s="2" t="s">
        <v>680</v>
      </c>
      <c r="E1009">
        <v>1</v>
      </c>
      <c r="F1009" s="2" t="s">
        <v>2</v>
      </c>
      <c r="G1009">
        <v>0</v>
      </c>
      <c r="H1009">
        <v>18.5</v>
      </c>
      <c r="I1009" s="2" t="s">
        <v>0</v>
      </c>
      <c r="J1009">
        <v>1</v>
      </c>
      <c r="K1009" s="2" t="s">
        <v>2</v>
      </c>
      <c r="L1009">
        <v>0</v>
      </c>
      <c r="M1009">
        <v>19.5</v>
      </c>
      <c r="N1009" s="2" t="s">
        <v>877</v>
      </c>
      <c r="O1009" t="str">
        <f>D1009&amp;"-"&amp;E1009&amp;"-"&amp;F1009&amp;"-"&amp;G1009&amp;"-"&amp;H1009</f>
        <v>E-1-e-0-18.5</v>
      </c>
      <c r="P1009" t="str">
        <f>I1009&amp;"-"&amp;J1009&amp;"-"&amp;K1009&amp;"-"&amp;L1009&amp;"-"&amp;M1009</f>
        <v>X-1-e-0-19.5</v>
      </c>
      <c r="Q1009">
        <f>A1009+R1009</f>
        <v>20158.446735000001</v>
      </c>
      <c r="R1009">
        <f>_xlfn.IFNA(VLOOKUP(P1009,PGOPHER!A$2:G$181,7,FALSE),_xlfn.IFNA(VLOOKUP(P1009,en!A$2:I$768,7,FALSE),-10000))</f>
        <v>1362.475105</v>
      </c>
      <c r="S1009">
        <f>IF(O1009=O1008,Q1008+S1008,Q1009)</f>
        <v>40316.906267999999</v>
      </c>
      <c r="T1009">
        <f>IF(O1009=O1008,T1008+1,1)</f>
        <v>2</v>
      </c>
      <c r="U1009" t="str">
        <f>IF(O1009=O1010,"",S1009/T1009)</f>
        <v/>
      </c>
      <c r="V1009" t="str">
        <f>IF(U1009="","",IF(ABS(Q1009-U1009)&gt;V$1,"error",""))</f>
        <v/>
      </c>
    </row>
    <row r="1010" spans="1:22" x14ac:dyDescent="0.55000000000000004">
      <c r="A1010">
        <v>18798.310850000002</v>
      </c>
      <c r="B1010" s="1">
        <v>5.8250000000000003E-3</v>
      </c>
      <c r="C1010" s="1">
        <v>5.8250000000000003E-3</v>
      </c>
      <c r="D1010" s="2" t="s">
        <v>680</v>
      </c>
      <c r="E1010">
        <v>1</v>
      </c>
      <c r="F1010" s="2" t="s">
        <v>2</v>
      </c>
      <c r="G1010">
        <v>0</v>
      </c>
      <c r="H1010">
        <v>18.5</v>
      </c>
      <c r="I1010" s="2" t="s">
        <v>0</v>
      </c>
      <c r="J1010">
        <v>2</v>
      </c>
      <c r="K1010" s="2" t="s">
        <v>1</v>
      </c>
      <c r="L1010">
        <v>0</v>
      </c>
      <c r="M1010">
        <v>18.5</v>
      </c>
      <c r="N1010" s="2" t="s">
        <v>878</v>
      </c>
      <c r="O1010" t="str">
        <f>D1010&amp;"-"&amp;E1010&amp;"-"&amp;F1010&amp;"-"&amp;G1010&amp;"-"&amp;H1010</f>
        <v>E-1-e-0-18.5</v>
      </c>
      <c r="P1010" t="str">
        <f>I1010&amp;"-"&amp;J1010&amp;"-"&amp;K1010&amp;"-"&amp;L1010&amp;"-"&amp;M1010</f>
        <v>X-2-f-0-18.5</v>
      </c>
      <c r="Q1010">
        <f>A1010+R1010</f>
        <v>20158.455396000001</v>
      </c>
      <c r="R1010">
        <f>_xlfn.IFNA(VLOOKUP(P1010,PGOPHER!A$2:G$181,7,FALSE),_xlfn.IFNA(VLOOKUP(P1010,en!A$2:I$768,7,FALSE),-10000))</f>
        <v>1360.144546</v>
      </c>
      <c r="S1010">
        <f>IF(O1010=O1009,Q1009+S1009,Q1010)</f>
        <v>60475.353002999997</v>
      </c>
      <c r="T1010">
        <f>IF(O1010=O1009,T1009+1,1)</f>
        <v>3</v>
      </c>
      <c r="U1010">
        <f>IF(O1010=O1011,"",S1010/T1010)</f>
        <v>20158.451000999998</v>
      </c>
      <c r="V1010" t="str">
        <f>IF(U1010="","",IF(ABS(Q1010-U1010)&gt;V$1,"error",""))</f>
        <v/>
      </c>
    </row>
    <row r="1011" spans="1:22" x14ac:dyDescent="0.55000000000000004">
      <c r="A1011">
        <v>18929.38265</v>
      </c>
      <c r="B1011" s="1">
        <v>5.0000000000000001E-3</v>
      </c>
      <c r="C1011" s="1">
        <v>5.0000000000000001E-3</v>
      </c>
      <c r="D1011" s="2" t="s">
        <v>680</v>
      </c>
      <c r="E1011">
        <v>1</v>
      </c>
      <c r="F1011" s="2" t="s">
        <v>1</v>
      </c>
      <c r="G1011">
        <v>0</v>
      </c>
      <c r="H1011">
        <v>18.5</v>
      </c>
      <c r="I1011" s="2" t="s">
        <v>0</v>
      </c>
      <c r="J1011">
        <v>1</v>
      </c>
      <c r="K1011" s="2" t="s">
        <v>2</v>
      </c>
      <c r="L1011">
        <v>0</v>
      </c>
      <c r="M1011">
        <v>18.5</v>
      </c>
      <c r="N1011" s="2" t="s">
        <v>879</v>
      </c>
      <c r="O1011" t="str">
        <f>D1011&amp;"-"&amp;E1011&amp;"-"&amp;F1011&amp;"-"&amp;G1011&amp;"-"&amp;H1011</f>
        <v>E-1-f-0-18.5</v>
      </c>
      <c r="P1011" t="str">
        <f>I1011&amp;"-"&amp;J1011&amp;"-"&amp;K1011&amp;"-"&amp;L1011&amp;"-"&amp;M1011</f>
        <v>X-1-e-0-18.5</v>
      </c>
      <c r="Q1011">
        <f>A1011+R1011</f>
        <v>20157.391950999998</v>
      </c>
      <c r="R1011">
        <f>_xlfn.IFNA(VLOOKUP(P1011,PGOPHER!A$2:G$181,7,FALSE),_xlfn.IFNA(VLOOKUP(P1011,en!A$2:I$768,7,FALSE),-10000))</f>
        <v>1228.0093010000001</v>
      </c>
      <c r="S1011">
        <f>IF(O1011=O1010,Q1010+S1010,Q1011)</f>
        <v>20157.391950999998</v>
      </c>
      <c r="T1011">
        <f>IF(O1011=O1010,T1010+1,1)</f>
        <v>1</v>
      </c>
      <c r="U1011">
        <f>IF(O1011=O1012,"",S1011/T1011)</f>
        <v>20157.391950999998</v>
      </c>
      <c r="V1011" t="str">
        <f>IF(U1011="","",IF(ABS(Q1011-U1011)&gt;V$1,"error",""))</f>
        <v/>
      </c>
    </row>
    <row r="1012" spans="1:22" x14ac:dyDescent="0.55000000000000004">
      <c r="A1012">
        <v>18976.047149999999</v>
      </c>
      <c r="B1012" s="1">
        <v>5.0000000000000001E-3</v>
      </c>
      <c r="C1012" s="1">
        <v>5.0000000000000001E-3</v>
      </c>
      <c r="D1012" s="2" t="s">
        <v>680</v>
      </c>
      <c r="E1012">
        <v>2</v>
      </c>
      <c r="F1012" s="2" t="s">
        <v>2</v>
      </c>
      <c r="G1012">
        <v>0</v>
      </c>
      <c r="H1012">
        <v>18.5</v>
      </c>
      <c r="I1012" s="2" t="s">
        <v>0</v>
      </c>
      <c r="J1012">
        <v>2</v>
      </c>
      <c r="K1012" s="2" t="s">
        <v>1</v>
      </c>
      <c r="L1012">
        <v>0</v>
      </c>
      <c r="M1012">
        <v>18.5</v>
      </c>
      <c r="N1012" s="2" t="s">
        <v>881</v>
      </c>
      <c r="O1012" t="str">
        <f>D1012&amp;"-"&amp;E1012&amp;"-"&amp;F1012&amp;"-"&amp;G1012&amp;"-"&amp;H1012</f>
        <v>E-2-e-0-18.5</v>
      </c>
      <c r="P1012" t="str">
        <f>I1012&amp;"-"&amp;J1012&amp;"-"&amp;K1012&amp;"-"&amp;L1012&amp;"-"&amp;M1012</f>
        <v>X-2-f-0-18.5</v>
      </c>
      <c r="Q1012">
        <f>A1012+R1012</f>
        <v>20336.191695999998</v>
      </c>
      <c r="R1012">
        <f>_xlfn.IFNA(VLOOKUP(P1012,PGOPHER!A$2:G$181,7,FALSE),_xlfn.IFNA(VLOOKUP(P1012,en!A$2:I$768,7,FALSE),-10000))</f>
        <v>1360.144546</v>
      </c>
      <c r="S1012">
        <f>IF(O1012=O1011,Q1011+S1011,Q1012)</f>
        <v>20336.191695999998</v>
      </c>
      <c r="T1012">
        <f>IF(O1012=O1011,T1011+1,1)</f>
        <v>1</v>
      </c>
      <c r="U1012" t="str">
        <f>IF(O1012=O1013,"",S1012/T1012)</f>
        <v/>
      </c>
      <c r="V1012" t="str">
        <f>IF(U1012="","",IF(ABS(Q1012-U1012)&gt;V$1,"error",""))</f>
        <v/>
      </c>
    </row>
    <row r="1013" spans="1:22" x14ac:dyDescent="0.55000000000000004">
      <c r="A1013">
        <v>19235.920770000001</v>
      </c>
      <c r="B1013" s="1">
        <v>5.0000000000000001E-3</v>
      </c>
      <c r="C1013" s="1">
        <v>5.0000000000000001E-3</v>
      </c>
      <c r="D1013" s="2" t="s">
        <v>680</v>
      </c>
      <c r="E1013">
        <v>2</v>
      </c>
      <c r="F1013" s="2" t="s">
        <v>2</v>
      </c>
      <c r="G1013">
        <v>0</v>
      </c>
      <c r="H1013">
        <v>18.5</v>
      </c>
      <c r="I1013" s="2" t="s">
        <v>0</v>
      </c>
      <c r="J1013">
        <v>1</v>
      </c>
      <c r="K1013" s="2" t="s">
        <v>2</v>
      </c>
      <c r="L1013">
        <v>0</v>
      </c>
      <c r="M1013">
        <v>17.5</v>
      </c>
      <c r="N1013" s="2" t="s">
        <v>880</v>
      </c>
      <c r="O1013" t="str">
        <f>D1013&amp;"-"&amp;E1013&amp;"-"&amp;F1013&amp;"-"&amp;G1013&amp;"-"&amp;H1013</f>
        <v>E-2-e-0-18.5</v>
      </c>
      <c r="P1013" t="str">
        <f>I1013&amp;"-"&amp;J1013&amp;"-"&amp;K1013&amp;"-"&amp;L1013&amp;"-"&amp;M1013</f>
        <v>X-1-e-0-17.5</v>
      </c>
      <c r="Q1013">
        <f>A1013+R1013</f>
        <v>20336.192814000002</v>
      </c>
      <c r="R1013">
        <f>_xlfn.IFNA(VLOOKUP(P1013,PGOPHER!A$2:G$181,7,FALSE),_xlfn.IFNA(VLOOKUP(P1013,en!A$2:I$768,7,FALSE),-10000))</f>
        <v>1100.2720440000001</v>
      </c>
      <c r="S1013">
        <f>IF(O1013=O1012,Q1012+S1012,Q1013)</f>
        <v>40672.383391999996</v>
      </c>
      <c r="T1013">
        <f>IF(O1013=O1012,T1012+1,1)</f>
        <v>2</v>
      </c>
      <c r="U1013">
        <f>IF(O1013=O1014,"",S1013/T1013)</f>
        <v>20336.191695999998</v>
      </c>
      <c r="V1013" t="str">
        <f>IF(U1013="","",IF(ABS(Q1013-U1013)&gt;V$1,"error",""))</f>
        <v/>
      </c>
    </row>
    <row r="1014" spans="1:22" x14ac:dyDescent="0.55000000000000004">
      <c r="A1014">
        <v>19112.97797</v>
      </c>
      <c r="B1014" s="1">
        <v>5.0000000000000001E-3</v>
      </c>
      <c r="C1014" s="1">
        <v>5.0000000000000001E-3</v>
      </c>
      <c r="D1014" s="2" t="s">
        <v>680</v>
      </c>
      <c r="E1014">
        <v>2</v>
      </c>
      <c r="F1014" s="2" t="s">
        <v>1</v>
      </c>
      <c r="G1014">
        <v>0</v>
      </c>
      <c r="H1014">
        <v>18.5</v>
      </c>
      <c r="I1014" s="2" t="s">
        <v>0</v>
      </c>
      <c r="J1014">
        <v>2</v>
      </c>
      <c r="K1014" s="2" t="s">
        <v>1</v>
      </c>
      <c r="L1014">
        <v>0</v>
      </c>
      <c r="M1014">
        <v>17.5</v>
      </c>
      <c r="N1014" s="2" t="s">
        <v>882</v>
      </c>
      <c r="O1014" t="str">
        <f>D1014&amp;"-"&amp;E1014&amp;"-"&amp;F1014&amp;"-"&amp;G1014&amp;"-"&amp;H1014</f>
        <v>E-2-f-0-18.5</v>
      </c>
      <c r="P1014" t="str">
        <f>I1014&amp;"-"&amp;J1014&amp;"-"&amp;K1014&amp;"-"&amp;L1014&amp;"-"&amp;M1014</f>
        <v>X-2-f-0-17.5</v>
      </c>
      <c r="Q1014">
        <f>A1014+R1014</f>
        <v>20338.767839</v>
      </c>
      <c r="R1014">
        <f>_xlfn.IFNA(VLOOKUP(P1014,PGOPHER!A$2:G$181,7,FALSE),_xlfn.IFNA(VLOOKUP(P1014,en!A$2:I$768,7,FALSE),-10000))</f>
        <v>1225.789869</v>
      </c>
      <c r="S1014">
        <f>IF(O1014=O1013,Q1013+S1013,Q1014)</f>
        <v>20338.767839</v>
      </c>
      <c r="T1014">
        <f>IF(O1014=O1013,T1013+1,1)</f>
        <v>1</v>
      </c>
      <c r="U1014" t="str">
        <f>IF(O1014=O1015,"",S1014/T1014)</f>
        <v/>
      </c>
      <c r="V1014" t="str">
        <f>IF(U1014="","",IF(ABS(Q1014-U1014)&gt;V$1,"error",""))</f>
        <v/>
      </c>
    </row>
    <row r="1015" spans="1:22" x14ac:dyDescent="0.55000000000000004">
      <c r="A1015">
        <v>18837.59391</v>
      </c>
      <c r="B1015" s="1">
        <v>2.5000000000000001E-2</v>
      </c>
      <c r="C1015" s="1">
        <v>2.5000000000000001E-2</v>
      </c>
      <c r="D1015" s="2" t="s">
        <v>680</v>
      </c>
      <c r="E1015">
        <v>2</v>
      </c>
      <c r="F1015" s="2" t="s">
        <v>1</v>
      </c>
      <c r="G1015">
        <v>0</v>
      </c>
      <c r="H1015">
        <v>18.5</v>
      </c>
      <c r="I1015" s="2" t="s">
        <v>0</v>
      </c>
      <c r="J1015">
        <v>2</v>
      </c>
      <c r="K1015" s="2" t="s">
        <v>1</v>
      </c>
      <c r="L1015">
        <v>0</v>
      </c>
      <c r="M1015">
        <v>19.5</v>
      </c>
      <c r="N1015" s="2" t="s">
        <v>883</v>
      </c>
      <c r="O1015" t="str">
        <f>D1015&amp;"-"&amp;E1015&amp;"-"&amp;F1015&amp;"-"&amp;G1015&amp;"-"&amp;H1015</f>
        <v>E-2-f-0-18.5</v>
      </c>
      <c r="P1015" t="str">
        <f>I1015&amp;"-"&amp;J1015&amp;"-"&amp;K1015&amp;"-"&amp;L1015&amp;"-"&amp;M1015</f>
        <v>X-2-f-0-19.5</v>
      </c>
      <c r="Q1015">
        <f>A1015+R1015</f>
        <v>20338.751240999998</v>
      </c>
      <c r="R1015">
        <f>_xlfn.IFNA(VLOOKUP(P1015,PGOPHER!A$2:G$181,7,FALSE),_xlfn.IFNA(VLOOKUP(P1015,en!A$2:I$768,7,FALSE),-10000))</f>
        <v>1501.1573310000001</v>
      </c>
      <c r="S1015">
        <f>IF(O1015=O1014,Q1014+S1014,Q1015)</f>
        <v>40677.535678</v>
      </c>
      <c r="T1015">
        <f>IF(O1015=O1014,T1014+1,1)</f>
        <v>2</v>
      </c>
      <c r="U1015" t="str">
        <f>IF(O1015=O1016,"",S1015/T1015)</f>
        <v/>
      </c>
      <c r="V1015" t="str">
        <f>IF(U1015="","",IF(ABS(Q1015-U1015)&gt;V$1,"error",""))</f>
        <v/>
      </c>
    </row>
    <row r="1016" spans="1:22" x14ac:dyDescent="0.55000000000000004">
      <c r="A1016">
        <v>19110.75747</v>
      </c>
      <c r="B1016" s="1">
        <v>5.0000000000000001E-3</v>
      </c>
      <c r="C1016" s="1">
        <v>5.0000000000000001E-3</v>
      </c>
      <c r="D1016" s="2" t="s">
        <v>680</v>
      </c>
      <c r="E1016">
        <v>2</v>
      </c>
      <c r="F1016" s="2" t="s">
        <v>1</v>
      </c>
      <c r="G1016">
        <v>0</v>
      </c>
      <c r="H1016">
        <v>18.5</v>
      </c>
      <c r="I1016" s="2" t="s">
        <v>0</v>
      </c>
      <c r="J1016">
        <v>1</v>
      </c>
      <c r="K1016" s="2" t="s">
        <v>2</v>
      </c>
      <c r="L1016">
        <v>0</v>
      </c>
      <c r="M1016">
        <v>18.5</v>
      </c>
      <c r="N1016" s="2" t="s">
        <v>884</v>
      </c>
      <c r="O1016" t="str">
        <f>D1016&amp;"-"&amp;E1016&amp;"-"&amp;F1016&amp;"-"&amp;G1016&amp;"-"&amp;H1016</f>
        <v>E-2-f-0-18.5</v>
      </c>
      <c r="P1016" t="str">
        <f>I1016&amp;"-"&amp;J1016&amp;"-"&amp;K1016&amp;"-"&amp;L1016&amp;"-"&amp;M1016</f>
        <v>X-1-e-0-18.5</v>
      </c>
      <c r="Q1016">
        <f>A1016+R1016</f>
        <v>20338.766771000002</v>
      </c>
      <c r="R1016">
        <f>_xlfn.IFNA(VLOOKUP(P1016,PGOPHER!A$2:G$181,7,FALSE),_xlfn.IFNA(VLOOKUP(P1016,en!A$2:I$768,7,FALSE),-10000))</f>
        <v>1228.0093010000001</v>
      </c>
      <c r="S1016">
        <f>IF(O1016=O1015,Q1015+S1015,Q1016)</f>
        <v>61016.286918999998</v>
      </c>
      <c r="T1016">
        <f>IF(O1016=O1015,T1015+1,1)</f>
        <v>3</v>
      </c>
      <c r="U1016">
        <f>IF(O1016=O1017,"",S1016/T1016)</f>
        <v>20338.762306333334</v>
      </c>
      <c r="V1016" t="str">
        <f>IF(U1016="","",IF(ABS(Q1016-U1016)&gt;V$1,"error",""))</f>
        <v/>
      </c>
    </row>
    <row r="1017" spans="1:22" x14ac:dyDescent="0.55000000000000004">
      <c r="A1017">
        <v>19096.676200000002</v>
      </c>
      <c r="B1017">
        <v>5.5E-2</v>
      </c>
      <c r="C1017">
        <v>5.5E-2</v>
      </c>
      <c r="D1017" s="2" t="s">
        <v>680</v>
      </c>
      <c r="E1017">
        <v>2</v>
      </c>
      <c r="F1017" s="2" t="s">
        <v>1</v>
      </c>
      <c r="G1017">
        <v>1</v>
      </c>
      <c r="H1017">
        <v>18.5</v>
      </c>
      <c r="I1017" s="2" t="s">
        <v>0</v>
      </c>
      <c r="J1017">
        <v>2</v>
      </c>
      <c r="K1017" s="2" t="s">
        <v>1</v>
      </c>
      <c r="L1017">
        <v>1</v>
      </c>
      <c r="M1017">
        <v>17.5</v>
      </c>
      <c r="N1017" s="2" t="s">
        <v>1113</v>
      </c>
      <c r="S1017">
        <f>IF(O1017=O1016,Q1016+S1016,Q1017)</f>
        <v>0</v>
      </c>
      <c r="T1017">
        <f>IF(O1017=O1016,T1016+1,1)</f>
        <v>1</v>
      </c>
      <c r="U1017" t="str">
        <f>IF(O1017=O1018,"",S1017/T1017)</f>
        <v/>
      </c>
      <c r="V1017" t="str">
        <f>IF(U1017="","",IF(ABS(Q1017-U1017)&gt;V$1,"error",""))</f>
        <v/>
      </c>
    </row>
    <row r="1018" spans="1:22" x14ac:dyDescent="0.55000000000000004">
      <c r="A1018">
        <v>18827.540679999998</v>
      </c>
      <c r="B1018">
        <v>5.5E-2</v>
      </c>
      <c r="C1018">
        <v>5.5E-2</v>
      </c>
      <c r="D1018" s="2" t="s">
        <v>680</v>
      </c>
      <c r="E1018">
        <v>2</v>
      </c>
      <c r="F1018" s="2" t="s">
        <v>1</v>
      </c>
      <c r="G1018">
        <v>1</v>
      </c>
      <c r="H1018">
        <v>18.5</v>
      </c>
      <c r="I1018" s="2" t="s">
        <v>0</v>
      </c>
      <c r="J1018">
        <v>2</v>
      </c>
      <c r="K1018" s="2" t="s">
        <v>1</v>
      </c>
      <c r="L1018">
        <v>1</v>
      </c>
      <c r="M1018">
        <v>19.5</v>
      </c>
      <c r="N1018" s="2" t="s">
        <v>1114</v>
      </c>
      <c r="S1018">
        <f>IF(O1018=O1017,Q1017+S1017,Q1018)</f>
        <v>0</v>
      </c>
      <c r="T1018">
        <f>IF(O1018=O1017,T1017+1,1)</f>
        <v>2</v>
      </c>
      <c r="U1018" t="str">
        <f>IF(O1018=O1019,"",S1018/T1018)</f>
        <v/>
      </c>
      <c r="V1018" t="str">
        <f>IF(U1018="","",IF(ABS(Q1018-U1018)&gt;V$1,"error",""))</f>
        <v/>
      </c>
    </row>
    <row r="1019" spans="1:22" x14ac:dyDescent="0.55000000000000004">
      <c r="A1019">
        <v>18914.687030000001</v>
      </c>
      <c r="B1019">
        <v>5.5E-2</v>
      </c>
      <c r="C1019">
        <v>5.5E-2</v>
      </c>
      <c r="D1019" s="2" t="s">
        <v>680</v>
      </c>
      <c r="E1019">
        <v>1</v>
      </c>
      <c r="F1019" s="2" t="s">
        <v>1</v>
      </c>
      <c r="G1019">
        <v>1</v>
      </c>
      <c r="H1019">
        <v>18.5</v>
      </c>
      <c r="I1019" s="2" t="s">
        <v>0</v>
      </c>
      <c r="J1019">
        <v>1</v>
      </c>
      <c r="K1019" s="2" t="s">
        <v>2</v>
      </c>
      <c r="L1019">
        <v>1</v>
      </c>
      <c r="M1019">
        <v>18.5</v>
      </c>
      <c r="N1019" s="2" t="s">
        <v>1111</v>
      </c>
      <c r="S1019">
        <f>IF(O1019=O1018,Q1018+S1018,Q1019)</f>
        <v>0</v>
      </c>
      <c r="T1019">
        <f>IF(O1019=O1018,T1018+1,1)</f>
        <v>3</v>
      </c>
      <c r="U1019" t="str">
        <f>IF(O1019=O1020,"",S1019/T1019)</f>
        <v/>
      </c>
      <c r="V1019" t="str">
        <f>IF(U1019="","",IF(ABS(Q1019-U1019)&gt;V$1,"error",""))</f>
        <v/>
      </c>
    </row>
    <row r="1020" spans="1:22" x14ac:dyDescent="0.55000000000000004">
      <c r="A1020">
        <v>19094.566429999999</v>
      </c>
      <c r="B1020">
        <v>5.0000000000000001E-3</v>
      </c>
      <c r="C1020">
        <v>5.0000000000000001E-3</v>
      </c>
      <c r="D1020" s="2" t="s">
        <v>680</v>
      </c>
      <c r="E1020">
        <v>2</v>
      </c>
      <c r="F1020" s="2" t="s">
        <v>1</v>
      </c>
      <c r="G1020">
        <v>1</v>
      </c>
      <c r="H1020">
        <v>18.5</v>
      </c>
      <c r="I1020" s="2" t="s">
        <v>0</v>
      </c>
      <c r="J1020">
        <v>1</v>
      </c>
      <c r="K1020" s="2" t="s">
        <v>2</v>
      </c>
      <c r="L1020">
        <v>1</v>
      </c>
      <c r="M1020">
        <v>18.5</v>
      </c>
      <c r="N1020" s="2" t="s">
        <v>1112</v>
      </c>
      <c r="S1020">
        <f>IF(O1020=O1019,Q1019+S1019,Q1020)</f>
        <v>0</v>
      </c>
      <c r="T1020">
        <f>IF(O1020=O1019,T1019+1,1)</f>
        <v>4</v>
      </c>
      <c r="U1020">
        <f>IF(O1020=O1021,"",S1020/T1020)</f>
        <v>0</v>
      </c>
      <c r="V1020" t="str">
        <f>IF(U1020="","",IF(ABS(Q1020-U1020)&gt;V$1,"error",""))</f>
        <v/>
      </c>
    </row>
    <row r="1021" spans="1:22" x14ac:dyDescent="0.55000000000000004">
      <c r="A1021">
        <v>19069.447530000001</v>
      </c>
      <c r="B1021" s="1">
        <v>5.0000000000000001E-3</v>
      </c>
      <c r="C1021" s="1">
        <v>5.0000000000000001E-3</v>
      </c>
      <c r="D1021" s="2" t="s">
        <v>680</v>
      </c>
      <c r="E1021">
        <v>1</v>
      </c>
      <c r="F1021" s="2" t="s">
        <v>2</v>
      </c>
      <c r="G1021">
        <v>0</v>
      </c>
      <c r="H1021">
        <v>19.5</v>
      </c>
      <c r="I1021" s="2" t="s">
        <v>0</v>
      </c>
      <c r="J1021">
        <v>1</v>
      </c>
      <c r="K1021" s="2" t="s">
        <v>2</v>
      </c>
      <c r="L1021">
        <v>0</v>
      </c>
      <c r="M1021">
        <v>18.5</v>
      </c>
      <c r="N1021" s="2" t="s">
        <v>885</v>
      </c>
      <c r="O1021" t="str">
        <f>D1021&amp;"-"&amp;E1021&amp;"-"&amp;F1021&amp;"-"&amp;G1021&amp;"-"&amp;H1021</f>
        <v>E-1-e-0-19.5</v>
      </c>
      <c r="P1021" t="str">
        <f>I1021&amp;"-"&amp;J1021&amp;"-"&amp;K1021&amp;"-"&amp;L1021&amp;"-"&amp;M1021</f>
        <v>X-1-e-0-18.5</v>
      </c>
      <c r="Q1021">
        <f>A1021+R1021</f>
        <v>20297.456831000003</v>
      </c>
      <c r="R1021">
        <f>_xlfn.IFNA(VLOOKUP(P1021,PGOPHER!A$2:G$181,7,FALSE),_xlfn.IFNA(VLOOKUP(P1021,en!A$2:I$768,7,FALSE),-10000))</f>
        <v>1228.0093010000001</v>
      </c>
      <c r="S1021">
        <f>IF(O1021=O1020,Q1020+S1020,Q1021)</f>
        <v>20297.456831000003</v>
      </c>
      <c r="T1021">
        <f>IF(O1021=O1020,T1020+1,1)</f>
        <v>1</v>
      </c>
      <c r="U1021" t="str">
        <f>IF(O1021=O1022,"",S1021/T1021)</f>
        <v/>
      </c>
      <c r="V1021" t="str">
        <f>IF(U1021="","",IF(ABS(Q1021-U1021)&gt;V$1,"error",""))</f>
        <v/>
      </c>
    </row>
    <row r="1022" spans="1:22" x14ac:dyDescent="0.55000000000000004">
      <c r="A1022">
        <v>18793.851050000001</v>
      </c>
      <c r="B1022" s="1">
        <v>9.5429999999999994E-3</v>
      </c>
      <c r="C1022" s="1">
        <v>9.5429999999999994E-3</v>
      </c>
      <c r="D1022" s="2" t="s">
        <v>680</v>
      </c>
      <c r="E1022">
        <v>1</v>
      </c>
      <c r="F1022" s="2" t="s">
        <v>2</v>
      </c>
      <c r="G1022">
        <v>0</v>
      </c>
      <c r="H1022">
        <v>19.5</v>
      </c>
      <c r="I1022" s="2" t="s">
        <v>0</v>
      </c>
      <c r="J1022">
        <v>1</v>
      </c>
      <c r="K1022" s="2" t="s">
        <v>2</v>
      </c>
      <c r="L1022">
        <v>0</v>
      </c>
      <c r="M1022">
        <v>20.5</v>
      </c>
      <c r="N1022" s="2" t="s">
        <v>886</v>
      </c>
      <c r="O1022" t="str">
        <f>D1022&amp;"-"&amp;E1022&amp;"-"&amp;F1022&amp;"-"&amp;G1022&amp;"-"&amp;H1022</f>
        <v>E-1-e-0-19.5</v>
      </c>
      <c r="P1022" t="str">
        <f>I1022&amp;"-"&amp;J1022&amp;"-"&amp;K1022&amp;"-"&amp;L1022&amp;"-"&amp;M1022</f>
        <v>X-1-e-0-20.5</v>
      </c>
      <c r="Q1022">
        <f>A1022+R1022</f>
        <v>20297.4493</v>
      </c>
      <c r="R1022">
        <f>_xlfn.IFNA(VLOOKUP(P1022,PGOPHER!A$2:G$181,7,FALSE),_xlfn.IFNA(VLOOKUP(P1022,en!A$2:I$768,7,FALSE),-10000))</f>
        <v>1503.59825</v>
      </c>
      <c r="S1022">
        <f>IF(O1022=O1021,Q1021+S1021,Q1022)</f>
        <v>40594.913662000006</v>
      </c>
      <c r="T1022">
        <f>IF(O1022=O1021,T1021+1,1)</f>
        <v>2</v>
      </c>
      <c r="U1022" t="str">
        <f>IF(O1022=O1023,"",S1022/T1022)</f>
        <v/>
      </c>
      <c r="V1022" t="str">
        <f>IF(U1022="","",IF(ABS(Q1022-U1022)&gt;V$1,"error",""))</f>
        <v/>
      </c>
    </row>
    <row r="1023" spans="1:22" x14ac:dyDescent="0.55000000000000004">
      <c r="A1023">
        <v>18796.302380000001</v>
      </c>
      <c r="B1023" s="1">
        <v>6.051E-3</v>
      </c>
      <c r="C1023" s="1">
        <v>6.051E-3</v>
      </c>
      <c r="D1023" s="2" t="s">
        <v>680</v>
      </c>
      <c r="E1023">
        <v>1</v>
      </c>
      <c r="F1023" s="2" t="s">
        <v>2</v>
      </c>
      <c r="G1023">
        <v>0</v>
      </c>
      <c r="H1023">
        <v>19.5</v>
      </c>
      <c r="I1023" s="2" t="s">
        <v>0</v>
      </c>
      <c r="J1023">
        <v>2</v>
      </c>
      <c r="K1023" s="2" t="s">
        <v>1</v>
      </c>
      <c r="L1023">
        <v>0</v>
      </c>
      <c r="M1023">
        <v>19.5</v>
      </c>
      <c r="N1023" s="2" t="s">
        <v>887</v>
      </c>
      <c r="O1023" t="str">
        <f>D1023&amp;"-"&amp;E1023&amp;"-"&amp;F1023&amp;"-"&amp;G1023&amp;"-"&amp;H1023</f>
        <v>E-1-e-0-19.5</v>
      </c>
      <c r="P1023" t="str">
        <f>I1023&amp;"-"&amp;J1023&amp;"-"&amp;K1023&amp;"-"&amp;L1023&amp;"-"&amp;M1023</f>
        <v>X-2-f-0-19.5</v>
      </c>
      <c r="Q1023">
        <f>A1023+R1023</f>
        <v>20297.459711</v>
      </c>
      <c r="R1023">
        <f>_xlfn.IFNA(VLOOKUP(P1023,PGOPHER!A$2:G$181,7,FALSE),_xlfn.IFNA(VLOOKUP(P1023,en!A$2:I$768,7,FALSE),-10000))</f>
        <v>1501.1573310000001</v>
      </c>
      <c r="S1023">
        <f>IF(O1023=O1022,Q1022+S1022,Q1023)</f>
        <v>60892.362962000007</v>
      </c>
      <c r="T1023">
        <f>IF(O1023=O1022,T1022+1,1)</f>
        <v>3</v>
      </c>
      <c r="U1023">
        <f>IF(O1023=O1024,"",S1023/T1023)</f>
        <v>20297.454320666668</v>
      </c>
      <c r="V1023" t="str">
        <f>IF(U1023="","",IF(ABS(Q1023-U1023)&gt;V$1,"error",""))</f>
        <v/>
      </c>
    </row>
    <row r="1024" spans="1:22" x14ac:dyDescent="0.55000000000000004">
      <c r="A1024">
        <v>18933.69211</v>
      </c>
      <c r="B1024" s="1">
        <v>5.0000000000000001E-3</v>
      </c>
      <c r="C1024" s="1">
        <v>5.0000000000000001E-3</v>
      </c>
      <c r="D1024" s="2" t="s">
        <v>680</v>
      </c>
      <c r="E1024">
        <v>1</v>
      </c>
      <c r="F1024" s="2" t="s">
        <v>1</v>
      </c>
      <c r="G1024">
        <v>0</v>
      </c>
      <c r="H1024">
        <v>19.5</v>
      </c>
      <c r="I1024" s="2" t="s">
        <v>0</v>
      </c>
      <c r="J1024">
        <v>1</v>
      </c>
      <c r="K1024" s="2" t="s">
        <v>2</v>
      </c>
      <c r="L1024">
        <v>0</v>
      </c>
      <c r="M1024">
        <v>19.5</v>
      </c>
      <c r="N1024" s="2" t="s">
        <v>888</v>
      </c>
      <c r="O1024" t="str">
        <f>D1024&amp;"-"&amp;E1024&amp;"-"&amp;F1024&amp;"-"&amp;G1024&amp;"-"&amp;H1024</f>
        <v>E-1-f-0-19.5</v>
      </c>
      <c r="P1024" t="str">
        <f>I1024&amp;"-"&amp;J1024&amp;"-"&amp;K1024&amp;"-"&amp;L1024&amp;"-"&amp;M1024</f>
        <v>X-1-e-0-19.5</v>
      </c>
      <c r="Q1024">
        <f>A1024+R1024</f>
        <v>20296.167215000001</v>
      </c>
      <c r="R1024">
        <f>_xlfn.IFNA(VLOOKUP(P1024,PGOPHER!A$2:G$181,7,FALSE),_xlfn.IFNA(VLOOKUP(P1024,en!A$2:I$768,7,FALSE),-10000))</f>
        <v>1362.475105</v>
      </c>
      <c r="S1024">
        <f>IF(O1024=O1023,Q1023+S1023,Q1024)</f>
        <v>20296.167215000001</v>
      </c>
      <c r="T1024">
        <f>IF(O1024=O1023,T1023+1,1)</f>
        <v>1</v>
      </c>
      <c r="U1024">
        <f>IF(O1024=O1025,"",S1024/T1024)</f>
        <v>20296.167215000001</v>
      </c>
      <c r="V1024" t="str">
        <f>IF(U1024="","",IF(ABS(Q1024-U1024)&gt;V$1,"error",""))</f>
        <v/>
      </c>
    </row>
    <row r="1025" spans="1:22" x14ac:dyDescent="0.55000000000000004">
      <c r="A1025">
        <v>18979.729950000001</v>
      </c>
      <c r="B1025" s="1">
        <v>5.0000000000000001E-3</v>
      </c>
      <c r="C1025" s="1">
        <v>5.0000000000000001E-3</v>
      </c>
      <c r="D1025" s="2" t="s">
        <v>680</v>
      </c>
      <c r="E1025">
        <v>2</v>
      </c>
      <c r="F1025" s="2" t="s">
        <v>2</v>
      </c>
      <c r="G1025">
        <v>0</v>
      </c>
      <c r="H1025">
        <v>19.5</v>
      </c>
      <c r="I1025" s="2" t="s">
        <v>0</v>
      </c>
      <c r="J1025">
        <v>2</v>
      </c>
      <c r="K1025" s="2" t="s">
        <v>1</v>
      </c>
      <c r="L1025">
        <v>0</v>
      </c>
      <c r="M1025">
        <v>19.5</v>
      </c>
      <c r="N1025" s="2" t="s">
        <v>889</v>
      </c>
      <c r="O1025" t="str">
        <f>D1025&amp;"-"&amp;E1025&amp;"-"&amp;F1025&amp;"-"&amp;G1025&amp;"-"&amp;H1025</f>
        <v>E-2-e-0-19.5</v>
      </c>
      <c r="P1025" t="str">
        <f>I1025&amp;"-"&amp;J1025&amp;"-"&amp;K1025&amp;"-"&amp;L1025&amp;"-"&amp;M1025</f>
        <v>X-2-f-0-19.5</v>
      </c>
      <c r="Q1025">
        <f>A1025+R1025</f>
        <v>20480.887280999999</v>
      </c>
      <c r="R1025">
        <f>_xlfn.IFNA(VLOOKUP(P1025,PGOPHER!A$2:G$181,7,FALSE),_xlfn.IFNA(VLOOKUP(P1025,en!A$2:I$768,7,FALSE),-10000))</f>
        <v>1501.1573310000001</v>
      </c>
      <c r="S1025">
        <f>IF(O1025=O1024,Q1024+S1024,Q1025)</f>
        <v>20480.887280999999</v>
      </c>
      <c r="T1025">
        <f>IF(O1025=O1024,T1024+1,1)</f>
        <v>1</v>
      </c>
      <c r="U1025">
        <f>IF(O1025=O1026,"",S1025/T1025)</f>
        <v>20480.887280999999</v>
      </c>
      <c r="V1025" t="str">
        <f>IF(U1025="","",IF(ABS(Q1025-U1025)&gt;V$1,"error",""))</f>
        <v/>
      </c>
    </row>
    <row r="1026" spans="1:22" x14ac:dyDescent="0.55000000000000004">
      <c r="A1026">
        <v>19123.620780000001</v>
      </c>
      <c r="B1026" s="1">
        <v>5.0000000000000001E-3</v>
      </c>
      <c r="C1026" s="1">
        <v>5.0000000000000001E-3</v>
      </c>
      <c r="D1026" s="2" t="s">
        <v>680</v>
      </c>
      <c r="E1026">
        <v>2</v>
      </c>
      <c r="F1026" s="2" t="s">
        <v>1</v>
      </c>
      <c r="G1026">
        <v>0</v>
      </c>
      <c r="H1026">
        <v>19.5</v>
      </c>
      <c r="I1026" s="2" t="s">
        <v>0</v>
      </c>
      <c r="J1026">
        <v>2</v>
      </c>
      <c r="K1026" s="2" t="s">
        <v>1</v>
      </c>
      <c r="L1026">
        <v>0</v>
      </c>
      <c r="M1026">
        <v>18.5</v>
      </c>
      <c r="N1026" s="2" t="s">
        <v>890</v>
      </c>
      <c r="O1026" t="str">
        <f>D1026&amp;"-"&amp;E1026&amp;"-"&amp;F1026&amp;"-"&amp;G1026&amp;"-"&amp;H1026</f>
        <v>E-2-f-0-19.5</v>
      </c>
      <c r="P1026" t="str">
        <f>I1026&amp;"-"&amp;J1026&amp;"-"&amp;K1026&amp;"-"&amp;L1026&amp;"-"&amp;M1026</f>
        <v>X-2-f-0-18.5</v>
      </c>
      <c r="Q1026">
        <f>A1026+R1026</f>
        <v>20483.765326000001</v>
      </c>
      <c r="R1026">
        <f>_xlfn.IFNA(VLOOKUP(P1026,PGOPHER!A$2:G$181,7,FALSE),_xlfn.IFNA(VLOOKUP(P1026,en!A$2:I$768,7,FALSE),-10000))</f>
        <v>1360.144546</v>
      </c>
      <c r="S1026">
        <f>IF(O1026=O1025,Q1025+S1025,Q1026)</f>
        <v>20483.765326000001</v>
      </c>
      <c r="T1026">
        <f>IF(O1026=O1025,T1025+1,1)</f>
        <v>1</v>
      </c>
      <c r="U1026" t="str">
        <f>IF(O1026=O1027,"",S1026/T1026)</f>
        <v/>
      </c>
      <c r="V1026" t="str">
        <f>IF(U1026="","",IF(ABS(Q1026-U1026)&gt;V$1,"error",""))</f>
        <v/>
      </c>
    </row>
    <row r="1027" spans="1:22" x14ac:dyDescent="0.55000000000000004">
      <c r="A1027">
        <v>18834.979070000001</v>
      </c>
      <c r="B1027" s="1">
        <v>5.0000000000000001E-3</v>
      </c>
      <c r="C1027" s="1">
        <v>5.0000000000000001E-3</v>
      </c>
      <c r="D1027" s="2" t="s">
        <v>680</v>
      </c>
      <c r="E1027">
        <v>2</v>
      </c>
      <c r="F1027" s="2" t="s">
        <v>1</v>
      </c>
      <c r="G1027">
        <v>0</v>
      </c>
      <c r="H1027">
        <v>19.5</v>
      </c>
      <c r="I1027" s="2" t="s">
        <v>0</v>
      </c>
      <c r="J1027">
        <v>2</v>
      </c>
      <c r="K1027" s="2" t="s">
        <v>1</v>
      </c>
      <c r="L1027">
        <v>0</v>
      </c>
      <c r="M1027">
        <v>20.5</v>
      </c>
      <c r="N1027" s="2" t="s">
        <v>891</v>
      </c>
      <c r="O1027" t="str">
        <f>D1027&amp;"-"&amp;E1027&amp;"-"&amp;F1027&amp;"-"&amp;G1027&amp;"-"&amp;H1027</f>
        <v>E-2-f-0-19.5</v>
      </c>
      <c r="P1027" t="str">
        <f>I1027&amp;"-"&amp;J1027&amp;"-"&amp;K1027&amp;"-"&amp;L1027&amp;"-"&amp;M1027</f>
        <v>X-2-f-0-20.5</v>
      </c>
      <c r="Q1027">
        <f>A1027+R1027</f>
        <v>20483.76064</v>
      </c>
      <c r="R1027">
        <f>_xlfn.IFNA(VLOOKUP(P1027,PGOPHER!A$2:G$181,7,FALSE),_xlfn.IFNA(VLOOKUP(P1027,en!A$2:I$768,7,FALSE),-10000))</f>
        <v>1648.7815700000001</v>
      </c>
      <c r="S1027">
        <f>IF(O1027=O1026,Q1026+S1026,Q1027)</f>
        <v>40967.530652000001</v>
      </c>
      <c r="T1027">
        <f>IF(O1027=O1026,T1026+1,1)</f>
        <v>2</v>
      </c>
      <c r="U1027" t="str">
        <f>IF(O1027=O1028,"",S1027/T1027)</f>
        <v/>
      </c>
      <c r="V1027" t="str">
        <f>IF(U1027="","",IF(ABS(Q1027-U1027)&gt;V$1,"error",""))</f>
        <v/>
      </c>
    </row>
    <row r="1028" spans="1:22" x14ac:dyDescent="0.55000000000000004">
      <c r="A1028">
        <v>19121.285339999999</v>
      </c>
      <c r="B1028" s="1">
        <v>5.0000000000000001E-3</v>
      </c>
      <c r="C1028" s="1">
        <v>5.0000000000000001E-3</v>
      </c>
      <c r="D1028" s="2" t="s">
        <v>680</v>
      </c>
      <c r="E1028">
        <v>2</v>
      </c>
      <c r="F1028" s="2" t="s">
        <v>1</v>
      </c>
      <c r="G1028">
        <v>0</v>
      </c>
      <c r="H1028">
        <v>19.5</v>
      </c>
      <c r="I1028" s="2" t="s">
        <v>0</v>
      </c>
      <c r="J1028">
        <v>1</v>
      </c>
      <c r="K1028" s="2" t="s">
        <v>2</v>
      </c>
      <c r="L1028">
        <v>0</v>
      </c>
      <c r="M1028">
        <v>19.5</v>
      </c>
      <c r="N1028" s="2" t="s">
        <v>892</v>
      </c>
      <c r="O1028" t="str">
        <f>D1028&amp;"-"&amp;E1028&amp;"-"&amp;F1028&amp;"-"&amp;G1028&amp;"-"&amp;H1028</f>
        <v>E-2-f-0-19.5</v>
      </c>
      <c r="P1028" t="str">
        <f>I1028&amp;"-"&amp;J1028&amp;"-"&amp;K1028&amp;"-"&amp;L1028&amp;"-"&amp;M1028</f>
        <v>X-1-e-0-19.5</v>
      </c>
      <c r="Q1028">
        <f>A1028+R1028</f>
        <v>20483.760445</v>
      </c>
      <c r="R1028">
        <f>_xlfn.IFNA(VLOOKUP(P1028,PGOPHER!A$2:G$181,7,FALSE),_xlfn.IFNA(VLOOKUP(P1028,en!A$2:I$768,7,FALSE),-10000))</f>
        <v>1362.475105</v>
      </c>
      <c r="S1028">
        <f>IF(O1028=O1027,Q1027+S1027,Q1028)</f>
        <v>61451.291292000002</v>
      </c>
      <c r="T1028">
        <f>IF(O1028=O1027,T1027+1,1)</f>
        <v>3</v>
      </c>
      <c r="U1028">
        <f>IF(O1028=O1029,"",S1028/T1028)</f>
        <v>20483.763763999999</v>
      </c>
      <c r="V1028" t="str">
        <f>IF(U1028="","",IF(ABS(Q1028-U1028)&gt;V$1,"error",""))</f>
        <v/>
      </c>
    </row>
    <row r="1029" spans="1:22" x14ac:dyDescent="0.55000000000000004">
      <c r="A1029">
        <v>18918.26208</v>
      </c>
      <c r="B1029">
        <v>5.5E-2</v>
      </c>
      <c r="C1029">
        <v>5.5E-2</v>
      </c>
      <c r="D1029" s="2" t="s">
        <v>680</v>
      </c>
      <c r="E1029">
        <v>1</v>
      </c>
      <c r="F1029" s="2" t="s">
        <v>1</v>
      </c>
      <c r="G1029">
        <v>1</v>
      </c>
      <c r="H1029">
        <v>19.5</v>
      </c>
      <c r="I1029" s="2" t="s">
        <v>0</v>
      </c>
      <c r="J1029">
        <v>1</v>
      </c>
      <c r="K1029" s="2" t="s">
        <v>2</v>
      </c>
      <c r="L1029">
        <v>1</v>
      </c>
      <c r="M1029">
        <v>19.5</v>
      </c>
      <c r="N1029" s="2" t="s">
        <v>1115</v>
      </c>
      <c r="S1029">
        <f>IF(O1029=O1028,Q1028+S1028,Q1029)</f>
        <v>0</v>
      </c>
      <c r="T1029">
        <f>IF(O1029=O1028,T1028+1,1)</f>
        <v>1</v>
      </c>
      <c r="U1029">
        <f>IF(O1029=O1030,"",S1029/T1029)</f>
        <v>0</v>
      </c>
      <c r="V1029" t="str">
        <f>IF(U1029="","",IF(ABS(Q1029-U1029)&gt;V$1,"error",""))</f>
        <v/>
      </c>
    </row>
    <row r="1030" spans="1:22" x14ac:dyDescent="0.55000000000000004">
      <c r="A1030">
        <v>19080.77305</v>
      </c>
      <c r="B1030" s="1">
        <v>1.4999999999999999E-2</v>
      </c>
      <c r="C1030" s="1">
        <v>1.4999999999999999E-2</v>
      </c>
      <c r="D1030" s="2" t="s">
        <v>680</v>
      </c>
      <c r="E1030">
        <v>1</v>
      </c>
      <c r="F1030" s="2" t="s">
        <v>2</v>
      </c>
      <c r="G1030">
        <v>0</v>
      </c>
      <c r="H1030">
        <v>20.5</v>
      </c>
      <c r="I1030" s="2" t="s">
        <v>0</v>
      </c>
      <c r="J1030">
        <v>1</v>
      </c>
      <c r="K1030" s="2" t="s">
        <v>2</v>
      </c>
      <c r="L1030">
        <v>0</v>
      </c>
      <c r="M1030">
        <v>19.5</v>
      </c>
      <c r="N1030" s="2" t="s">
        <v>893</v>
      </c>
      <c r="O1030" t="str">
        <f>D1030&amp;"-"&amp;E1030&amp;"-"&amp;F1030&amp;"-"&amp;G1030&amp;"-"&amp;H1030</f>
        <v>E-1-e-0-20.5</v>
      </c>
      <c r="P1030" t="str">
        <f>I1030&amp;"-"&amp;J1030&amp;"-"&amp;K1030&amp;"-"&amp;L1030&amp;"-"&amp;M1030</f>
        <v>X-1-e-0-19.5</v>
      </c>
      <c r="Q1030">
        <f>A1030+R1030</f>
        <v>20443.248155000001</v>
      </c>
      <c r="R1030">
        <f>_xlfn.IFNA(VLOOKUP(P1030,PGOPHER!A$2:G$181,7,FALSE),_xlfn.IFNA(VLOOKUP(P1030,en!A$2:I$768,7,FALSE),-10000))</f>
        <v>1362.475105</v>
      </c>
      <c r="S1030">
        <f>IF(O1030=O1029,Q1029+S1029,Q1030)</f>
        <v>20443.248155000001</v>
      </c>
      <c r="T1030">
        <f>IF(O1030=O1029,T1029+1,1)</f>
        <v>1</v>
      </c>
      <c r="U1030" t="str">
        <f>IF(O1030=O1031,"",S1030/T1030)</f>
        <v/>
      </c>
      <c r="V1030" t="str">
        <f>IF(U1030="","",IF(ABS(Q1030-U1030)&gt;V$1,"error",""))</f>
        <v/>
      </c>
    </row>
    <row r="1031" spans="1:22" x14ac:dyDescent="0.55000000000000004">
      <c r="A1031">
        <v>18791.91316</v>
      </c>
      <c r="B1031" s="1">
        <v>5.0000000000000001E-3</v>
      </c>
      <c r="C1031" s="1">
        <v>5.0000000000000001E-3</v>
      </c>
      <c r="D1031" s="2" t="s">
        <v>680</v>
      </c>
      <c r="E1031">
        <v>1</v>
      </c>
      <c r="F1031" s="2" t="s">
        <v>2</v>
      </c>
      <c r="G1031">
        <v>0</v>
      </c>
      <c r="H1031">
        <v>20.5</v>
      </c>
      <c r="I1031" s="2" t="s">
        <v>0</v>
      </c>
      <c r="J1031">
        <v>1</v>
      </c>
      <c r="K1031" s="2" t="s">
        <v>2</v>
      </c>
      <c r="L1031">
        <v>0</v>
      </c>
      <c r="M1031">
        <v>21.5</v>
      </c>
      <c r="N1031" s="2" t="s">
        <v>894</v>
      </c>
      <c r="O1031" t="str">
        <f>D1031&amp;"-"&amp;E1031&amp;"-"&amp;F1031&amp;"-"&amp;G1031&amp;"-"&amp;H1031</f>
        <v>E-1-e-0-20.5</v>
      </c>
      <c r="P1031" t="str">
        <f>I1031&amp;"-"&amp;J1031&amp;"-"&amp;K1031&amp;"-"&amp;L1031&amp;"-"&amp;M1031</f>
        <v>X-1-e-0-21.5</v>
      </c>
      <c r="Q1031">
        <f>A1031+R1031</f>
        <v>20443.242395000001</v>
      </c>
      <c r="R1031">
        <f>_xlfn.IFNA(VLOOKUP(P1031,PGOPHER!A$2:G$181,7,FALSE),_xlfn.IFNA(VLOOKUP(P1031,en!A$2:I$768,7,FALSE),-10000))</f>
        <v>1651.3292349999999</v>
      </c>
      <c r="S1031">
        <f>IF(O1031=O1030,Q1030+S1030,Q1031)</f>
        <v>40886.496310000002</v>
      </c>
      <c r="T1031">
        <f>IF(O1031=O1030,T1030+1,1)</f>
        <v>2</v>
      </c>
      <c r="U1031" t="str">
        <f>IF(O1031=O1032,"",S1031/T1031)</f>
        <v/>
      </c>
      <c r="V1031" t="str">
        <f>IF(U1031="","",IF(ABS(Q1031-U1031)&gt;V$1,"error",""))</f>
        <v/>
      </c>
    </row>
    <row r="1032" spans="1:22" x14ac:dyDescent="0.55000000000000004">
      <c r="A1032">
        <v>18794.45982</v>
      </c>
      <c r="B1032" s="1">
        <v>5.0000000000000001E-3</v>
      </c>
      <c r="C1032" s="1">
        <v>5.0000000000000001E-3</v>
      </c>
      <c r="D1032" s="2" t="s">
        <v>680</v>
      </c>
      <c r="E1032">
        <v>1</v>
      </c>
      <c r="F1032" s="2" t="s">
        <v>2</v>
      </c>
      <c r="G1032">
        <v>0</v>
      </c>
      <c r="H1032">
        <v>20.5</v>
      </c>
      <c r="I1032" s="2" t="s">
        <v>0</v>
      </c>
      <c r="J1032">
        <v>2</v>
      </c>
      <c r="K1032" s="2" t="s">
        <v>1</v>
      </c>
      <c r="L1032">
        <v>0</v>
      </c>
      <c r="M1032">
        <v>20.5</v>
      </c>
      <c r="N1032" s="2" t="s">
        <v>895</v>
      </c>
      <c r="O1032" t="str">
        <f>D1032&amp;"-"&amp;E1032&amp;"-"&amp;F1032&amp;"-"&amp;G1032&amp;"-"&amp;H1032</f>
        <v>E-1-e-0-20.5</v>
      </c>
      <c r="P1032" t="str">
        <f>I1032&amp;"-"&amp;J1032&amp;"-"&amp;K1032&amp;"-"&amp;L1032&amp;"-"&amp;M1032</f>
        <v>X-2-f-0-20.5</v>
      </c>
      <c r="Q1032">
        <f>A1032+R1032</f>
        <v>20443.241389999999</v>
      </c>
      <c r="R1032">
        <f>_xlfn.IFNA(VLOOKUP(P1032,PGOPHER!A$2:G$181,7,FALSE),_xlfn.IFNA(VLOOKUP(P1032,en!A$2:I$768,7,FALSE),-10000))</f>
        <v>1648.7815700000001</v>
      </c>
      <c r="S1032">
        <f>IF(O1032=O1031,Q1031+S1031,Q1032)</f>
        <v>61329.738705000003</v>
      </c>
      <c r="T1032">
        <f>IF(O1032=O1031,T1031+1,1)</f>
        <v>3</v>
      </c>
      <c r="U1032">
        <f>IF(O1032=O1033,"",S1032/T1032)</f>
        <v>20443.246235000002</v>
      </c>
      <c r="V1032" t="str">
        <f>IF(U1032="","",IF(ABS(Q1032-U1032)&gt;V$1,"error",""))</f>
        <v/>
      </c>
    </row>
    <row r="1033" spans="1:22" x14ac:dyDescent="0.55000000000000004">
      <c r="A1033">
        <v>18938.106309999999</v>
      </c>
      <c r="B1033" s="1">
        <v>5.0000000000000001E-3</v>
      </c>
      <c r="C1033" s="1">
        <v>5.0000000000000001E-3</v>
      </c>
      <c r="D1033" s="2" t="s">
        <v>680</v>
      </c>
      <c r="E1033">
        <v>1</v>
      </c>
      <c r="F1033" s="2" t="s">
        <v>1</v>
      </c>
      <c r="G1033">
        <v>0</v>
      </c>
      <c r="H1033">
        <v>20.5</v>
      </c>
      <c r="I1033" s="2" t="s">
        <v>0</v>
      </c>
      <c r="J1033">
        <v>1</v>
      </c>
      <c r="K1033" s="2" t="s">
        <v>2</v>
      </c>
      <c r="L1033">
        <v>0</v>
      </c>
      <c r="M1033">
        <v>20.5</v>
      </c>
      <c r="N1033" s="2" t="s">
        <v>896</v>
      </c>
      <c r="O1033" t="str">
        <f>D1033&amp;"-"&amp;E1033&amp;"-"&amp;F1033&amp;"-"&amp;G1033&amp;"-"&amp;H1033</f>
        <v>E-1-f-0-20.5</v>
      </c>
      <c r="P1033" t="str">
        <f>I1033&amp;"-"&amp;J1033&amp;"-"&amp;K1033&amp;"-"&amp;L1033&amp;"-"&amp;M1033</f>
        <v>X-1-e-0-20.5</v>
      </c>
      <c r="Q1033">
        <f>A1033+R1033</f>
        <v>20441.704559999998</v>
      </c>
      <c r="R1033">
        <f>_xlfn.IFNA(VLOOKUP(P1033,PGOPHER!A$2:G$181,7,FALSE),_xlfn.IFNA(VLOOKUP(P1033,en!A$2:I$768,7,FALSE),-10000))</f>
        <v>1503.59825</v>
      </c>
      <c r="S1033">
        <f>IF(O1033=O1032,Q1032+S1032,Q1033)</f>
        <v>20441.704559999998</v>
      </c>
      <c r="T1033">
        <f>IF(O1033=O1032,T1032+1,1)</f>
        <v>1</v>
      </c>
      <c r="U1033">
        <f>IF(O1033=O1034,"",S1033/T1033)</f>
        <v>20441.704559999998</v>
      </c>
      <c r="V1033" t="str">
        <f>IF(U1033="","",IF(ABS(Q1033-U1033)&gt;V$1,"error",""))</f>
        <v/>
      </c>
    </row>
    <row r="1034" spans="1:22" x14ac:dyDescent="0.55000000000000004">
      <c r="A1034">
        <v>18983.598849999998</v>
      </c>
      <c r="B1034" s="1">
        <v>5.0000000000000001E-3</v>
      </c>
      <c r="C1034" s="1">
        <v>5.0000000000000001E-3</v>
      </c>
      <c r="D1034" s="2" t="s">
        <v>680</v>
      </c>
      <c r="E1034">
        <v>2</v>
      </c>
      <c r="F1034" s="2" t="s">
        <v>2</v>
      </c>
      <c r="G1034">
        <v>0</v>
      </c>
      <c r="H1034">
        <v>20.5</v>
      </c>
      <c r="I1034" s="2" t="s">
        <v>0</v>
      </c>
      <c r="J1034">
        <v>2</v>
      </c>
      <c r="K1034" s="2" t="s">
        <v>1</v>
      </c>
      <c r="L1034">
        <v>0</v>
      </c>
      <c r="M1034">
        <v>20.5</v>
      </c>
      <c r="N1034" s="2" t="s">
        <v>897</v>
      </c>
      <c r="O1034" t="str">
        <f>D1034&amp;"-"&amp;E1034&amp;"-"&amp;F1034&amp;"-"&amp;G1034&amp;"-"&amp;H1034</f>
        <v>E-2-e-0-20.5</v>
      </c>
      <c r="P1034" t="str">
        <f>I1034&amp;"-"&amp;J1034&amp;"-"&amp;K1034&amp;"-"&amp;L1034&amp;"-"&amp;M1034</f>
        <v>X-2-f-0-20.5</v>
      </c>
      <c r="Q1034">
        <f>A1034+R1034</f>
        <v>20632.380419999998</v>
      </c>
      <c r="R1034">
        <f>_xlfn.IFNA(VLOOKUP(P1034,PGOPHER!A$2:G$181,7,FALSE),_xlfn.IFNA(VLOOKUP(P1034,en!A$2:I$768,7,FALSE),-10000))</f>
        <v>1648.7815700000001</v>
      </c>
      <c r="S1034">
        <f>IF(O1034=O1033,Q1033+S1033,Q1034)</f>
        <v>20632.380419999998</v>
      </c>
      <c r="T1034">
        <f>IF(O1034=O1033,T1033+1,1)</f>
        <v>1</v>
      </c>
      <c r="U1034">
        <f>IF(O1034=O1035,"",S1034/T1034)</f>
        <v>20632.380419999998</v>
      </c>
      <c r="V1034" t="str">
        <f>IF(U1034="","",IF(ABS(Q1034-U1034)&gt;V$1,"error",""))</f>
        <v/>
      </c>
    </row>
    <row r="1035" spans="1:22" x14ac:dyDescent="0.55000000000000004">
      <c r="A1035">
        <v>19134.393329999999</v>
      </c>
      <c r="B1035" s="1">
        <v>7.9000000000000008E-3</v>
      </c>
      <c r="C1035" s="1">
        <v>7.9000000000000008E-3</v>
      </c>
      <c r="D1035" s="2" t="s">
        <v>680</v>
      </c>
      <c r="E1035">
        <v>2</v>
      </c>
      <c r="F1035" s="2" t="s">
        <v>1</v>
      </c>
      <c r="G1035">
        <v>0</v>
      </c>
      <c r="H1035">
        <v>20.5</v>
      </c>
      <c r="I1035" s="2" t="s">
        <v>0</v>
      </c>
      <c r="J1035">
        <v>2</v>
      </c>
      <c r="K1035" s="2" t="s">
        <v>1</v>
      </c>
      <c r="L1035">
        <v>0</v>
      </c>
      <c r="M1035">
        <v>19.5</v>
      </c>
      <c r="N1035" s="2" t="s">
        <v>898</v>
      </c>
      <c r="O1035" t="str">
        <f>D1035&amp;"-"&amp;E1035&amp;"-"&amp;F1035&amp;"-"&amp;G1035&amp;"-"&amp;H1035</f>
        <v>E-2-f-0-20.5</v>
      </c>
      <c r="P1035" t="str">
        <f>I1035&amp;"-"&amp;J1035&amp;"-"&amp;K1035&amp;"-"&amp;L1035&amp;"-"&amp;M1035</f>
        <v>X-2-f-0-19.5</v>
      </c>
      <c r="Q1035">
        <f>A1035+R1035</f>
        <v>20635.550660999997</v>
      </c>
      <c r="R1035">
        <f>_xlfn.IFNA(VLOOKUP(P1035,PGOPHER!A$2:G$181,7,FALSE),_xlfn.IFNA(VLOOKUP(P1035,en!A$2:I$768,7,FALSE),-10000))</f>
        <v>1501.1573310000001</v>
      </c>
      <c r="S1035">
        <f>IF(O1035=O1034,Q1034+S1034,Q1035)</f>
        <v>20635.550660999997</v>
      </c>
      <c r="T1035">
        <f>IF(O1035=O1034,T1034+1,1)</f>
        <v>1</v>
      </c>
      <c r="U1035" t="str">
        <f>IF(O1035=O1036,"",S1035/T1035)</f>
        <v/>
      </c>
      <c r="V1035" t="str">
        <f>IF(U1035="","",IF(ABS(Q1035-U1035)&gt;V$1,"error",""))</f>
        <v/>
      </c>
    </row>
    <row r="1036" spans="1:22" x14ac:dyDescent="0.55000000000000004">
      <c r="A1036">
        <v>18832.608209999999</v>
      </c>
      <c r="B1036" s="1">
        <v>5.0000000000000001E-3</v>
      </c>
      <c r="C1036" s="1">
        <v>5.0000000000000001E-3</v>
      </c>
      <c r="D1036" s="2" t="s">
        <v>680</v>
      </c>
      <c r="E1036">
        <v>2</v>
      </c>
      <c r="F1036" s="2" t="s">
        <v>1</v>
      </c>
      <c r="G1036">
        <v>0</v>
      </c>
      <c r="H1036">
        <v>20.5</v>
      </c>
      <c r="I1036" s="2" t="s">
        <v>0</v>
      </c>
      <c r="J1036">
        <v>2</v>
      </c>
      <c r="K1036" s="2" t="s">
        <v>1</v>
      </c>
      <c r="L1036">
        <v>0</v>
      </c>
      <c r="M1036">
        <v>21.5</v>
      </c>
      <c r="N1036" s="2" t="s">
        <v>899</v>
      </c>
      <c r="O1036" t="str">
        <f>D1036&amp;"-"&amp;E1036&amp;"-"&amp;F1036&amp;"-"&amp;G1036&amp;"-"&amp;H1036</f>
        <v>E-2-f-0-20.5</v>
      </c>
      <c r="P1036" t="str">
        <f>I1036&amp;"-"&amp;J1036&amp;"-"&amp;K1036&amp;"-"&amp;L1036&amp;"-"&amp;M1036</f>
        <v>X-2-f-0-21.5</v>
      </c>
      <c r="Q1036">
        <f>A1036+R1036</f>
        <v>20635.544428999998</v>
      </c>
      <c r="R1036">
        <f>_xlfn.IFNA(VLOOKUP(P1036,PGOPHER!A$2:G$181,7,FALSE),_xlfn.IFNA(VLOOKUP(P1036,en!A$2:I$768,7,FALSE),-10000))</f>
        <v>1802.9362189999999</v>
      </c>
      <c r="S1036">
        <f>IF(O1036=O1035,Q1035+S1035,Q1036)</f>
        <v>41271.101321999995</v>
      </c>
      <c r="T1036">
        <f>IF(O1036=O1035,T1035+1,1)</f>
        <v>2</v>
      </c>
      <c r="U1036" t="str">
        <f>IF(O1036=O1037,"",S1036/T1036)</f>
        <v/>
      </c>
      <c r="V1036" t="str">
        <f>IF(U1036="","",IF(ABS(Q1036-U1036)&gt;V$1,"error",""))</f>
        <v/>
      </c>
    </row>
    <row r="1037" spans="1:22" x14ac:dyDescent="0.55000000000000004">
      <c r="A1037">
        <v>19131.93475</v>
      </c>
      <c r="B1037" s="1">
        <v>1.7899999999999999E-2</v>
      </c>
      <c r="C1037" s="1">
        <v>1.7899999999999999E-2</v>
      </c>
      <c r="D1037" s="2" t="s">
        <v>680</v>
      </c>
      <c r="E1037">
        <v>2</v>
      </c>
      <c r="F1037" s="2" t="s">
        <v>1</v>
      </c>
      <c r="G1037">
        <v>0</v>
      </c>
      <c r="H1037">
        <v>20.5</v>
      </c>
      <c r="I1037" s="2" t="s">
        <v>0</v>
      </c>
      <c r="J1037">
        <v>1</v>
      </c>
      <c r="K1037" s="2" t="s">
        <v>2</v>
      </c>
      <c r="L1037">
        <v>0</v>
      </c>
      <c r="M1037">
        <v>20.5</v>
      </c>
      <c r="N1037" s="2" t="s">
        <v>900</v>
      </c>
      <c r="O1037" t="str">
        <f>D1037&amp;"-"&amp;E1037&amp;"-"&amp;F1037&amp;"-"&amp;G1037&amp;"-"&amp;H1037</f>
        <v>E-2-f-0-20.5</v>
      </c>
      <c r="P1037" t="str">
        <f>I1037&amp;"-"&amp;J1037&amp;"-"&amp;K1037&amp;"-"&amp;L1037&amp;"-"&amp;M1037</f>
        <v>X-1-e-0-20.5</v>
      </c>
      <c r="Q1037">
        <f>A1037+R1037</f>
        <v>20635.532999999999</v>
      </c>
      <c r="R1037">
        <f>_xlfn.IFNA(VLOOKUP(P1037,PGOPHER!A$2:G$181,7,FALSE),_xlfn.IFNA(VLOOKUP(P1037,en!A$2:I$768,7,FALSE),-10000))</f>
        <v>1503.59825</v>
      </c>
      <c r="S1037">
        <f>IF(O1037=O1036,Q1036+S1036,Q1037)</f>
        <v>61906.645750999989</v>
      </c>
      <c r="T1037">
        <f>IF(O1037=O1036,T1036+1,1)</f>
        <v>3</v>
      </c>
      <c r="U1037">
        <f>IF(O1037=O1038,"",S1037/T1037)</f>
        <v>20635.548583666663</v>
      </c>
      <c r="V1037" t="str">
        <f>IF(U1037="","",IF(ABS(Q1037-U1037)&gt;V$1,"error",""))</f>
        <v/>
      </c>
    </row>
    <row r="1038" spans="1:22" x14ac:dyDescent="0.55000000000000004">
      <c r="A1038">
        <v>18921.896239999998</v>
      </c>
      <c r="B1038">
        <v>5.0000000000000001E-3</v>
      </c>
      <c r="C1038">
        <v>5.0000000000000001E-3</v>
      </c>
      <c r="D1038" s="2" t="s">
        <v>680</v>
      </c>
      <c r="E1038">
        <v>1</v>
      </c>
      <c r="F1038" s="2" t="s">
        <v>1</v>
      </c>
      <c r="G1038">
        <v>1</v>
      </c>
      <c r="H1038">
        <v>20.5</v>
      </c>
      <c r="I1038" s="2" t="s">
        <v>0</v>
      </c>
      <c r="J1038">
        <v>1</v>
      </c>
      <c r="K1038" s="2" t="s">
        <v>2</v>
      </c>
      <c r="L1038">
        <v>1</v>
      </c>
      <c r="M1038">
        <v>20.5</v>
      </c>
      <c r="N1038" s="2" t="s">
        <v>1116</v>
      </c>
      <c r="S1038">
        <f>IF(O1038=O1037,Q1037+S1037,Q1038)</f>
        <v>0</v>
      </c>
      <c r="T1038">
        <f>IF(O1038=O1037,T1037+1,1)</f>
        <v>1</v>
      </c>
      <c r="U1038">
        <f>IF(O1038=O1039,"",S1038/T1038)</f>
        <v>0</v>
      </c>
      <c r="V1038" t="str">
        <f>IF(U1038="","",IF(ABS(Q1038-U1038)&gt;V$1,"error",""))</f>
        <v/>
      </c>
    </row>
    <row r="1039" spans="1:22" x14ac:dyDescent="0.55000000000000004">
      <c r="A1039">
        <v>18790.14762</v>
      </c>
      <c r="B1039" s="1">
        <v>5.0000000000000001E-3</v>
      </c>
      <c r="C1039" s="1">
        <v>5.0000000000000001E-3</v>
      </c>
      <c r="D1039" s="2" t="s">
        <v>680</v>
      </c>
      <c r="E1039">
        <v>1</v>
      </c>
      <c r="F1039" s="2" t="s">
        <v>2</v>
      </c>
      <c r="G1039">
        <v>0</v>
      </c>
      <c r="H1039">
        <v>21.5</v>
      </c>
      <c r="I1039" s="2" t="s">
        <v>0</v>
      </c>
      <c r="J1039">
        <v>1</v>
      </c>
      <c r="K1039" s="2" t="s">
        <v>2</v>
      </c>
      <c r="L1039">
        <v>0</v>
      </c>
      <c r="M1039">
        <v>22.5</v>
      </c>
      <c r="N1039" s="2" t="s">
        <v>902</v>
      </c>
      <c r="O1039" t="str">
        <f>D1039&amp;"-"&amp;E1039&amp;"-"&amp;F1039&amp;"-"&amp;G1039&amp;"-"&amp;H1039</f>
        <v>E-1-e-0-21.5</v>
      </c>
      <c r="P1039" t="str">
        <f>I1039&amp;"-"&amp;J1039&amp;"-"&amp;K1039&amp;"-"&amp;L1039&amp;"-"&amp;M1039</f>
        <v>X-1-e-0-22.5</v>
      </c>
      <c r="Q1039">
        <f>A1039+R1039</f>
        <v>20595.741171999998</v>
      </c>
      <c r="R1039">
        <f>_xlfn.IFNA(VLOOKUP(P1039,PGOPHER!A$2:G$181,7,FALSE),_xlfn.IFNA(VLOOKUP(P1039,en!A$2:I$768,7,FALSE),-10000))</f>
        <v>1805.593552</v>
      </c>
      <c r="S1039">
        <f>IF(O1039=O1038,Q1038+S1038,Q1039)</f>
        <v>20595.741171999998</v>
      </c>
      <c r="T1039">
        <f>IF(O1039=O1038,T1038+1,1)</f>
        <v>1</v>
      </c>
      <c r="U1039" t="str">
        <f>IF(O1039=O1040,"",S1039/T1039)</f>
        <v/>
      </c>
      <c r="V1039" t="str">
        <f>IF(U1039="","",IF(ABS(Q1039-U1039)&gt;V$1,"error",""))</f>
        <v/>
      </c>
    </row>
    <row r="1040" spans="1:22" x14ac:dyDescent="0.55000000000000004">
      <c r="A1040">
        <v>19092.167689999998</v>
      </c>
      <c r="B1040" s="1">
        <v>5.5E-2</v>
      </c>
      <c r="C1040" s="1">
        <v>5.5E-2</v>
      </c>
      <c r="D1040" s="2" t="s">
        <v>680</v>
      </c>
      <c r="E1040">
        <v>1</v>
      </c>
      <c r="F1040" s="2" t="s">
        <v>2</v>
      </c>
      <c r="G1040">
        <v>0</v>
      </c>
      <c r="H1040">
        <v>21.5</v>
      </c>
      <c r="I1040" s="2" t="s">
        <v>0</v>
      </c>
      <c r="J1040">
        <v>1</v>
      </c>
      <c r="K1040" s="2" t="s">
        <v>2</v>
      </c>
      <c r="L1040">
        <v>0</v>
      </c>
      <c r="M1040">
        <v>20.5</v>
      </c>
      <c r="N1040" s="2" t="s">
        <v>901</v>
      </c>
      <c r="O1040" t="str">
        <f>D1040&amp;"-"&amp;E1040&amp;"-"&amp;F1040&amp;"-"&amp;G1040&amp;"-"&amp;H1040</f>
        <v>E-1-e-0-21.5</v>
      </c>
      <c r="P1040" t="str">
        <f>I1040&amp;"-"&amp;J1040&amp;"-"&amp;K1040&amp;"-"&amp;L1040&amp;"-"&amp;M1040</f>
        <v>X-1-e-0-20.5</v>
      </c>
      <c r="Q1040">
        <f>A1040+R1040</f>
        <v>20595.765939999997</v>
      </c>
      <c r="R1040">
        <f>_xlfn.IFNA(VLOOKUP(P1040,PGOPHER!A$2:G$181,7,FALSE),_xlfn.IFNA(VLOOKUP(P1040,en!A$2:I$768,7,FALSE),-10000))</f>
        <v>1503.59825</v>
      </c>
      <c r="S1040">
        <f>IF(O1040=O1039,Q1039+S1039,Q1040)</f>
        <v>41191.482343999996</v>
      </c>
      <c r="T1040">
        <f>IF(O1040=O1039,T1039+1,1)</f>
        <v>2</v>
      </c>
      <c r="U1040">
        <f>IF(O1040=O1041,"",S1040/T1040)</f>
        <v>20595.741171999998</v>
      </c>
      <c r="V1040" t="str">
        <f>IF(U1040="","",IF(ABS(Q1040-U1040)&gt;V$1,"error",""))</f>
        <v/>
      </c>
    </row>
    <row r="1041" spans="1:22" x14ac:dyDescent="0.55000000000000004">
      <c r="A1041">
        <v>18942.599900000001</v>
      </c>
      <c r="B1041" s="1">
        <v>2.5000000000000001E-2</v>
      </c>
      <c r="C1041" s="1">
        <v>2.5000000000000001E-2</v>
      </c>
      <c r="D1041" s="2" t="s">
        <v>680</v>
      </c>
      <c r="E1041">
        <v>1</v>
      </c>
      <c r="F1041" s="2" t="s">
        <v>1</v>
      </c>
      <c r="G1041">
        <v>0</v>
      </c>
      <c r="H1041">
        <v>21.5</v>
      </c>
      <c r="I1041" s="2" t="s">
        <v>0</v>
      </c>
      <c r="J1041">
        <v>1</v>
      </c>
      <c r="K1041" s="2" t="s">
        <v>2</v>
      </c>
      <c r="L1041">
        <v>0</v>
      </c>
      <c r="M1041">
        <v>21.5</v>
      </c>
      <c r="N1041" s="2" t="s">
        <v>903</v>
      </c>
      <c r="O1041" t="str">
        <f>D1041&amp;"-"&amp;E1041&amp;"-"&amp;F1041&amp;"-"&amp;G1041&amp;"-"&amp;H1041</f>
        <v>E-1-f-0-21.5</v>
      </c>
      <c r="P1041" t="str">
        <f>I1041&amp;"-"&amp;J1041&amp;"-"&amp;K1041&amp;"-"&amp;L1041&amp;"-"&amp;M1041</f>
        <v>X-1-e-0-21.5</v>
      </c>
      <c r="Q1041">
        <f>A1041+R1041</f>
        <v>20593.929135000002</v>
      </c>
      <c r="R1041">
        <f>_xlfn.IFNA(VLOOKUP(P1041,PGOPHER!A$2:G$181,7,FALSE),_xlfn.IFNA(VLOOKUP(P1041,en!A$2:I$768,7,FALSE),-10000))</f>
        <v>1651.3292349999999</v>
      </c>
      <c r="S1041">
        <f>IF(O1041=O1040,Q1040+S1040,Q1041)</f>
        <v>20593.929135000002</v>
      </c>
      <c r="T1041">
        <f>IF(O1041=O1040,T1040+1,1)</f>
        <v>1</v>
      </c>
      <c r="U1041">
        <f>IF(O1041=O1042,"",S1041/T1041)</f>
        <v>20593.929135000002</v>
      </c>
      <c r="V1041" t="str">
        <f>IF(U1041="","",IF(ABS(Q1041-U1041)&gt;V$1,"error",""))</f>
        <v/>
      </c>
    </row>
    <row r="1042" spans="1:22" x14ac:dyDescent="0.55000000000000004">
      <c r="A1042">
        <v>18987.64358</v>
      </c>
      <c r="B1042" s="1">
        <v>5.0000000000000001E-3</v>
      </c>
      <c r="C1042" s="1">
        <v>5.0000000000000001E-3</v>
      </c>
      <c r="D1042" s="2" t="s">
        <v>680</v>
      </c>
      <c r="E1042">
        <v>2</v>
      </c>
      <c r="F1042" s="2" t="s">
        <v>2</v>
      </c>
      <c r="G1042">
        <v>0</v>
      </c>
      <c r="H1042">
        <v>21.5</v>
      </c>
      <c r="I1042" s="2" t="s">
        <v>0</v>
      </c>
      <c r="J1042">
        <v>2</v>
      </c>
      <c r="K1042" s="2" t="s">
        <v>1</v>
      </c>
      <c r="L1042">
        <v>0</v>
      </c>
      <c r="M1042">
        <v>21.5</v>
      </c>
      <c r="N1042" s="2" t="s">
        <v>904</v>
      </c>
      <c r="O1042" t="str">
        <f>D1042&amp;"-"&amp;E1042&amp;"-"&amp;F1042&amp;"-"&amp;G1042&amp;"-"&amp;H1042</f>
        <v>E-2-e-0-21.5</v>
      </c>
      <c r="P1042" t="str">
        <f>I1042&amp;"-"&amp;J1042&amp;"-"&amp;K1042&amp;"-"&amp;L1042&amp;"-"&amp;M1042</f>
        <v>X-2-f-0-21.5</v>
      </c>
      <c r="Q1042">
        <f>A1042+R1042</f>
        <v>20790.579798999999</v>
      </c>
      <c r="R1042">
        <f>_xlfn.IFNA(VLOOKUP(P1042,PGOPHER!A$2:G$181,7,FALSE),_xlfn.IFNA(VLOOKUP(P1042,en!A$2:I$768,7,FALSE),-10000))</f>
        <v>1802.9362189999999</v>
      </c>
      <c r="S1042">
        <f>IF(O1042=O1041,Q1041+S1041,Q1042)</f>
        <v>20790.579798999999</v>
      </c>
      <c r="T1042">
        <f>IF(O1042=O1041,T1041+1,1)</f>
        <v>1</v>
      </c>
      <c r="U1042">
        <f>IF(O1042=O1043,"",S1042/T1042)</f>
        <v>20790.579798999999</v>
      </c>
      <c r="V1042" t="str">
        <f>IF(U1042="","",IF(ABS(Q1042-U1042)&gt;V$1,"error",""))</f>
        <v/>
      </c>
    </row>
    <row r="1043" spans="1:22" x14ac:dyDescent="0.55000000000000004">
      <c r="A1043">
        <v>19145.288229999998</v>
      </c>
      <c r="B1043" s="1">
        <v>9.7999999999999997E-3</v>
      </c>
      <c r="C1043" s="1">
        <v>9.7999999999999997E-3</v>
      </c>
      <c r="D1043" s="2" t="s">
        <v>680</v>
      </c>
      <c r="E1043">
        <v>2</v>
      </c>
      <c r="F1043" s="2" t="s">
        <v>1</v>
      </c>
      <c r="G1043">
        <v>0</v>
      </c>
      <c r="H1043">
        <v>21.5</v>
      </c>
      <c r="I1043" s="2" t="s">
        <v>0</v>
      </c>
      <c r="J1043">
        <v>2</v>
      </c>
      <c r="K1043" s="2" t="s">
        <v>1</v>
      </c>
      <c r="L1043">
        <v>0</v>
      </c>
      <c r="M1043">
        <v>20.5</v>
      </c>
      <c r="N1043" s="2" t="s">
        <v>905</v>
      </c>
      <c r="O1043" t="str">
        <f>D1043&amp;"-"&amp;E1043&amp;"-"&amp;F1043&amp;"-"&amp;G1043&amp;"-"&amp;H1043</f>
        <v>E-2-f-0-21.5</v>
      </c>
      <c r="P1043" t="str">
        <f>I1043&amp;"-"&amp;J1043&amp;"-"&amp;K1043&amp;"-"&amp;L1043&amp;"-"&amp;M1043</f>
        <v>X-2-f-0-20.5</v>
      </c>
      <c r="Q1043">
        <f>A1043+R1043</f>
        <v>20794.069799999997</v>
      </c>
      <c r="R1043">
        <f>_xlfn.IFNA(VLOOKUP(P1043,PGOPHER!A$2:G$181,7,FALSE),_xlfn.IFNA(VLOOKUP(P1043,en!A$2:I$768,7,FALSE),-10000))</f>
        <v>1648.7815700000001</v>
      </c>
      <c r="S1043">
        <f>IF(O1043=O1042,Q1042+S1042,Q1043)</f>
        <v>20794.069799999997</v>
      </c>
      <c r="T1043">
        <f>IF(O1043=O1042,T1042+1,1)</f>
        <v>1</v>
      </c>
      <c r="U1043" t="str">
        <f>IF(O1043=O1044,"",S1043/T1043)</f>
        <v/>
      </c>
      <c r="V1043" t="str">
        <f>IF(U1043="","",IF(ABS(Q1043-U1043)&gt;V$1,"error",""))</f>
        <v/>
      </c>
    </row>
    <row r="1044" spans="1:22" x14ac:dyDescent="0.55000000000000004">
      <c r="A1044">
        <v>18830.486710000001</v>
      </c>
      <c r="B1044" s="1">
        <v>5.0000000000000001E-3</v>
      </c>
      <c r="C1044" s="1">
        <v>5.0000000000000001E-3</v>
      </c>
      <c r="D1044" s="2" t="s">
        <v>680</v>
      </c>
      <c r="E1044">
        <v>2</v>
      </c>
      <c r="F1044" s="2" t="s">
        <v>1</v>
      </c>
      <c r="G1044">
        <v>0</v>
      </c>
      <c r="H1044">
        <v>21.5</v>
      </c>
      <c r="I1044" s="2" t="s">
        <v>0</v>
      </c>
      <c r="J1044">
        <v>2</v>
      </c>
      <c r="K1044" s="2" t="s">
        <v>1</v>
      </c>
      <c r="L1044">
        <v>0</v>
      </c>
      <c r="M1044">
        <v>22.5</v>
      </c>
      <c r="N1044" s="2" t="s">
        <v>906</v>
      </c>
      <c r="O1044" t="str">
        <f>D1044&amp;"-"&amp;E1044&amp;"-"&amp;F1044&amp;"-"&amp;G1044&amp;"-"&amp;H1044</f>
        <v>E-2-f-0-21.5</v>
      </c>
      <c r="P1044" t="str">
        <f>I1044&amp;"-"&amp;J1044&amp;"-"&amp;K1044&amp;"-"&amp;L1044&amp;"-"&amp;M1044</f>
        <v>X-2-f-0-22.5</v>
      </c>
      <c r="Q1044">
        <f>A1044+R1044</f>
        <v>20794.060712000002</v>
      </c>
      <c r="R1044">
        <f>_xlfn.IFNA(VLOOKUP(P1044,PGOPHER!A$2:G$181,7,FALSE),_xlfn.IFNA(VLOOKUP(P1044,en!A$2:I$768,7,FALSE),-10000))</f>
        <v>1963.5740020000001</v>
      </c>
      <c r="S1044">
        <f>IF(O1044=O1043,Q1043+S1043,Q1044)</f>
        <v>41588.139599999995</v>
      </c>
      <c r="T1044">
        <f>IF(O1044=O1043,T1043+1,1)</f>
        <v>2</v>
      </c>
      <c r="U1044" t="str">
        <f>IF(O1044=O1045,"",S1044/T1044)</f>
        <v/>
      </c>
      <c r="V1044" t="str">
        <f>IF(U1044="","",IF(ABS(Q1044-U1044)&gt;V$1,"error",""))</f>
        <v/>
      </c>
    </row>
    <row r="1045" spans="1:22" x14ac:dyDescent="0.55000000000000004">
      <c r="A1045">
        <v>19142.73114</v>
      </c>
      <c r="B1045" s="1">
        <v>7.5119999999999996E-3</v>
      </c>
      <c r="C1045" s="1">
        <v>7.5119999999999996E-3</v>
      </c>
      <c r="D1045" s="2" t="s">
        <v>680</v>
      </c>
      <c r="E1045">
        <v>2</v>
      </c>
      <c r="F1045" s="2" t="s">
        <v>1</v>
      </c>
      <c r="G1045">
        <v>0</v>
      </c>
      <c r="H1045">
        <v>21.5</v>
      </c>
      <c r="I1045" s="2" t="s">
        <v>0</v>
      </c>
      <c r="J1045">
        <v>1</v>
      </c>
      <c r="K1045" s="2" t="s">
        <v>2</v>
      </c>
      <c r="L1045">
        <v>0</v>
      </c>
      <c r="M1045">
        <v>21.5</v>
      </c>
      <c r="N1045" s="2" t="s">
        <v>907</v>
      </c>
      <c r="O1045" t="str">
        <f>D1045&amp;"-"&amp;E1045&amp;"-"&amp;F1045&amp;"-"&amp;G1045&amp;"-"&amp;H1045</f>
        <v>E-2-f-0-21.5</v>
      </c>
      <c r="P1045" t="str">
        <f>I1045&amp;"-"&amp;J1045&amp;"-"&amp;K1045&amp;"-"&amp;L1045&amp;"-"&amp;M1045</f>
        <v>X-1-e-0-21.5</v>
      </c>
      <c r="Q1045">
        <f>A1045+R1045</f>
        <v>20794.060375000001</v>
      </c>
      <c r="R1045">
        <f>_xlfn.IFNA(VLOOKUP(P1045,PGOPHER!A$2:G$181,7,FALSE),_xlfn.IFNA(VLOOKUP(P1045,en!A$2:I$768,7,FALSE),-10000))</f>
        <v>1651.3292349999999</v>
      </c>
      <c r="S1045">
        <f>IF(O1045=O1044,Q1044+S1044,Q1045)</f>
        <v>62382.200312000001</v>
      </c>
      <c r="T1045">
        <f>IF(O1045=O1044,T1044+1,1)</f>
        <v>3</v>
      </c>
      <c r="U1045">
        <f>IF(O1045=O1046,"",S1045/T1045)</f>
        <v>20794.066770666668</v>
      </c>
      <c r="V1045" t="str">
        <f>IF(U1045="","",IF(ABS(Q1045-U1045)&gt;V$1,"error",""))</f>
        <v/>
      </c>
    </row>
    <row r="1046" spans="1:22" x14ac:dyDescent="0.55000000000000004">
      <c r="A1046">
        <v>18925.57027</v>
      </c>
      <c r="B1046">
        <v>5.0000000000000001E-3</v>
      </c>
      <c r="C1046">
        <v>5.0000000000000001E-3</v>
      </c>
      <c r="D1046" s="2" t="s">
        <v>680</v>
      </c>
      <c r="E1046">
        <v>1</v>
      </c>
      <c r="F1046" s="2" t="s">
        <v>1</v>
      </c>
      <c r="G1046">
        <v>1</v>
      </c>
      <c r="H1046">
        <v>21.5</v>
      </c>
      <c r="I1046" s="2" t="s">
        <v>0</v>
      </c>
      <c r="J1046">
        <v>1</v>
      </c>
      <c r="K1046" s="2" t="s">
        <v>2</v>
      </c>
      <c r="L1046">
        <v>1</v>
      </c>
      <c r="M1046">
        <v>21.5</v>
      </c>
      <c r="N1046" s="2" t="s">
        <v>1117</v>
      </c>
      <c r="S1046">
        <f>IF(O1046=O1045,Q1045+S1045,Q1046)</f>
        <v>0</v>
      </c>
      <c r="T1046">
        <f>IF(O1046=O1045,T1045+1,1)</f>
        <v>1</v>
      </c>
      <c r="U1046">
        <f>IF(O1046=O1047,"",S1046/T1046)</f>
        <v>0</v>
      </c>
      <c r="V1046" t="str">
        <f>IF(U1046="","",IF(ABS(Q1046-U1046)&gt;V$1,"error",""))</f>
        <v/>
      </c>
    </row>
    <row r="1047" spans="1:22" x14ac:dyDescent="0.55000000000000004">
      <c r="A1047">
        <v>19103.57057</v>
      </c>
      <c r="B1047" s="1">
        <v>6.2220000000000001E-3</v>
      </c>
      <c r="C1047" s="1">
        <v>6.2220000000000001E-3</v>
      </c>
      <c r="D1047" s="2" t="s">
        <v>680</v>
      </c>
      <c r="E1047">
        <v>1</v>
      </c>
      <c r="F1047" s="2" t="s">
        <v>2</v>
      </c>
      <c r="G1047">
        <v>0</v>
      </c>
      <c r="H1047">
        <v>22.5</v>
      </c>
      <c r="I1047" s="2" t="s">
        <v>0</v>
      </c>
      <c r="J1047">
        <v>1</v>
      </c>
      <c r="K1047" s="2" t="s">
        <v>2</v>
      </c>
      <c r="L1047">
        <v>0</v>
      </c>
      <c r="M1047">
        <v>21.5</v>
      </c>
      <c r="N1047" s="2" t="s">
        <v>908</v>
      </c>
      <c r="O1047" t="str">
        <f>D1047&amp;"-"&amp;E1047&amp;"-"&amp;F1047&amp;"-"&amp;G1047&amp;"-"&amp;H1047</f>
        <v>E-1-e-0-22.5</v>
      </c>
      <c r="P1047" t="str">
        <f>I1047&amp;"-"&amp;J1047&amp;"-"&amp;K1047&amp;"-"&amp;L1047&amp;"-"&amp;M1047</f>
        <v>X-1-e-0-21.5</v>
      </c>
      <c r="Q1047">
        <f>A1047+R1047</f>
        <v>20754.899805000001</v>
      </c>
      <c r="R1047">
        <f>_xlfn.IFNA(VLOOKUP(P1047,PGOPHER!A$2:G$181,7,FALSE),_xlfn.IFNA(VLOOKUP(P1047,en!A$2:I$768,7,FALSE),-10000))</f>
        <v>1651.3292349999999</v>
      </c>
      <c r="S1047">
        <f>IF(O1047=O1046,Q1046+S1046,Q1047)</f>
        <v>20754.899805000001</v>
      </c>
      <c r="T1047">
        <f>IF(O1047=O1046,T1046+1,1)</f>
        <v>1</v>
      </c>
      <c r="U1047" t="str">
        <f>IF(O1047=O1048,"",S1047/T1047)</f>
        <v/>
      </c>
      <c r="V1047" t="str">
        <f>IF(U1047="","",IF(ABS(Q1047-U1047)&gt;V$1,"error",""))</f>
        <v/>
      </c>
    </row>
    <row r="1048" spans="1:22" x14ac:dyDescent="0.55000000000000004">
      <c r="A1048">
        <v>18788.556339999999</v>
      </c>
      <c r="B1048" s="1">
        <v>6.0549999999999996E-3</v>
      </c>
      <c r="C1048" s="1">
        <v>6.0549999999999996E-3</v>
      </c>
      <c r="D1048" s="2" t="s">
        <v>680</v>
      </c>
      <c r="E1048">
        <v>1</v>
      </c>
      <c r="F1048" s="2" t="s">
        <v>2</v>
      </c>
      <c r="G1048">
        <v>0</v>
      </c>
      <c r="H1048">
        <v>22.5</v>
      </c>
      <c r="I1048" s="2" t="s">
        <v>0</v>
      </c>
      <c r="J1048">
        <v>1</v>
      </c>
      <c r="K1048" s="2" t="s">
        <v>2</v>
      </c>
      <c r="L1048">
        <v>0</v>
      </c>
      <c r="M1048">
        <v>23.5</v>
      </c>
      <c r="N1048" s="2" t="s">
        <v>909</v>
      </c>
      <c r="O1048" t="str">
        <f>D1048&amp;"-"&amp;E1048&amp;"-"&amp;F1048&amp;"-"&amp;G1048&amp;"-"&amp;H1048</f>
        <v>E-1-e-0-22.5</v>
      </c>
      <c r="P1048" t="str">
        <f>I1048&amp;"-"&amp;J1048&amp;"-"&amp;K1048&amp;"-"&amp;L1048&amp;"-"&amp;M1048</f>
        <v>X-1-e-0-23.5</v>
      </c>
      <c r="Q1048">
        <f>A1048+R1048</f>
        <v>20754.890088</v>
      </c>
      <c r="R1048">
        <f>_xlfn.IFNA(VLOOKUP(P1048,PGOPHER!A$2:G$181,7,FALSE),_xlfn.IFNA(VLOOKUP(P1048,en!A$2:I$768,7,FALSE),-10000))</f>
        <v>1966.333748</v>
      </c>
      <c r="S1048">
        <f>IF(O1048=O1047,Q1047+S1047,Q1048)</f>
        <v>41509.799610000002</v>
      </c>
      <c r="T1048">
        <f>IF(O1048=O1047,T1047+1,1)</f>
        <v>2</v>
      </c>
      <c r="U1048" t="str">
        <f>IF(O1048=O1049,"",S1048/T1048)</f>
        <v/>
      </c>
      <c r="V1048" t="str">
        <f>IF(U1048="","",IF(ABS(Q1048-U1048)&gt;V$1,"error",""))</f>
        <v/>
      </c>
    </row>
    <row r="1049" spans="1:22" x14ac:dyDescent="0.55000000000000004">
      <c r="A1049">
        <v>18791.293409999998</v>
      </c>
      <c r="B1049" s="1">
        <v>5.5E-2</v>
      </c>
      <c r="C1049" s="1">
        <v>5.5E-2</v>
      </c>
      <c r="D1049" s="2" t="s">
        <v>680</v>
      </c>
      <c r="E1049">
        <v>1</v>
      </c>
      <c r="F1049" s="2" t="s">
        <v>2</v>
      </c>
      <c r="G1049">
        <v>0</v>
      </c>
      <c r="H1049">
        <v>22.5</v>
      </c>
      <c r="I1049" s="2" t="s">
        <v>0</v>
      </c>
      <c r="J1049">
        <v>2</v>
      </c>
      <c r="K1049" s="2" t="s">
        <v>1</v>
      </c>
      <c r="L1049">
        <v>0</v>
      </c>
      <c r="M1049">
        <v>22.5</v>
      </c>
      <c r="N1049" s="2" t="s">
        <v>910</v>
      </c>
      <c r="O1049" t="str">
        <f>D1049&amp;"-"&amp;E1049&amp;"-"&amp;F1049&amp;"-"&amp;G1049&amp;"-"&amp;H1049</f>
        <v>E-1-e-0-22.5</v>
      </c>
      <c r="P1049" t="str">
        <f>I1049&amp;"-"&amp;J1049&amp;"-"&amp;K1049&amp;"-"&amp;L1049&amp;"-"&amp;M1049</f>
        <v>X-2-f-0-22.5</v>
      </c>
      <c r="Q1049">
        <f>A1049+R1049</f>
        <v>20754.867412</v>
      </c>
      <c r="R1049">
        <f>_xlfn.IFNA(VLOOKUP(P1049,PGOPHER!A$2:G$181,7,FALSE),_xlfn.IFNA(VLOOKUP(P1049,en!A$2:I$768,7,FALSE),-10000))</f>
        <v>1963.5740020000001</v>
      </c>
      <c r="S1049">
        <f>IF(O1049=O1048,Q1048+S1048,Q1049)</f>
        <v>62264.689698000002</v>
      </c>
      <c r="T1049">
        <f>IF(O1049=O1048,T1048+1,1)</f>
        <v>3</v>
      </c>
      <c r="U1049">
        <f>IF(O1049=O1050,"",S1049/T1049)</f>
        <v>20754.896565999999</v>
      </c>
      <c r="V1049" t="str">
        <f>IF(U1049="","",IF(ABS(Q1049-U1049)&gt;V$1,"error",""))</f>
        <v/>
      </c>
    </row>
    <row r="1050" spans="1:22" x14ac:dyDescent="0.55000000000000004">
      <c r="A1050">
        <v>18947.251759999999</v>
      </c>
      <c r="B1050" s="1">
        <v>2.5000000000000001E-2</v>
      </c>
      <c r="C1050" s="1">
        <v>2.5000000000000001E-2</v>
      </c>
      <c r="D1050" s="2" t="s">
        <v>680</v>
      </c>
      <c r="E1050">
        <v>1</v>
      </c>
      <c r="F1050" s="2" t="s">
        <v>1</v>
      </c>
      <c r="G1050">
        <v>0</v>
      </c>
      <c r="H1050">
        <v>22.5</v>
      </c>
      <c r="I1050" s="2" t="s">
        <v>0</v>
      </c>
      <c r="J1050">
        <v>1</v>
      </c>
      <c r="K1050" s="2" t="s">
        <v>2</v>
      </c>
      <c r="L1050">
        <v>0</v>
      </c>
      <c r="M1050">
        <v>22.5</v>
      </c>
      <c r="N1050" s="2" t="s">
        <v>911</v>
      </c>
      <c r="O1050" t="str">
        <f>D1050&amp;"-"&amp;E1050&amp;"-"&amp;F1050&amp;"-"&amp;G1050&amp;"-"&amp;H1050</f>
        <v>E-1-f-0-22.5</v>
      </c>
      <c r="P1050" t="str">
        <f>I1050&amp;"-"&amp;J1050&amp;"-"&amp;K1050&amp;"-"&amp;L1050&amp;"-"&amp;M1050</f>
        <v>X-1-e-0-22.5</v>
      </c>
      <c r="Q1050">
        <f>A1050+R1050</f>
        <v>20752.845311999998</v>
      </c>
      <c r="R1050">
        <f>_xlfn.IFNA(VLOOKUP(P1050,PGOPHER!A$2:G$181,7,FALSE),_xlfn.IFNA(VLOOKUP(P1050,en!A$2:I$768,7,FALSE),-10000))</f>
        <v>1805.593552</v>
      </c>
      <c r="S1050">
        <f>IF(O1050=O1049,Q1049+S1049,Q1050)</f>
        <v>20752.845311999998</v>
      </c>
      <c r="T1050">
        <f>IF(O1050=O1049,T1049+1,1)</f>
        <v>1</v>
      </c>
      <c r="U1050">
        <f>IF(O1050=O1051,"",S1050/T1050)</f>
        <v>20752.845311999998</v>
      </c>
      <c r="V1050" t="str">
        <f>IF(U1050="","",IF(ABS(Q1050-U1050)&gt;V$1,"error",""))</f>
        <v/>
      </c>
    </row>
    <row r="1051" spans="1:22" x14ac:dyDescent="0.55000000000000004">
      <c r="A1051">
        <v>18991.837179999999</v>
      </c>
      <c r="B1051" s="1">
        <v>5.0000000000000001E-3</v>
      </c>
      <c r="C1051" s="1">
        <v>5.0000000000000001E-3</v>
      </c>
      <c r="D1051" s="2" t="s">
        <v>680</v>
      </c>
      <c r="E1051">
        <v>2</v>
      </c>
      <c r="F1051" s="2" t="s">
        <v>2</v>
      </c>
      <c r="G1051">
        <v>0</v>
      </c>
      <c r="H1051">
        <v>22.5</v>
      </c>
      <c r="I1051" s="2" t="s">
        <v>0</v>
      </c>
      <c r="J1051">
        <v>2</v>
      </c>
      <c r="K1051" s="2" t="s">
        <v>1</v>
      </c>
      <c r="L1051">
        <v>0</v>
      </c>
      <c r="M1051">
        <v>22.5</v>
      </c>
      <c r="N1051" s="2" t="s">
        <v>912</v>
      </c>
      <c r="O1051" t="str">
        <f>D1051&amp;"-"&amp;E1051&amp;"-"&amp;F1051&amp;"-"&amp;G1051&amp;"-"&amp;H1051</f>
        <v>E-2-e-0-22.5</v>
      </c>
      <c r="P1051" t="str">
        <f>I1051&amp;"-"&amp;J1051&amp;"-"&amp;K1051&amp;"-"&amp;L1051&amp;"-"&amp;M1051</f>
        <v>X-2-f-0-22.5</v>
      </c>
      <c r="Q1051">
        <f>A1051+R1051</f>
        <v>20955.411182</v>
      </c>
      <c r="R1051">
        <f>_xlfn.IFNA(VLOOKUP(P1051,PGOPHER!A$2:G$181,7,FALSE),_xlfn.IFNA(VLOOKUP(P1051,en!A$2:I$768,7,FALSE),-10000))</f>
        <v>1963.5740020000001</v>
      </c>
      <c r="S1051">
        <f>IF(O1051=O1050,Q1050+S1050,Q1051)</f>
        <v>20955.411182</v>
      </c>
      <c r="T1051">
        <f>IF(O1051=O1050,T1050+1,1)</f>
        <v>1</v>
      </c>
      <c r="U1051">
        <f>IF(O1051=O1052,"",S1051/T1051)</f>
        <v>20955.411182</v>
      </c>
      <c r="V1051" t="str">
        <f>IF(U1051="","",IF(ABS(Q1051-U1051)&gt;V$1,"error",""))</f>
        <v/>
      </c>
    </row>
    <row r="1052" spans="1:22" x14ac:dyDescent="0.55000000000000004">
      <c r="A1052">
        <v>19156.28602</v>
      </c>
      <c r="B1052" s="1">
        <v>5.0000000000000001E-3</v>
      </c>
      <c r="C1052" s="1">
        <v>5.0000000000000001E-3</v>
      </c>
      <c r="D1052" s="2" t="s">
        <v>680</v>
      </c>
      <c r="E1052">
        <v>2</v>
      </c>
      <c r="F1052" s="2" t="s">
        <v>1</v>
      </c>
      <c r="G1052">
        <v>0</v>
      </c>
      <c r="H1052">
        <v>22.5</v>
      </c>
      <c r="I1052" s="2" t="s">
        <v>0</v>
      </c>
      <c r="J1052">
        <v>2</v>
      </c>
      <c r="K1052" s="2" t="s">
        <v>1</v>
      </c>
      <c r="L1052">
        <v>0</v>
      </c>
      <c r="M1052">
        <v>21.5</v>
      </c>
      <c r="N1052" s="2" t="s">
        <v>913</v>
      </c>
      <c r="O1052" t="str">
        <f>D1052&amp;"-"&amp;E1052&amp;"-"&amp;F1052&amp;"-"&amp;G1052&amp;"-"&amp;H1052</f>
        <v>E-2-f-0-22.5</v>
      </c>
      <c r="P1052" t="str">
        <f>I1052&amp;"-"&amp;J1052&amp;"-"&amp;K1052&amp;"-"&amp;L1052&amp;"-"&amp;M1052</f>
        <v>X-2-f-0-21.5</v>
      </c>
      <c r="Q1052">
        <f>A1052+R1052</f>
        <v>20959.222238999999</v>
      </c>
      <c r="R1052">
        <f>_xlfn.IFNA(VLOOKUP(P1052,PGOPHER!A$2:G$181,7,FALSE),_xlfn.IFNA(VLOOKUP(P1052,en!A$2:I$768,7,FALSE),-10000))</f>
        <v>1802.9362189999999</v>
      </c>
      <c r="S1052">
        <f>IF(O1052=O1051,Q1051+S1051,Q1052)</f>
        <v>20959.222238999999</v>
      </c>
      <c r="T1052">
        <f>IF(O1052=O1051,T1051+1,1)</f>
        <v>1</v>
      </c>
      <c r="U1052" t="str">
        <f>IF(O1052=O1053,"",S1052/T1052)</f>
        <v/>
      </c>
      <c r="V1052" t="str">
        <f>IF(U1052="","",IF(ABS(Q1052-U1052)&gt;V$1,"error",""))</f>
        <v/>
      </c>
    </row>
    <row r="1053" spans="1:22" x14ac:dyDescent="0.55000000000000004">
      <c r="A1053">
        <v>18828.609619999999</v>
      </c>
      <c r="B1053" s="1">
        <v>5.0000000000000001E-3</v>
      </c>
      <c r="C1053" s="1">
        <v>5.0000000000000001E-3</v>
      </c>
      <c r="D1053" s="2" t="s">
        <v>680</v>
      </c>
      <c r="E1053">
        <v>2</v>
      </c>
      <c r="F1053" s="2" t="s">
        <v>1</v>
      </c>
      <c r="G1053">
        <v>0</v>
      </c>
      <c r="H1053">
        <v>22.5</v>
      </c>
      <c r="I1053" s="2" t="s">
        <v>0</v>
      </c>
      <c r="J1053">
        <v>2</v>
      </c>
      <c r="K1053" s="2" t="s">
        <v>1</v>
      </c>
      <c r="L1053">
        <v>0</v>
      </c>
      <c r="M1053">
        <v>23.5</v>
      </c>
      <c r="N1053" s="2" t="s">
        <v>914</v>
      </c>
      <c r="O1053" t="str">
        <f>D1053&amp;"-"&amp;E1053&amp;"-"&amp;F1053&amp;"-"&amp;G1053&amp;"-"&amp;H1053</f>
        <v>E-2-f-0-22.5</v>
      </c>
      <c r="P1053" t="str">
        <f>I1053&amp;"-"&amp;J1053&amp;"-"&amp;K1053&amp;"-"&amp;L1053&amp;"-"&amp;M1053</f>
        <v>X-2-f-0-23.5</v>
      </c>
      <c r="Q1053">
        <f>A1053+R1053</f>
        <v>20959.214672999999</v>
      </c>
      <c r="R1053">
        <f>_xlfn.IFNA(VLOOKUP(P1053,PGOPHER!A$2:G$181,7,FALSE),_xlfn.IFNA(VLOOKUP(P1053,en!A$2:I$768,7,FALSE),-10000))</f>
        <v>2130.6050530000002</v>
      </c>
      <c r="S1053">
        <f>IF(O1053=O1052,Q1052+S1052,Q1053)</f>
        <v>41918.444477999998</v>
      </c>
      <c r="T1053">
        <f>IF(O1053=O1052,T1052+1,1)</f>
        <v>2</v>
      </c>
      <c r="U1053" t="str">
        <f>IF(O1053=O1054,"",S1053/T1053)</f>
        <v/>
      </c>
      <c r="V1053" t="str">
        <f>IF(U1053="","",IF(ABS(Q1053-U1053)&gt;V$1,"error",""))</f>
        <v/>
      </c>
    </row>
    <row r="1054" spans="1:22" x14ac:dyDescent="0.55000000000000004">
      <c r="A1054">
        <v>19153.628349999999</v>
      </c>
      <c r="B1054" s="1">
        <v>1.4999999999999999E-2</v>
      </c>
      <c r="C1054" s="1">
        <v>1.4999999999999999E-2</v>
      </c>
      <c r="D1054" s="2" t="s">
        <v>680</v>
      </c>
      <c r="E1054">
        <v>2</v>
      </c>
      <c r="F1054" s="2" t="s">
        <v>1</v>
      </c>
      <c r="G1054">
        <v>0</v>
      </c>
      <c r="H1054">
        <v>22.5</v>
      </c>
      <c r="I1054" s="2" t="s">
        <v>0</v>
      </c>
      <c r="J1054">
        <v>1</v>
      </c>
      <c r="K1054" s="2" t="s">
        <v>2</v>
      </c>
      <c r="L1054">
        <v>0</v>
      </c>
      <c r="M1054">
        <v>22.5</v>
      </c>
      <c r="N1054" s="2" t="s">
        <v>915</v>
      </c>
      <c r="O1054" t="str">
        <f>D1054&amp;"-"&amp;E1054&amp;"-"&amp;F1054&amp;"-"&amp;G1054&amp;"-"&amp;H1054</f>
        <v>E-2-f-0-22.5</v>
      </c>
      <c r="P1054" t="str">
        <f>I1054&amp;"-"&amp;J1054&amp;"-"&amp;K1054&amp;"-"&amp;L1054&amp;"-"&amp;M1054</f>
        <v>X-1-e-0-22.5</v>
      </c>
      <c r="Q1054">
        <f>A1054+R1054</f>
        <v>20959.221901999997</v>
      </c>
      <c r="R1054">
        <f>_xlfn.IFNA(VLOOKUP(P1054,PGOPHER!A$2:G$181,7,FALSE),_xlfn.IFNA(VLOOKUP(P1054,en!A$2:I$768,7,FALSE),-10000))</f>
        <v>1805.593552</v>
      </c>
      <c r="S1054">
        <f>IF(O1054=O1053,Q1053+S1053,Q1054)</f>
        <v>62877.659151</v>
      </c>
      <c r="T1054">
        <f>IF(O1054=O1053,T1053+1,1)</f>
        <v>3</v>
      </c>
      <c r="U1054">
        <f>IF(O1054=O1055,"",S1054/T1054)</f>
        <v>20959.219717</v>
      </c>
      <c r="V1054" t="str">
        <f>IF(U1054="","",IF(ABS(Q1054-U1054)&gt;V$1,"error",""))</f>
        <v/>
      </c>
    </row>
    <row r="1055" spans="1:22" x14ac:dyDescent="0.55000000000000004">
      <c r="A1055">
        <v>18929.281930000001</v>
      </c>
      <c r="B1055">
        <v>5.0000000000000001E-3</v>
      </c>
      <c r="C1055">
        <v>5.0000000000000001E-3</v>
      </c>
      <c r="D1055" s="2" t="s">
        <v>680</v>
      </c>
      <c r="E1055">
        <v>1</v>
      </c>
      <c r="F1055" s="2" t="s">
        <v>1</v>
      </c>
      <c r="G1055">
        <v>1</v>
      </c>
      <c r="H1055">
        <v>22.5</v>
      </c>
      <c r="I1055" s="2" t="s">
        <v>0</v>
      </c>
      <c r="J1055">
        <v>1</v>
      </c>
      <c r="K1055" s="2" t="s">
        <v>2</v>
      </c>
      <c r="L1055">
        <v>1</v>
      </c>
      <c r="M1055">
        <v>22.5</v>
      </c>
      <c r="N1055" s="2" t="s">
        <v>1118</v>
      </c>
      <c r="S1055">
        <f>IF(O1055=O1054,Q1054+S1054,Q1055)</f>
        <v>0</v>
      </c>
      <c r="T1055">
        <f>IF(O1055=O1054,T1054+1,1)</f>
        <v>1</v>
      </c>
      <c r="U1055">
        <f>IF(O1055=O1056,"",S1055/T1055)</f>
        <v>0</v>
      </c>
      <c r="V1055" t="str">
        <f>IF(U1055="","",IF(ABS(Q1055-U1055)&gt;V$1,"error",""))</f>
        <v/>
      </c>
    </row>
    <row r="1056" spans="1:22" x14ac:dyDescent="0.55000000000000004">
      <c r="A1056">
        <v>18787.14428</v>
      </c>
      <c r="B1056" s="1">
        <v>5.0000000000000001E-3</v>
      </c>
      <c r="C1056" s="1">
        <v>5.0000000000000001E-3</v>
      </c>
      <c r="D1056" s="2" t="s">
        <v>680</v>
      </c>
      <c r="E1056">
        <v>1</v>
      </c>
      <c r="F1056" s="2" t="s">
        <v>2</v>
      </c>
      <c r="G1056">
        <v>0</v>
      </c>
      <c r="H1056">
        <v>23.5</v>
      </c>
      <c r="I1056" s="2" t="s">
        <v>0</v>
      </c>
      <c r="J1056">
        <v>1</v>
      </c>
      <c r="K1056" s="2" t="s">
        <v>2</v>
      </c>
      <c r="L1056">
        <v>0</v>
      </c>
      <c r="M1056">
        <v>24.5</v>
      </c>
      <c r="N1056" s="2" t="s">
        <v>917</v>
      </c>
      <c r="O1056" t="str">
        <f>D1056&amp;"-"&amp;E1056&amp;"-"&amp;F1056&amp;"-"&amp;G1056&amp;"-"&amp;H1056</f>
        <v>E-1-e-0-23.5</v>
      </c>
      <c r="P1056" t="str">
        <f>I1056&amp;"-"&amp;J1056&amp;"-"&amp;K1056&amp;"-"&amp;L1056&amp;"-"&amp;M1056</f>
        <v>X-1-e-0-24.5</v>
      </c>
      <c r="Q1056">
        <f>A1056+R1056</f>
        <v>20920.614312000002</v>
      </c>
      <c r="R1056">
        <f>_xlfn.IFNA(VLOOKUP(P1056,PGOPHER!A$2:G$181,7,FALSE),_xlfn.IFNA(VLOOKUP(P1056,en!A$2:I$768,7,FALSE),-10000))</f>
        <v>2133.4700320000002</v>
      </c>
      <c r="S1056">
        <f>IF(O1056=O1055,Q1055+S1055,Q1056)</f>
        <v>20920.614312000002</v>
      </c>
      <c r="T1056">
        <f>IF(O1056=O1055,T1055+1,1)</f>
        <v>1</v>
      </c>
      <c r="U1056" t="str">
        <f>IF(O1056=O1057,"",S1056/T1056)</f>
        <v/>
      </c>
      <c r="V1056" t="str">
        <f>IF(U1056="","",IF(ABS(Q1056-U1056)&gt;V$1,"error",""))</f>
        <v/>
      </c>
    </row>
    <row r="1057" spans="1:22" x14ac:dyDescent="0.55000000000000004">
      <c r="A1057">
        <v>19115.024410000002</v>
      </c>
      <c r="B1057" s="1">
        <v>5.0000000000000001E-3</v>
      </c>
      <c r="C1057" s="1">
        <v>5.0000000000000001E-3</v>
      </c>
      <c r="D1057" s="2" t="s">
        <v>680</v>
      </c>
      <c r="E1057">
        <v>1</v>
      </c>
      <c r="F1057" s="2" t="s">
        <v>2</v>
      </c>
      <c r="G1057">
        <v>0</v>
      </c>
      <c r="H1057">
        <v>23.5</v>
      </c>
      <c r="I1057" s="2" t="s">
        <v>0</v>
      </c>
      <c r="J1057">
        <v>1</v>
      </c>
      <c r="K1057" s="2" t="s">
        <v>2</v>
      </c>
      <c r="L1057">
        <v>0</v>
      </c>
      <c r="M1057">
        <v>22.5</v>
      </c>
      <c r="N1057" s="2" t="s">
        <v>916</v>
      </c>
      <c r="O1057" t="str">
        <f>D1057&amp;"-"&amp;E1057&amp;"-"&amp;F1057&amp;"-"&amp;G1057&amp;"-"&amp;H1057</f>
        <v>E-1-e-0-23.5</v>
      </c>
      <c r="P1057" t="str">
        <f>I1057&amp;"-"&amp;J1057&amp;"-"&amp;K1057&amp;"-"&amp;L1057&amp;"-"&amp;M1057</f>
        <v>X-1-e-0-22.5</v>
      </c>
      <c r="Q1057">
        <f>A1057+R1057</f>
        <v>20920.617962</v>
      </c>
      <c r="R1057">
        <f>_xlfn.IFNA(VLOOKUP(P1057,PGOPHER!A$2:G$181,7,FALSE),_xlfn.IFNA(VLOOKUP(P1057,en!A$2:I$768,7,FALSE),-10000))</f>
        <v>1805.593552</v>
      </c>
      <c r="S1057">
        <f>IF(O1057=O1056,Q1056+S1056,Q1057)</f>
        <v>41841.228624000003</v>
      </c>
      <c r="T1057">
        <f>IF(O1057=O1056,T1056+1,1)</f>
        <v>2</v>
      </c>
      <c r="U1057">
        <f>IF(O1057=O1058,"",S1057/T1057)</f>
        <v>20920.614312000002</v>
      </c>
      <c r="V1057" t="str">
        <f>IF(U1057="","",IF(ABS(Q1057-U1057)&gt;V$1,"error",""))</f>
        <v/>
      </c>
    </row>
    <row r="1058" spans="1:22" x14ac:dyDescent="0.55000000000000004">
      <c r="A1058">
        <v>18951.960319999998</v>
      </c>
      <c r="B1058" s="1">
        <v>2.5000000000000001E-2</v>
      </c>
      <c r="C1058" s="1">
        <v>2.5000000000000001E-2</v>
      </c>
      <c r="D1058" s="2" t="s">
        <v>680</v>
      </c>
      <c r="E1058">
        <v>1</v>
      </c>
      <c r="F1058" s="2" t="s">
        <v>1</v>
      </c>
      <c r="G1058">
        <v>0</v>
      </c>
      <c r="H1058">
        <v>23.5</v>
      </c>
      <c r="I1058" s="2" t="s">
        <v>0</v>
      </c>
      <c r="J1058">
        <v>1</v>
      </c>
      <c r="K1058" s="2" t="s">
        <v>2</v>
      </c>
      <c r="L1058">
        <v>0</v>
      </c>
      <c r="M1058">
        <v>23.5</v>
      </c>
      <c r="N1058" s="2" t="s">
        <v>918</v>
      </c>
      <c r="O1058" t="str">
        <f>D1058&amp;"-"&amp;E1058&amp;"-"&amp;F1058&amp;"-"&amp;G1058&amp;"-"&amp;H1058</f>
        <v>E-1-f-0-23.5</v>
      </c>
      <c r="P1058" t="str">
        <f>I1058&amp;"-"&amp;J1058&amp;"-"&amp;K1058&amp;"-"&amp;L1058&amp;"-"&amp;M1058</f>
        <v>X-1-e-0-23.5</v>
      </c>
      <c r="Q1058">
        <f>A1058+R1058</f>
        <v>20918.294067999999</v>
      </c>
      <c r="R1058">
        <f>_xlfn.IFNA(VLOOKUP(P1058,PGOPHER!A$2:G$181,7,FALSE),_xlfn.IFNA(VLOOKUP(P1058,en!A$2:I$768,7,FALSE),-10000))</f>
        <v>1966.333748</v>
      </c>
      <c r="S1058">
        <f>IF(O1058=O1057,Q1057+S1057,Q1058)</f>
        <v>20918.294067999999</v>
      </c>
      <c r="T1058">
        <f>IF(O1058=O1057,T1057+1,1)</f>
        <v>1</v>
      </c>
      <c r="U1058">
        <f>IF(O1058=O1059,"",S1058/T1058)</f>
        <v>20918.294067999999</v>
      </c>
      <c r="V1058" t="str">
        <f>IF(U1058="","",IF(ABS(Q1058-U1058)&gt;V$1,"error",""))</f>
        <v/>
      </c>
    </row>
    <row r="1059" spans="1:22" x14ac:dyDescent="0.55000000000000004">
      <c r="A1059">
        <v>18996.201690000002</v>
      </c>
      <c r="B1059" s="1">
        <v>5.0000000000000001E-3</v>
      </c>
      <c r="C1059" s="1">
        <v>5.0000000000000001E-3</v>
      </c>
      <c r="D1059" s="2" t="s">
        <v>680</v>
      </c>
      <c r="E1059">
        <v>2</v>
      </c>
      <c r="F1059" s="2" t="s">
        <v>2</v>
      </c>
      <c r="G1059">
        <v>0</v>
      </c>
      <c r="H1059">
        <v>23.5</v>
      </c>
      <c r="I1059" s="2" t="s">
        <v>0</v>
      </c>
      <c r="J1059">
        <v>2</v>
      </c>
      <c r="K1059" s="2" t="s">
        <v>1</v>
      </c>
      <c r="L1059">
        <v>0</v>
      </c>
      <c r="M1059">
        <v>23.5</v>
      </c>
      <c r="N1059" s="2" t="s">
        <v>919</v>
      </c>
      <c r="O1059" t="str">
        <f>D1059&amp;"-"&amp;E1059&amp;"-"&amp;F1059&amp;"-"&amp;G1059&amp;"-"&amp;H1059</f>
        <v>E-2-e-0-23.5</v>
      </c>
      <c r="P1059" t="str">
        <f>I1059&amp;"-"&amp;J1059&amp;"-"&amp;K1059&amp;"-"&amp;L1059&amp;"-"&amp;M1059</f>
        <v>X-2-f-0-23.5</v>
      </c>
      <c r="Q1059">
        <f>A1059+R1059</f>
        <v>21126.806743000001</v>
      </c>
      <c r="R1059">
        <f>_xlfn.IFNA(VLOOKUP(P1059,PGOPHER!A$2:G$181,7,FALSE),_xlfn.IFNA(VLOOKUP(P1059,en!A$2:I$768,7,FALSE),-10000))</f>
        <v>2130.6050530000002</v>
      </c>
      <c r="S1059">
        <f>IF(O1059=O1058,Q1058+S1058,Q1059)</f>
        <v>21126.806743000001</v>
      </c>
      <c r="T1059">
        <f>IF(O1059=O1058,T1058+1,1)</f>
        <v>1</v>
      </c>
      <c r="U1059">
        <f>IF(O1059=O1060,"",S1059/T1059)</f>
        <v>21126.806743000001</v>
      </c>
      <c r="V1059" t="str">
        <f>IF(U1059="","",IF(ABS(Q1059-U1059)&gt;V$1,"error",""))</f>
        <v/>
      </c>
    </row>
    <row r="1060" spans="1:22" x14ac:dyDescent="0.55000000000000004">
      <c r="A1060">
        <v>19167.367610000001</v>
      </c>
      <c r="B1060" s="1">
        <v>8.2620000000000002E-3</v>
      </c>
      <c r="C1060" s="1">
        <v>8.2620000000000002E-3</v>
      </c>
      <c r="D1060" s="2" t="s">
        <v>680</v>
      </c>
      <c r="E1060">
        <v>2</v>
      </c>
      <c r="F1060" s="2" t="s">
        <v>1</v>
      </c>
      <c r="G1060">
        <v>0</v>
      </c>
      <c r="H1060">
        <v>23.5</v>
      </c>
      <c r="I1060" s="2" t="s">
        <v>0</v>
      </c>
      <c r="J1060">
        <v>2</v>
      </c>
      <c r="K1060" s="2" t="s">
        <v>1</v>
      </c>
      <c r="L1060">
        <v>0</v>
      </c>
      <c r="M1060">
        <v>22.5</v>
      </c>
      <c r="N1060" s="2" t="s">
        <v>920</v>
      </c>
      <c r="O1060" t="str">
        <f>D1060&amp;"-"&amp;E1060&amp;"-"&amp;F1060&amp;"-"&amp;G1060&amp;"-"&amp;H1060</f>
        <v>E-2-f-0-23.5</v>
      </c>
      <c r="P1060" t="str">
        <f>I1060&amp;"-"&amp;J1060&amp;"-"&amp;K1060&amp;"-"&amp;L1060&amp;"-"&amp;M1060</f>
        <v>X-2-f-0-22.5</v>
      </c>
      <c r="Q1060">
        <f>A1060+R1060</f>
        <v>21130.941612000002</v>
      </c>
      <c r="R1060">
        <f>_xlfn.IFNA(VLOOKUP(P1060,PGOPHER!A$2:G$181,7,FALSE),_xlfn.IFNA(VLOOKUP(P1060,en!A$2:I$768,7,FALSE),-10000))</f>
        <v>1963.5740020000001</v>
      </c>
      <c r="S1060">
        <f>IF(O1060=O1059,Q1059+S1059,Q1060)</f>
        <v>21130.941612000002</v>
      </c>
      <c r="T1060">
        <f>IF(O1060=O1059,T1059+1,1)</f>
        <v>1</v>
      </c>
      <c r="U1060" t="str">
        <f>IF(O1060=O1061,"",S1060/T1060)</f>
        <v/>
      </c>
      <c r="V1060" t="str">
        <f>IF(U1060="","",IF(ABS(Q1060-U1060)&gt;V$1,"error",""))</f>
        <v/>
      </c>
    </row>
    <row r="1061" spans="1:22" x14ac:dyDescent="0.55000000000000004">
      <c r="A1061">
        <v>18826.958009999998</v>
      </c>
      <c r="B1061" s="1">
        <v>5.9090000000000002E-3</v>
      </c>
      <c r="C1061" s="1">
        <v>5.9090000000000002E-3</v>
      </c>
      <c r="D1061" s="2" t="s">
        <v>680</v>
      </c>
      <c r="E1061">
        <v>2</v>
      </c>
      <c r="F1061" s="2" t="s">
        <v>1</v>
      </c>
      <c r="G1061">
        <v>0</v>
      </c>
      <c r="H1061">
        <v>23.5</v>
      </c>
      <c r="I1061" s="2" t="s">
        <v>0</v>
      </c>
      <c r="J1061">
        <v>2</v>
      </c>
      <c r="K1061" s="2" t="s">
        <v>1</v>
      </c>
      <c r="L1061">
        <v>0</v>
      </c>
      <c r="M1061">
        <v>24.5</v>
      </c>
      <c r="N1061" s="2" t="s">
        <v>921</v>
      </c>
      <c r="O1061" t="str">
        <f>D1061&amp;"-"&amp;E1061&amp;"-"&amp;F1061&amp;"-"&amp;G1061&amp;"-"&amp;H1061</f>
        <v>E-2-f-0-23.5</v>
      </c>
      <c r="P1061" t="str">
        <f>I1061&amp;"-"&amp;J1061&amp;"-"&amp;K1061&amp;"-"&amp;L1061&amp;"-"&amp;M1061</f>
        <v>X-2-f-0-24.5</v>
      </c>
      <c r="Q1061">
        <f>A1061+R1061</f>
        <v>21130.936991999999</v>
      </c>
      <c r="R1061">
        <f>_xlfn.IFNA(VLOOKUP(P1061,PGOPHER!A$2:G$181,7,FALSE),_xlfn.IFNA(VLOOKUP(P1061,en!A$2:I$768,7,FALSE),-10000))</f>
        <v>2303.9789820000001</v>
      </c>
      <c r="S1061">
        <f>IF(O1061=O1060,Q1060+S1060,Q1061)</f>
        <v>42261.883224000005</v>
      </c>
      <c r="T1061">
        <f>IF(O1061=O1060,T1060+1,1)</f>
        <v>2</v>
      </c>
      <c r="U1061" t="str">
        <f>IF(O1061=O1062,"",S1061/T1061)</f>
        <v/>
      </c>
      <c r="V1061" t="str">
        <f>IF(U1061="","",IF(ABS(Q1061-U1061)&gt;V$1,"error",""))</f>
        <v/>
      </c>
    </row>
    <row r="1062" spans="1:22" x14ac:dyDescent="0.55000000000000004">
      <c r="A1062">
        <v>19164.597259999999</v>
      </c>
      <c r="B1062" s="1">
        <v>1.417E-2</v>
      </c>
      <c r="C1062" s="1">
        <v>1.417E-2</v>
      </c>
      <c r="D1062" s="2" t="s">
        <v>680</v>
      </c>
      <c r="E1062">
        <v>2</v>
      </c>
      <c r="F1062" s="2" t="s">
        <v>1</v>
      </c>
      <c r="G1062">
        <v>0</v>
      </c>
      <c r="H1062">
        <v>23.5</v>
      </c>
      <c r="I1062" s="2" t="s">
        <v>0</v>
      </c>
      <c r="J1062">
        <v>1</v>
      </c>
      <c r="K1062" s="2" t="s">
        <v>2</v>
      </c>
      <c r="L1062">
        <v>0</v>
      </c>
      <c r="M1062">
        <v>23.5</v>
      </c>
      <c r="N1062" s="2" t="s">
        <v>922</v>
      </c>
      <c r="O1062" t="str">
        <f>D1062&amp;"-"&amp;E1062&amp;"-"&amp;F1062&amp;"-"&amp;G1062&amp;"-"&amp;H1062</f>
        <v>E-2-f-0-23.5</v>
      </c>
      <c r="P1062" t="str">
        <f>I1062&amp;"-"&amp;J1062&amp;"-"&amp;K1062&amp;"-"&amp;L1062&amp;"-"&amp;M1062</f>
        <v>X-1-e-0-23.5</v>
      </c>
      <c r="Q1062">
        <f>A1062+R1062</f>
        <v>21130.931008</v>
      </c>
      <c r="R1062">
        <f>_xlfn.IFNA(VLOOKUP(P1062,PGOPHER!A$2:G$181,7,FALSE),_xlfn.IFNA(VLOOKUP(P1062,en!A$2:I$768,7,FALSE),-10000))</f>
        <v>1966.333748</v>
      </c>
      <c r="S1062">
        <f>IF(O1062=O1061,Q1061+S1061,Q1062)</f>
        <v>63392.820216000007</v>
      </c>
      <c r="T1062">
        <f>IF(O1062=O1061,T1061+1,1)</f>
        <v>3</v>
      </c>
      <c r="U1062">
        <f>IF(O1062=O1063,"",S1062/T1062)</f>
        <v>21130.940072000001</v>
      </c>
      <c r="V1062" t="str">
        <f>IF(U1062="","",IF(ABS(Q1062-U1062)&gt;V$1,"error",""))</f>
        <v/>
      </c>
    </row>
    <row r="1063" spans="1:22" x14ac:dyDescent="0.55000000000000004">
      <c r="A1063">
        <v>18933.006979999998</v>
      </c>
      <c r="B1063">
        <v>5.0000000000000001E-3</v>
      </c>
      <c r="C1063">
        <v>5.0000000000000001E-3</v>
      </c>
      <c r="D1063" s="2" t="s">
        <v>680</v>
      </c>
      <c r="E1063">
        <v>1</v>
      </c>
      <c r="F1063" s="2" t="s">
        <v>1</v>
      </c>
      <c r="G1063">
        <v>1</v>
      </c>
      <c r="H1063">
        <v>23.5</v>
      </c>
      <c r="I1063" s="2" t="s">
        <v>0</v>
      </c>
      <c r="J1063">
        <v>1</v>
      </c>
      <c r="K1063" s="2" t="s">
        <v>2</v>
      </c>
      <c r="L1063">
        <v>1</v>
      </c>
      <c r="M1063">
        <v>23.5</v>
      </c>
      <c r="N1063" s="2" t="s">
        <v>1119</v>
      </c>
      <c r="S1063">
        <f>IF(O1063=O1062,Q1062+S1062,Q1063)</f>
        <v>0</v>
      </c>
      <c r="T1063">
        <f>IF(O1063=O1062,T1062+1,1)</f>
        <v>1</v>
      </c>
      <c r="U1063">
        <f>IF(O1063=O1064,"",S1063/T1063)</f>
        <v>0</v>
      </c>
      <c r="V1063" t="str">
        <f>IF(U1063="","",IF(ABS(Q1063-U1063)&gt;V$1,"error",""))</f>
        <v/>
      </c>
    </row>
    <row r="1064" spans="1:22" x14ac:dyDescent="0.55000000000000004">
      <c r="A1064">
        <v>18785.890770000002</v>
      </c>
      <c r="B1064" s="1">
        <v>1.4999999999999999E-2</v>
      </c>
      <c r="C1064" s="1">
        <v>1.4999999999999999E-2</v>
      </c>
      <c r="D1064" s="2" t="s">
        <v>680</v>
      </c>
      <c r="E1064">
        <v>1</v>
      </c>
      <c r="F1064" s="2" t="s">
        <v>2</v>
      </c>
      <c r="G1064">
        <v>0</v>
      </c>
      <c r="H1064">
        <v>24.5</v>
      </c>
      <c r="I1064" s="2" t="s">
        <v>0</v>
      </c>
      <c r="J1064">
        <v>1</v>
      </c>
      <c r="K1064" s="2" t="s">
        <v>2</v>
      </c>
      <c r="L1064">
        <v>0</v>
      </c>
      <c r="M1064">
        <v>25.5</v>
      </c>
      <c r="N1064" s="2" t="s">
        <v>924</v>
      </c>
      <c r="O1064" t="str">
        <f>D1064&amp;"-"&amp;E1064&amp;"-"&amp;F1064&amp;"-"&amp;G1064&amp;"-"&amp;H1064</f>
        <v>E-1-e-0-24.5</v>
      </c>
      <c r="P1064" t="str">
        <f>I1064&amp;"-"&amp;J1064&amp;"-"&amp;K1064&amp;"-"&amp;L1064&amp;"-"&amp;M1064</f>
        <v>X-1-e-0-25.5</v>
      </c>
      <c r="Q1064">
        <f>A1064+R1064</f>
        <v>21092.831672</v>
      </c>
      <c r="R1064">
        <f>_xlfn.IFNA(VLOOKUP(P1064,PGOPHER!A$2:G$181,7,FALSE),_xlfn.IFNA(VLOOKUP(P1064,en!A$2:I$768,7,FALSE),-10000))</f>
        <v>2306.9409019999998</v>
      </c>
      <c r="S1064">
        <f>IF(O1064=O1063,Q1063+S1063,Q1064)</f>
        <v>21092.831672</v>
      </c>
      <c r="T1064">
        <f>IF(O1064=O1063,T1063+1,1)</f>
        <v>1</v>
      </c>
      <c r="U1064" t="str">
        <f>IF(O1064=O1065,"",S1064/T1064)</f>
        <v/>
      </c>
      <c r="V1064" t="str">
        <f>IF(U1064="","",IF(ABS(Q1064-U1064)&gt;V$1,"error",""))</f>
        <v/>
      </c>
    </row>
    <row r="1065" spans="1:22" x14ac:dyDescent="0.55000000000000004">
      <c r="A1065">
        <v>19126.502090000002</v>
      </c>
      <c r="B1065" s="1">
        <v>5.0000000000000001E-3</v>
      </c>
      <c r="C1065" s="1">
        <v>5.0000000000000001E-3</v>
      </c>
      <c r="D1065" s="2" t="s">
        <v>680</v>
      </c>
      <c r="E1065">
        <v>1</v>
      </c>
      <c r="F1065" s="2" t="s">
        <v>2</v>
      </c>
      <c r="G1065">
        <v>0</v>
      </c>
      <c r="H1065">
        <v>24.5</v>
      </c>
      <c r="I1065" s="2" t="s">
        <v>0</v>
      </c>
      <c r="J1065">
        <v>1</v>
      </c>
      <c r="K1065" s="2" t="s">
        <v>2</v>
      </c>
      <c r="L1065">
        <v>0</v>
      </c>
      <c r="M1065">
        <v>23.5</v>
      </c>
      <c r="N1065" s="2" t="s">
        <v>923</v>
      </c>
      <c r="O1065" t="str">
        <f>D1065&amp;"-"&amp;E1065&amp;"-"&amp;F1065&amp;"-"&amp;G1065&amp;"-"&amp;H1065</f>
        <v>E-1-e-0-24.5</v>
      </c>
      <c r="P1065" t="str">
        <f>I1065&amp;"-"&amp;J1065&amp;"-"&amp;K1065&amp;"-"&amp;L1065&amp;"-"&amp;M1065</f>
        <v>X-1-e-0-23.5</v>
      </c>
      <c r="Q1065">
        <f>A1065+R1065</f>
        <v>21092.835838000003</v>
      </c>
      <c r="R1065">
        <f>_xlfn.IFNA(VLOOKUP(P1065,PGOPHER!A$2:G$181,7,FALSE),_xlfn.IFNA(VLOOKUP(P1065,en!A$2:I$768,7,FALSE),-10000))</f>
        <v>1966.333748</v>
      </c>
      <c r="S1065">
        <f>IF(O1065=O1064,Q1064+S1064,Q1065)</f>
        <v>42185.663344000001</v>
      </c>
      <c r="T1065">
        <f>IF(O1065=O1064,T1064+1,1)</f>
        <v>2</v>
      </c>
      <c r="U1065">
        <f>IF(O1065=O1066,"",S1065/T1065)</f>
        <v>21092.831672</v>
      </c>
      <c r="V1065" t="str">
        <f>IF(U1065="","",IF(ABS(Q1065-U1065)&gt;V$1,"error",""))</f>
        <v/>
      </c>
    </row>
    <row r="1066" spans="1:22" x14ac:dyDescent="0.55000000000000004">
      <c r="A1066">
        <v>19000.689180000001</v>
      </c>
      <c r="B1066" s="1">
        <v>5.0000000000000001E-3</v>
      </c>
      <c r="C1066" s="1">
        <v>5.0000000000000001E-3</v>
      </c>
      <c r="D1066" s="2" t="s">
        <v>680</v>
      </c>
      <c r="E1066">
        <v>2</v>
      </c>
      <c r="F1066" s="2" t="s">
        <v>2</v>
      </c>
      <c r="G1066">
        <v>0</v>
      </c>
      <c r="H1066">
        <v>24.5</v>
      </c>
      <c r="I1066" s="2" t="s">
        <v>0</v>
      </c>
      <c r="J1066">
        <v>2</v>
      </c>
      <c r="K1066" s="2" t="s">
        <v>1</v>
      </c>
      <c r="L1066">
        <v>0</v>
      </c>
      <c r="M1066">
        <v>24.5</v>
      </c>
      <c r="N1066" s="2" t="s">
        <v>925</v>
      </c>
      <c r="O1066" t="str">
        <f>D1066&amp;"-"&amp;E1066&amp;"-"&amp;F1066&amp;"-"&amp;G1066&amp;"-"&amp;H1066</f>
        <v>E-2-e-0-24.5</v>
      </c>
      <c r="P1066" t="str">
        <f>I1066&amp;"-"&amp;J1066&amp;"-"&amp;K1066&amp;"-"&amp;L1066&amp;"-"&amp;M1066</f>
        <v>X-2-f-0-24.5</v>
      </c>
      <c r="Q1066">
        <f>A1066+R1066</f>
        <v>21304.668162000002</v>
      </c>
      <c r="R1066">
        <f>_xlfn.IFNA(VLOOKUP(P1066,PGOPHER!A$2:G$181,7,FALSE),_xlfn.IFNA(VLOOKUP(P1066,en!A$2:I$768,7,FALSE),-10000))</f>
        <v>2303.9789820000001</v>
      </c>
      <c r="S1066">
        <f>IF(O1066=O1065,Q1065+S1065,Q1066)</f>
        <v>21304.668162000002</v>
      </c>
      <c r="T1066">
        <f>IF(O1066=O1065,T1065+1,1)</f>
        <v>1</v>
      </c>
      <c r="U1066">
        <f>IF(O1066=O1067,"",S1066/T1066)</f>
        <v>21304.668162000002</v>
      </c>
      <c r="V1066" t="str">
        <f>IF(U1066="","",IF(ABS(Q1066-U1066)&gt;V$1,"error",""))</f>
        <v/>
      </c>
    </row>
    <row r="1067" spans="1:22" x14ac:dyDescent="0.55000000000000004">
      <c r="A1067">
        <v>18825.527910000001</v>
      </c>
      <c r="B1067" s="1">
        <v>5.0000000000000001E-3</v>
      </c>
      <c r="C1067" s="1">
        <v>5.0000000000000001E-3</v>
      </c>
      <c r="D1067" s="2" t="s">
        <v>680</v>
      </c>
      <c r="E1067">
        <v>2</v>
      </c>
      <c r="F1067" s="2" t="s">
        <v>1</v>
      </c>
      <c r="G1067">
        <v>0</v>
      </c>
      <c r="H1067">
        <v>24.5</v>
      </c>
      <c r="I1067" s="2" t="s">
        <v>0</v>
      </c>
      <c r="J1067">
        <v>2</v>
      </c>
      <c r="K1067" s="2" t="s">
        <v>1</v>
      </c>
      <c r="L1067">
        <v>0</v>
      </c>
      <c r="M1067">
        <v>25.5</v>
      </c>
      <c r="N1067" s="2" t="s">
        <v>927</v>
      </c>
      <c r="O1067" t="str">
        <f>D1067&amp;"-"&amp;E1067&amp;"-"&amp;F1067&amp;"-"&amp;G1067&amp;"-"&amp;H1067</f>
        <v>E-2-f-0-24.5</v>
      </c>
      <c r="P1067" t="str">
        <f>I1067&amp;"-"&amp;J1067&amp;"-"&amp;K1067&amp;"-"&amp;L1067&amp;"-"&amp;M1067</f>
        <v>X-2-f-0-25.5</v>
      </c>
      <c r="Q1067">
        <f>A1067+R1067</f>
        <v>21309.122038000001</v>
      </c>
      <c r="R1067">
        <f>_xlfn.IFNA(VLOOKUP(P1067,PGOPHER!A$2:G$181,7,FALSE),_xlfn.IFNA(VLOOKUP(P1067,en!A$2:I$768,7,FALSE),-10000))</f>
        <v>2483.5941280000002</v>
      </c>
      <c r="S1067">
        <f>IF(O1067=O1066,Q1066+S1066,Q1067)</f>
        <v>21309.122038000001</v>
      </c>
      <c r="T1067">
        <f>IF(O1067=O1066,T1066+1,1)</f>
        <v>1</v>
      </c>
      <c r="U1067" t="str">
        <f>IF(O1067=O1068,"",S1067/T1067)</f>
        <v/>
      </c>
      <c r="V1067" t="str">
        <f>IF(U1067="","",IF(ABS(Q1067-U1067)&gt;V$1,"error",""))</f>
        <v/>
      </c>
    </row>
    <row r="1068" spans="1:22" x14ac:dyDescent="0.55000000000000004">
      <c r="A1068">
        <v>19178.519049999999</v>
      </c>
      <c r="B1068" s="1">
        <v>5.0000000000000001E-3</v>
      </c>
      <c r="C1068" s="1">
        <v>5.0000000000000001E-3</v>
      </c>
      <c r="D1068" s="2" t="s">
        <v>680</v>
      </c>
      <c r="E1068">
        <v>2</v>
      </c>
      <c r="F1068" s="2" t="s">
        <v>1</v>
      </c>
      <c r="G1068">
        <v>0</v>
      </c>
      <c r="H1068">
        <v>24.5</v>
      </c>
      <c r="I1068" s="2" t="s">
        <v>0</v>
      </c>
      <c r="J1068">
        <v>2</v>
      </c>
      <c r="K1068" s="2" t="s">
        <v>1</v>
      </c>
      <c r="L1068">
        <v>0</v>
      </c>
      <c r="M1068">
        <v>23.5</v>
      </c>
      <c r="N1068" s="2" t="s">
        <v>926</v>
      </c>
      <c r="O1068" t="str">
        <f>D1068&amp;"-"&amp;E1068&amp;"-"&amp;F1068&amp;"-"&amp;G1068&amp;"-"&amp;H1068</f>
        <v>E-2-f-0-24.5</v>
      </c>
      <c r="P1068" t="str">
        <f>I1068&amp;"-"&amp;J1068&amp;"-"&amp;K1068&amp;"-"&amp;L1068&amp;"-"&amp;M1068</f>
        <v>X-2-f-0-23.5</v>
      </c>
      <c r="Q1068">
        <f>A1068+R1068</f>
        <v>21309.124102999998</v>
      </c>
      <c r="R1068">
        <f>_xlfn.IFNA(VLOOKUP(P1068,PGOPHER!A$2:G$181,7,FALSE),_xlfn.IFNA(VLOOKUP(P1068,en!A$2:I$768,7,FALSE),-10000))</f>
        <v>2130.6050530000002</v>
      </c>
      <c r="S1068">
        <f>IF(O1068=O1067,Q1067+S1067,Q1068)</f>
        <v>42618.244076000003</v>
      </c>
      <c r="T1068">
        <f>IF(O1068=O1067,T1067+1,1)</f>
        <v>2</v>
      </c>
      <c r="U1068">
        <f>IF(O1068=O1069,"",S1068/T1068)</f>
        <v>21309.122038000001</v>
      </c>
      <c r="V1068" t="str">
        <f>IF(U1068="","",IF(ABS(Q1068-U1068)&gt;V$1,"error",""))</f>
        <v/>
      </c>
    </row>
    <row r="1069" spans="1:22" x14ac:dyDescent="0.55000000000000004">
      <c r="A1069">
        <v>18936.728159999999</v>
      </c>
      <c r="B1069">
        <v>5.0000000000000001E-3</v>
      </c>
      <c r="C1069">
        <v>5.0000000000000001E-3</v>
      </c>
      <c r="D1069" s="2" t="s">
        <v>680</v>
      </c>
      <c r="E1069">
        <v>1</v>
      </c>
      <c r="F1069" s="2" t="s">
        <v>1</v>
      </c>
      <c r="G1069">
        <v>1</v>
      </c>
      <c r="H1069">
        <v>24.5</v>
      </c>
      <c r="I1069" s="2" t="s">
        <v>0</v>
      </c>
      <c r="J1069">
        <v>1</v>
      </c>
      <c r="K1069" s="2" t="s">
        <v>2</v>
      </c>
      <c r="L1069">
        <v>1</v>
      </c>
      <c r="M1069">
        <v>24.5</v>
      </c>
      <c r="N1069" s="2" t="s">
        <v>1120</v>
      </c>
      <c r="S1069">
        <f>IF(O1069=O1068,Q1068+S1068,Q1069)</f>
        <v>0</v>
      </c>
      <c r="T1069">
        <f>IF(O1069=O1068,T1068+1,1)</f>
        <v>1</v>
      </c>
      <c r="U1069">
        <f>IF(O1069=O1070,"",S1069/T1069)</f>
        <v>0</v>
      </c>
      <c r="V1069" t="str">
        <f>IF(U1069="","",IF(ABS(Q1069-U1069)&gt;V$1,"error",""))</f>
        <v/>
      </c>
    </row>
    <row r="1070" spans="1:22" x14ac:dyDescent="0.55000000000000004">
      <c r="A1070">
        <v>18784.84836</v>
      </c>
      <c r="B1070" s="1">
        <v>4.4999999999999998E-2</v>
      </c>
      <c r="C1070" s="1">
        <v>4.4999999999999998E-2</v>
      </c>
      <c r="D1070" s="2" t="s">
        <v>680</v>
      </c>
      <c r="E1070">
        <v>1</v>
      </c>
      <c r="F1070" s="2" t="s">
        <v>2</v>
      </c>
      <c r="G1070">
        <v>0</v>
      </c>
      <c r="H1070">
        <v>25.5</v>
      </c>
      <c r="I1070" s="2" t="s">
        <v>0</v>
      </c>
      <c r="J1070">
        <v>1</v>
      </c>
      <c r="K1070" s="2" t="s">
        <v>2</v>
      </c>
      <c r="L1070">
        <v>0</v>
      </c>
      <c r="M1070">
        <v>26.5</v>
      </c>
      <c r="N1070" s="2" t="s">
        <v>929</v>
      </c>
      <c r="O1070" t="str">
        <f>D1070&amp;"-"&amp;E1070&amp;"-"&amp;F1070&amp;"-"&amp;G1070&amp;"-"&amp;H1070</f>
        <v>E-1-e-0-25.5</v>
      </c>
      <c r="P1070" t="str">
        <f>I1070&amp;"-"&amp;J1070&amp;"-"&amp;K1070&amp;"-"&amp;L1070&amp;"-"&amp;M1070</f>
        <v>X-1-e-0-26.5</v>
      </c>
      <c r="Q1070">
        <f>A1070+R1070</f>
        <v>21271.512575000001</v>
      </c>
      <c r="R1070">
        <f>_xlfn.IFNA(VLOOKUP(P1070,PGOPHER!A$2:G$181,7,FALSE),_xlfn.IFNA(VLOOKUP(P1070,en!A$2:I$768,7,FALSE),-10000))</f>
        <v>2486.6642149999998</v>
      </c>
      <c r="S1070">
        <f>IF(O1070=O1069,Q1069+S1069,Q1070)</f>
        <v>21271.512575000001</v>
      </c>
      <c r="T1070">
        <f>IF(O1070=O1069,T1069+1,1)</f>
        <v>1</v>
      </c>
      <c r="U1070" t="str">
        <f>IF(O1070=O1071,"",S1070/T1070)</f>
        <v/>
      </c>
      <c r="V1070" t="str">
        <f>IF(U1070="","",IF(ABS(Q1070-U1070)&gt;V$1,"error",""))</f>
        <v/>
      </c>
    </row>
    <row r="1071" spans="1:22" x14ac:dyDescent="0.55000000000000004">
      <c r="A1071">
        <v>19138.04738</v>
      </c>
      <c r="B1071" s="1">
        <v>5.5E-2</v>
      </c>
      <c r="C1071" s="1">
        <v>5.5E-2</v>
      </c>
      <c r="D1071" s="2" t="s">
        <v>680</v>
      </c>
      <c r="E1071">
        <v>1</v>
      </c>
      <c r="F1071" s="2" t="s">
        <v>2</v>
      </c>
      <c r="G1071">
        <v>0</v>
      </c>
      <c r="H1071">
        <v>25.5</v>
      </c>
      <c r="I1071" s="2" t="s">
        <v>0</v>
      </c>
      <c r="J1071">
        <v>1</v>
      </c>
      <c r="K1071" s="2" t="s">
        <v>2</v>
      </c>
      <c r="L1071">
        <v>0</v>
      </c>
      <c r="M1071">
        <v>24.5</v>
      </c>
      <c r="N1071" s="2" t="s">
        <v>928</v>
      </c>
      <c r="O1071" t="str">
        <f>D1071&amp;"-"&amp;E1071&amp;"-"&amp;F1071&amp;"-"&amp;G1071&amp;"-"&amp;H1071</f>
        <v>E-1-e-0-25.5</v>
      </c>
      <c r="P1071" t="str">
        <f>I1071&amp;"-"&amp;J1071&amp;"-"&amp;K1071&amp;"-"&amp;L1071&amp;"-"&amp;M1071</f>
        <v>X-1-e-0-24.5</v>
      </c>
      <c r="Q1071">
        <f>A1071+R1071</f>
        <v>21271.517412000001</v>
      </c>
      <c r="R1071">
        <f>_xlfn.IFNA(VLOOKUP(P1071,PGOPHER!A$2:G$181,7,FALSE),_xlfn.IFNA(VLOOKUP(P1071,en!A$2:I$768,7,FALSE),-10000))</f>
        <v>2133.4700320000002</v>
      </c>
      <c r="S1071">
        <f>IF(O1071=O1070,Q1070+S1070,Q1071)</f>
        <v>42543.025150000001</v>
      </c>
      <c r="T1071">
        <f>IF(O1071=O1070,T1070+1,1)</f>
        <v>2</v>
      </c>
      <c r="U1071">
        <f>IF(O1071=O1072,"",S1071/T1071)</f>
        <v>21271.512575000001</v>
      </c>
      <c r="V1071" t="str">
        <f>IF(U1071="","",IF(ABS(Q1071-U1071)&gt;V$1,"error",""))</f>
        <v/>
      </c>
    </row>
    <row r="1072" spans="1:22" x14ac:dyDescent="0.55000000000000004">
      <c r="A1072">
        <v>19005.302009999999</v>
      </c>
      <c r="B1072" s="1">
        <v>5.0000000000000001E-3</v>
      </c>
      <c r="C1072" s="1">
        <v>5.0000000000000001E-3</v>
      </c>
      <c r="D1072" s="2" t="s">
        <v>680</v>
      </c>
      <c r="E1072">
        <v>2</v>
      </c>
      <c r="F1072" s="2" t="s">
        <v>2</v>
      </c>
      <c r="G1072">
        <v>0</v>
      </c>
      <c r="H1072">
        <v>25.5</v>
      </c>
      <c r="I1072" s="2" t="s">
        <v>0</v>
      </c>
      <c r="J1072">
        <v>2</v>
      </c>
      <c r="K1072" s="2" t="s">
        <v>1</v>
      </c>
      <c r="L1072">
        <v>0</v>
      </c>
      <c r="M1072">
        <v>25.5</v>
      </c>
      <c r="N1072" s="2" t="s">
        <v>930</v>
      </c>
      <c r="O1072" t="str">
        <f>D1072&amp;"-"&amp;E1072&amp;"-"&amp;F1072&amp;"-"&amp;G1072&amp;"-"&amp;H1072</f>
        <v>E-2-e-0-25.5</v>
      </c>
      <c r="P1072" t="str">
        <f>I1072&amp;"-"&amp;J1072&amp;"-"&amp;K1072&amp;"-"&amp;L1072&amp;"-"&amp;M1072</f>
        <v>X-2-f-0-25.5</v>
      </c>
      <c r="Q1072">
        <f>A1072+R1072</f>
        <v>21488.896138</v>
      </c>
      <c r="R1072">
        <f>_xlfn.IFNA(VLOOKUP(P1072,PGOPHER!A$2:G$181,7,FALSE),_xlfn.IFNA(VLOOKUP(P1072,en!A$2:I$768,7,FALSE),-10000))</f>
        <v>2483.5941280000002</v>
      </c>
      <c r="S1072">
        <f>IF(O1072=O1071,Q1071+S1071,Q1072)</f>
        <v>21488.896138</v>
      </c>
      <c r="T1072">
        <f>IF(O1072=O1071,T1071+1,1)</f>
        <v>1</v>
      </c>
      <c r="U1072">
        <f>IF(O1072=O1073,"",S1072/T1072)</f>
        <v>21488.896138</v>
      </c>
      <c r="V1072" t="str">
        <f>IF(U1072="","",IF(ABS(Q1072-U1072)&gt;V$1,"error",""))</f>
        <v/>
      </c>
    </row>
    <row r="1073" spans="1:22" x14ac:dyDescent="0.55000000000000004">
      <c r="A1073">
        <v>18824.283790000001</v>
      </c>
      <c r="B1073" s="1">
        <v>2.5000000000000001E-2</v>
      </c>
      <c r="C1073" s="1">
        <v>2.5000000000000001E-2</v>
      </c>
      <c r="D1073" s="2" t="s">
        <v>680</v>
      </c>
      <c r="E1073">
        <v>2</v>
      </c>
      <c r="F1073" s="2" t="s">
        <v>1</v>
      </c>
      <c r="G1073">
        <v>0</v>
      </c>
      <c r="H1073">
        <v>25.5</v>
      </c>
      <c r="I1073" s="2" t="s">
        <v>0</v>
      </c>
      <c r="J1073">
        <v>2</v>
      </c>
      <c r="K1073" s="2" t="s">
        <v>1</v>
      </c>
      <c r="L1073">
        <v>0</v>
      </c>
      <c r="M1073">
        <v>26.5</v>
      </c>
      <c r="N1073" s="2" t="s">
        <v>932</v>
      </c>
      <c r="O1073" t="str">
        <f>D1073&amp;"-"&amp;E1073&amp;"-"&amp;F1073&amp;"-"&amp;G1073&amp;"-"&amp;H1073</f>
        <v>E-2-f-0-25.5</v>
      </c>
      <c r="P1073" t="str">
        <f>I1073&amp;"-"&amp;J1073&amp;"-"&amp;K1073&amp;"-"&amp;L1073&amp;"-"&amp;M1073</f>
        <v>X-2-f-0-26.5</v>
      </c>
      <c r="Q1073">
        <f>A1073+R1073</f>
        <v>21493.685433000002</v>
      </c>
      <c r="R1073">
        <f>_xlfn.IFNA(VLOOKUP(P1073,PGOPHER!A$2:G$181,7,FALSE),_xlfn.IFNA(VLOOKUP(P1073,en!A$2:I$768,7,FALSE),-10000))</f>
        <v>2669.4016430000001</v>
      </c>
      <c r="S1073">
        <f>IF(O1073=O1072,Q1072+S1072,Q1073)</f>
        <v>21493.685433000002</v>
      </c>
      <c r="T1073">
        <f>IF(O1073=O1072,T1072+1,1)</f>
        <v>1</v>
      </c>
      <c r="U1073" t="str">
        <f>IF(O1073=O1074,"",S1073/T1073)</f>
        <v/>
      </c>
      <c r="V1073" t="str">
        <f>IF(U1073="","",IF(ABS(Q1073-U1073)&gt;V$1,"error",""))</f>
        <v/>
      </c>
    </row>
    <row r="1074" spans="1:22" x14ac:dyDescent="0.55000000000000004">
      <c r="A1074">
        <v>19189.722099999999</v>
      </c>
      <c r="B1074" s="1">
        <v>5.0000000000000001E-3</v>
      </c>
      <c r="C1074" s="1">
        <v>5.0000000000000001E-3</v>
      </c>
      <c r="D1074" s="2" t="s">
        <v>680</v>
      </c>
      <c r="E1074">
        <v>2</v>
      </c>
      <c r="F1074" s="2" t="s">
        <v>1</v>
      </c>
      <c r="G1074">
        <v>0</v>
      </c>
      <c r="H1074">
        <v>25.5</v>
      </c>
      <c r="I1074" s="2" t="s">
        <v>0</v>
      </c>
      <c r="J1074">
        <v>2</v>
      </c>
      <c r="K1074" s="2" t="s">
        <v>1</v>
      </c>
      <c r="L1074">
        <v>0</v>
      </c>
      <c r="M1074">
        <v>24.5</v>
      </c>
      <c r="N1074" s="2" t="s">
        <v>931</v>
      </c>
      <c r="O1074" t="str">
        <f>D1074&amp;"-"&amp;E1074&amp;"-"&amp;F1074&amp;"-"&amp;G1074&amp;"-"&amp;H1074</f>
        <v>E-2-f-0-25.5</v>
      </c>
      <c r="P1074" t="str">
        <f>I1074&amp;"-"&amp;J1074&amp;"-"&amp;K1074&amp;"-"&amp;L1074&amp;"-"&amp;M1074</f>
        <v>X-2-f-0-24.5</v>
      </c>
      <c r="Q1074">
        <f>A1074+R1074</f>
        <v>21493.701082</v>
      </c>
      <c r="R1074">
        <f>_xlfn.IFNA(VLOOKUP(P1074,PGOPHER!A$2:G$181,7,FALSE),_xlfn.IFNA(VLOOKUP(P1074,en!A$2:I$768,7,FALSE),-10000))</f>
        <v>2303.9789820000001</v>
      </c>
      <c r="S1074">
        <f>IF(O1074=O1073,Q1073+S1073,Q1074)</f>
        <v>42987.370866000005</v>
      </c>
      <c r="T1074">
        <f>IF(O1074=O1073,T1073+1,1)</f>
        <v>2</v>
      </c>
      <c r="U1074">
        <f>IF(O1074=O1075,"",S1074/T1074)</f>
        <v>21493.685433000002</v>
      </c>
      <c r="V1074" t="str">
        <f>IF(U1074="","",IF(ABS(Q1074-U1074)&gt;V$1,"error",""))</f>
        <v/>
      </c>
    </row>
    <row r="1075" spans="1:22" x14ac:dyDescent="0.55000000000000004">
      <c r="A1075">
        <v>18783.83322</v>
      </c>
      <c r="B1075" s="1">
        <v>4.4999999999999998E-2</v>
      </c>
      <c r="C1075" s="1">
        <v>4.4999999999999998E-2</v>
      </c>
      <c r="D1075" s="2" t="s">
        <v>680</v>
      </c>
      <c r="E1075">
        <v>1</v>
      </c>
      <c r="F1075" s="2" t="s">
        <v>2</v>
      </c>
      <c r="G1075">
        <v>0</v>
      </c>
      <c r="H1075">
        <v>26.5</v>
      </c>
      <c r="I1075" s="2" t="s">
        <v>0</v>
      </c>
      <c r="J1075">
        <v>1</v>
      </c>
      <c r="K1075" s="2" t="s">
        <v>2</v>
      </c>
      <c r="L1075">
        <v>0</v>
      </c>
      <c r="M1075">
        <v>27.5</v>
      </c>
      <c r="N1075" s="2" t="s">
        <v>934</v>
      </c>
      <c r="O1075" t="str">
        <f>D1075&amp;"-"&amp;E1075&amp;"-"&amp;F1075&amp;"-"&amp;G1075&amp;"-"&amp;H1075</f>
        <v>E-1-e-0-26.5</v>
      </c>
      <c r="P1075" t="str">
        <f>I1075&amp;"-"&amp;J1075&amp;"-"&amp;K1075&amp;"-"&amp;L1075&amp;"-"&amp;M1075</f>
        <v>X-1-e-0-27.5</v>
      </c>
      <c r="Q1075">
        <f>A1075+R1075</f>
        <v>21456.403114000001</v>
      </c>
      <c r="R1075">
        <f>_xlfn.IFNA(VLOOKUP(P1075,PGOPHER!A$2:G$181,7,FALSE),_xlfn.IFNA(VLOOKUP(P1075,en!A$2:I$768,7,FALSE),-10000))</f>
        <v>2672.5698940000002</v>
      </c>
      <c r="S1075">
        <f>IF(O1075=O1074,Q1074+S1074,Q1075)</f>
        <v>21456.403114000001</v>
      </c>
      <c r="T1075">
        <f>IF(O1075=O1074,T1074+1,1)</f>
        <v>1</v>
      </c>
      <c r="U1075" t="str">
        <f>IF(O1075=O1076,"",S1075/T1075)</f>
        <v/>
      </c>
      <c r="V1075" t="str">
        <f>IF(U1075="","",IF(ABS(Q1075-U1075)&gt;V$1,"error",""))</f>
        <v/>
      </c>
    </row>
    <row r="1076" spans="1:22" x14ac:dyDescent="0.55000000000000004">
      <c r="A1076">
        <v>19149.456399999999</v>
      </c>
      <c r="B1076" s="1">
        <v>7.4999999999999997E-2</v>
      </c>
      <c r="C1076" s="1">
        <v>7.4999999999999997E-2</v>
      </c>
      <c r="D1076" s="2" t="s">
        <v>680</v>
      </c>
      <c r="E1076">
        <v>1</v>
      </c>
      <c r="F1076" s="2" t="s">
        <v>2</v>
      </c>
      <c r="G1076">
        <v>0</v>
      </c>
      <c r="H1076">
        <v>26.5</v>
      </c>
      <c r="I1076" s="2" t="s">
        <v>0</v>
      </c>
      <c r="J1076">
        <v>1</v>
      </c>
      <c r="K1076" s="2" t="s">
        <v>2</v>
      </c>
      <c r="L1076">
        <v>0</v>
      </c>
      <c r="M1076">
        <v>25.5</v>
      </c>
      <c r="N1076" s="2" t="s">
        <v>933</v>
      </c>
      <c r="O1076" t="str">
        <f>D1076&amp;"-"&amp;E1076&amp;"-"&amp;F1076&amp;"-"&amp;G1076&amp;"-"&amp;H1076</f>
        <v>E-1-e-0-26.5</v>
      </c>
      <c r="P1076" t="str">
        <f>I1076&amp;"-"&amp;J1076&amp;"-"&amp;K1076&amp;"-"&amp;L1076&amp;"-"&amp;M1076</f>
        <v>X-1-e-0-25.5</v>
      </c>
      <c r="Q1076">
        <f>A1076+R1076</f>
        <v>21456.397301999998</v>
      </c>
      <c r="R1076">
        <f>_xlfn.IFNA(VLOOKUP(P1076,PGOPHER!A$2:G$181,7,FALSE),_xlfn.IFNA(VLOOKUP(P1076,en!A$2:I$768,7,FALSE),-10000))</f>
        <v>2306.9409019999998</v>
      </c>
      <c r="S1076">
        <f>IF(O1076=O1075,Q1075+S1075,Q1076)</f>
        <v>42912.806228000001</v>
      </c>
      <c r="T1076">
        <f>IF(O1076=O1075,T1075+1,1)</f>
        <v>2</v>
      </c>
      <c r="U1076">
        <f>IF(O1076=O1077,"",S1076/T1076)</f>
        <v>21456.403114000001</v>
      </c>
      <c r="V1076" t="str">
        <f>IF(U1076="","",IF(ABS(Q1076-U1076)&gt;V$1,"error",""))</f>
        <v/>
      </c>
    </row>
    <row r="1077" spans="1:22" x14ac:dyDescent="0.55000000000000004">
      <c r="A1077">
        <v>19010.022359999999</v>
      </c>
      <c r="B1077" s="1">
        <v>5.0000000000000001E-3</v>
      </c>
      <c r="C1077" s="1">
        <v>5.0000000000000001E-3</v>
      </c>
      <c r="D1077" s="2" t="s">
        <v>680</v>
      </c>
      <c r="E1077">
        <v>2</v>
      </c>
      <c r="F1077" s="2" t="s">
        <v>2</v>
      </c>
      <c r="G1077">
        <v>0</v>
      </c>
      <c r="H1077">
        <v>26.5</v>
      </c>
      <c r="I1077" s="2" t="s">
        <v>0</v>
      </c>
      <c r="J1077">
        <v>2</v>
      </c>
      <c r="K1077" s="2" t="s">
        <v>1</v>
      </c>
      <c r="L1077">
        <v>0</v>
      </c>
      <c r="M1077">
        <v>26.5</v>
      </c>
      <c r="N1077" s="2" t="s">
        <v>935</v>
      </c>
      <c r="O1077" t="str">
        <f>D1077&amp;"-"&amp;E1077&amp;"-"&amp;F1077&amp;"-"&amp;G1077&amp;"-"&amp;H1077</f>
        <v>E-2-e-0-26.5</v>
      </c>
      <c r="P1077" t="str">
        <f>I1077&amp;"-"&amp;J1077&amp;"-"&amp;K1077&amp;"-"&amp;L1077&amp;"-"&amp;M1077</f>
        <v>X-2-f-0-26.5</v>
      </c>
      <c r="Q1077">
        <f>A1077+R1077</f>
        <v>21679.424003</v>
      </c>
      <c r="R1077">
        <f>_xlfn.IFNA(VLOOKUP(P1077,PGOPHER!A$2:G$181,7,FALSE),_xlfn.IFNA(VLOOKUP(P1077,en!A$2:I$768,7,FALSE),-10000))</f>
        <v>2669.4016430000001</v>
      </c>
      <c r="S1077">
        <f>IF(O1077=O1076,Q1076+S1076,Q1077)</f>
        <v>21679.424003</v>
      </c>
      <c r="T1077">
        <f>IF(O1077=O1076,T1076+1,1)</f>
        <v>1</v>
      </c>
      <c r="U1077">
        <f>IF(O1077=O1078,"",S1077/T1077)</f>
        <v>21679.424003</v>
      </c>
      <c r="V1077" t="str">
        <f>IF(U1077="","",IF(ABS(Q1077-U1077)&gt;V$1,"error",""))</f>
        <v/>
      </c>
    </row>
    <row r="1078" spans="1:22" x14ac:dyDescent="0.55000000000000004">
      <c r="A1078">
        <v>19200.962329999998</v>
      </c>
      <c r="B1078" s="1">
        <v>5.0000000000000001E-3</v>
      </c>
      <c r="C1078" s="1">
        <v>5.0000000000000001E-3</v>
      </c>
      <c r="D1078" s="2" t="s">
        <v>680</v>
      </c>
      <c r="E1078">
        <v>2</v>
      </c>
      <c r="F1078" s="2" t="s">
        <v>1</v>
      </c>
      <c r="G1078">
        <v>0</v>
      </c>
      <c r="H1078">
        <v>26.5</v>
      </c>
      <c r="I1078" s="2" t="s">
        <v>0</v>
      </c>
      <c r="J1078">
        <v>2</v>
      </c>
      <c r="K1078" s="2" t="s">
        <v>1</v>
      </c>
      <c r="L1078">
        <v>0</v>
      </c>
      <c r="M1078">
        <v>25.5</v>
      </c>
      <c r="N1078" s="2" t="s">
        <v>936</v>
      </c>
      <c r="O1078" t="str">
        <f>D1078&amp;"-"&amp;E1078&amp;"-"&amp;F1078&amp;"-"&amp;G1078&amp;"-"&amp;H1078</f>
        <v>E-2-f-0-26.5</v>
      </c>
      <c r="P1078" t="str">
        <f>I1078&amp;"-"&amp;J1078&amp;"-"&amp;K1078&amp;"-"&amp;L1078&amp;"-"&amp;M1078</f>
        <v>X-2-f-0-25.5</v>
      </c>
      <c r="Q1078">
        <f>A1078+R1078</f>
        <v>21684.556457999999</v>
      </c>
      <c r="R1078">
        <f>_xlfn.IFNA(VLOOKUP(P1078,PGOPHER!A$2:G$181,7,FALSE),_xlfn.IFNA(VLOOKUP(P1078,en!A$2:I$768,7,FALSE),-10000))</f>
        <v>2483.5941280000002</v>
      </c>
      <c r="S1078">
        <f>IF(O1078=O1077,Q1077+S1077,Q1078)</f>
        <v>21684.556457999999</v>
      </c>
      <c r="T1078">
        <f>IF(O1078=O1077,T1077+1,1)</f>
        <v>1</v>
      </c>
      <c r="U1078">
        <f>IF(O1078=O1079,"",S1078/T1078)</f>
        <v>21684.556457999999</v>
      </c>
      <c r="V1078" t="str">
        <f>IF(U1078="","",IF(ABS(Q1078-U1078)&gt;V$1,"error",""))</f>
        <v/>
      </c>
    </row>
    <row r="1079" spans="1:22" x14ac:dyDescent="0.55000000000000004">
      <c r="A1079">
        <v>18783.104039999998</v>
      </c>
      <c r="B1079" s="1">
        <v>5.0000000000000001E-3</v>
      </c>
      <c r="C1079" s="1">
        <v>5.0000000000000001E-3</v>
      </c>
      <c r="D1079" s="2" t="s">
        <v>680</v>
      </c>
      <c r="E1079">
        <v>1</v>
      </c>
      <c r="F1079" s="2" t="s">
        <v>2</v>
      </c>
      <c r="G1079">
        <v>0</v>
      </c>
      <c r="H1079">
        <v>27.5</v>
      </c>
      <c r="I1079" s="2" t="s">
        <v>0</v>
      </c>
      <c r="J1079">
        <v>1</v>
      </c>
      <c r="K1079" s="2" t="s">
        <v>2</v>
      </c>
      <c r="L1079">
        <v>0</v>
      </c>
      <c r="M1079">
        <v>28.5</v>
      </c>
      <c r="N1079" s="2" t="s">
        <v>938</v>
      </c>
      <c r="O1079" t="str">
        <f>D1079&amp;"-"&amp;E1079&amp;"-"&amp;F1079&amp;"-"&amp;G1079&amp;"-"&amp;H1079</f>
        <v>E-1-e-0-27.5</v>
      </c>
      <c r="P1079" t="str">
        <f>I1079&amp;"-"&amp;J1079&amp;"-"&amp;K1079&amp;"-"&amp;L1079&amp;"-"&amp;M1079</f>
        <v>X-1-e-0-28.5</v>
      </c>
      <c r="Q1079">
        <f>A1079+R1079</f>
        <v>21647.678164999998</v>
      </c>
      <c r="R1079">
        <f>_xlfn.IFNA(VLOOKUP(P1079,PGOPHER!A$2:G$181,7,FALSE),_xlfn.IFNA(VLOOKUP(P1079,en!A$2:I$768,7,FALSE),-10000))</f>
        <v>2864.5741250000001</v>
      </c>
      <c r="S1079">
        <f>IF(O1079=O1078,Q1078+S1078,Q1079)</f>
        <v>21647.678164999998</v>
      </c>
      <c r="T1079">
        <f>IF(O1079=O1078,T1078+1,1)</f>
        <v>1</v>
      </c>
      <c r="U1079" t="str">
        <f>IF(O1079=O1080,"",S1079/T1079)</f>
        <v/>
      </c>
      <c r="V1079" t="str">
        <f>IF(U1079="","",IF(ABS(Q1079-U1079)&gt;V$1,"error",""))</f>
        <v/>
      </c>
    </row>
    <row r="1080" spans="1:22" x14ac:dyDescent="0.55000000000000004">
      <c r="A1080">
        <v>19161.019199999999</v>
      </c>
      <c r="B1080" s="1">
        <v>5.0000000000000001E-3</v>
      </c>
      <c r="C1080" s="1">
        <v>5.0000000000000001E-3</v>
      </c>
      <c r="D1080" s="2" t="s">
        <v>680</v>
      </c>
      <c r="E1080">
        <v>1</v>
      </c>
      <c r="F1080" s="2" t="s">
        <v>2</v>
      </c>
      <c r="G1080">
        <v>0</v>
      </c>
      <c r="H1080">
        <v>27.5</v>
      </c>
      <c r="I1080" s="2" t="s">
        <v>0</v>
      </c>
      <c r="J1080">
        <v>1</v>
      </c>
      <c r="K1080" s="2" t="s">
        <v>2</v>
      </c>
      <c r="L1080">
        <v>0</v>
      </c>
      <c r="M1080">
        <v>26.5</v>
      </c>
      <c r="N1080" s="2" t="s">
        <v>937</v>
      </c>
      <c r="O1080" t="str">
        <f>D1080&amp;"-"&amp;E1080&amp;"-"&amp;F1080&amp;"-"&amp;G1080&amp;"-"&amp;H1080</f>
        <v>E-1-e-0-27.5</v>
      </c>
      <c r="P1080" t="str">
        <f>I1080&amp;"-"&amp;J1080&amp;"-"&amp;K1080&amp;"-"&amp;L1080&amp;"-"&amp;M1080</f>
        <v>X-1-e-0-26.5</v>
      </c>
      <c r="Q1080">
        <f>A1080+R1080</f>
        <v>21647.683415</v>
      </c>
      <c r="R1080">
        <f>_xlfn.IFNA(VLOOKUP(P1080,PGOPHER!A$2:G$181,7,FALSE),_xlfn.IFNA(VLOOKUP(P1080,en!A$2:I$768,7,FALSE),-10000))</f>
        <v>2486.6642149999998</v>
      </c>
      <c r="S1080">
        <f>IF(O1080=O1079,Q1079+S1079,Q1080)</f>
        <v>43295.356329999995</v>
      </c>
      <c r="T1080">
        <f>IF(O1080=O1079,T1079+1,1)</f>
        <v>2</v>
      </c>
      <c r="U1080">
        <f>IF(O1080=O1081,"",S1080/T1080)</f>
        <v>21647.678164999998</v>
      </c>
      <c r="V1080" t="str">
        <f>IF(U1080="","",IF(ABS(Q1080-U1080)&gt;V$1,"error",""))</f>
        <v/>
      </c>
    </row>
    <row r="1081" spans="1:22" x14ac:dyDescent="0.55000000000000004">
      <c r="A1081">
        <v>19014.852589999999</v>
      </c>
      <c r="B1081" s="1">
        <v>5.0000000000000001E-3</v>
      </c>
      <c r="C1081" s="1">
        <v>5.0000000000000001E-3</v>
      </c>
      <c r="D1081" s="2" t="s">
        <v>680</v>
      </c>
      <c r="E1081">
        <v>2</v>
      </c>
      <c r="F1081" s="2" t="s">
        <v>2</v>
      </c>
      <c r="G1081">
        <v>0</v>
      </c>
      <c r="H1081">
        <v>27.5</v>
      </c>
      <c r="I1081" s="2" t="s">
        <v>0</v>
      </c>
      <c r="J1081">
        <v>2</v>
      </c>
      <c r="K1081" s="2" t="s">
        <v>1</v>
      </c>
      <c r="L1081">
        <v>0</v>
      </c>
      <c r="M1081">
        <v>27.5</v>
      </c>
      <c r="N1081" s="2" t="s">
        <v>939</v>
      </c>
      <c r="O1081" t="str">
        <f>D1081&amp;"-"&amp;E1081&amp;"-"&amp;F1081&amp;"-"&amp;G1081&amp;"-"&amp;H1081</f>
        <v>E-2-e-0-27.5</v>
      </c>
      <c r="P1081" t="str">
        <f>I1081&amp;"-"&amp;J1081&amp;"-"&amp;K1081&amp;"-"&amp;L1081&amp;"-"&amp;M1081</f>
        <v>X-2-f-0-27.5</v>
      </c>
      <c r="Q1081">
        <f>A1081+R1081</f>
        <v>21876.153753999999</v>
      </c>
      <c r="R1081">
        <f>_xlfn.IFNA(VLOOKUP(P1081,PGOPHER!A$2:G$181,7,FALSE),_xlfn.IFNA(VLOOKUP(P1081,en!A$2:I$768,7,FALSE),-10000))</f>
        <v>2861.301164</v>
      </c>
      <c r="S1081">
        <f>IF(O1081=O1080,Q1080+S1080,Q1081)</f>
        <v>21876.153753999999</v>
      </c>
      <c r="T1081">
        <f>IF(O1081=O1080,T1080+1,1)</f>
        <v>1</v>
      </c>
      <c r="U1081">
        <f>IF(O1081=O1082,"",S1081/T1081)</f>
        <v>21876.153753999999</v>
      </c>
      <c r="V1081" t="str">
        <f>IF(U1081="","",IF(ABS(Q1081-U1081)&gt;V$1,"error",""))</f>
        <v/>
      </c>
    </row>
    <row r="1082" spans="1:22" x14ac:dyDescent="0.55000000000000004">
      <c r="A1082">
        <v>19212.22265</v>
      </c>
      <c r="B1082" s="1">
        <v>5.0000000000000001E-3</v>
      </c>
      <c r="C1082" s="1">
        <v>5.0000000000000001E-3</v>
      </c>
      <c r="D1082" s="2" t="s">
        <v>680</v>
      </c>
      <c r="E1082">
        <v>2</v>
      </c>
      <c r="F1082" s="2" t="s">
        <v>1</v>
      </c>
      <c r="G1082">
        <v>0</v>
      </c>
      <c r="H1082">
        <v>27.5</v>
      </c>
      <c r="I1082" s="2" t="s">
        <v>0</v>
      </c>
      <c r="J1082">
        <v>2</v>
      </c>
      <c r="K1082" s="2" t="s">
        <v>1</v>
      </c>
      <c r="L1082">
        <v>0</v>
      </c>
      <c r="M1082">
        <v>26.5</v>
      </c>
      <c r="N1082" s="2" t="s">
        <v>940</v>
      </c>
      <c r="O1082" t="str">
        <f>D1082&amp;"-"&amp;E1082&amp;"-"&amp;F1082&amp;"-"&amp;G1082&amp;"-"&amp;H1082</f>
        <v>E-2-f-0-27.5</v>
      </c>
      <c r="P1082" t="str">
        <f>I1082&amp;"-"&amp;J1082&amp;"-"&amp;K1082&amp;"-"&amp;L1082&amp;"-"&amp;M1082</f>
        <v>X-2-f-0-26.5</v>
      </c>
      <c r="Q1082">
        <f>A1082+R1082</f>
        <v>21881.624293000001</v>
      </c>
      <c r="R1082">
        <f>_xlfn.IFNA(VLOOKUP(P1082,PGOPHER!A$2:G$181,7,FALSE),_xlfn.IFNA(VLOOKUP(P1082,en!A$2:I$768,7,FALSE),-10000))</f>
        <v>2669.4016430000001</v>
      </c>
      <c r="S1082">
        <f>IF(O1082=O1081,Q1081+S1081,Q1082)</f>
        <v>21881.624293000001</v>
      </c>
      <c r="T1082">
        <f>IF(O1082=O1081,T1081+1,1)</f>
        <v>1</v>
      </c>
      <c r="U1082">
        <f>IF(O1082=O1083,"",S1082/T1082)</f>
        <v>21881.624293000001</v>
      </c>
      <c r="V1082" t="str">
        <f>IF(U1082="","",IF(ABS(Q1082-U1082)&gt;V$1,"error",""))</f>
        <v/>
      </c>
    </row>
    <row r="1083" spans="1:22" x14ac:dyDescent="0.55000000000000004">
      <c r="A1083">
        <v>18782.46557</v>
      </c>
      <c r="B1083" s="1">
        <v>0.29899999999999999</v>
      </c>
      <c r="C1083" s="1">
        <v>0.29899999999999999</v>
      </c>
      <c r="D1083" s="2" t="s">
        <v>680</v>
      </c>
      <c r="E1083">
        <v>1</v>
      </c>
      <c r="F1083" s="2" t="s">
        <v>2</v>
      </c>
      <c r="G1083">
        <v>0</v>
      </c>
      <c r="H1083">
        <v>28.5</v>
      </c>
      <c r="I1083" s="2" t="s">
        <v>0</v>
      </c>
      <c r="J1083">
        <v>1</v>
      </c>
      <c r="K1083" s="2" t="s">
        <v>2</v>
      </c>
      <c r="L1083">
        <v>0</v>
      </c>
      <c r="M1083">
        <v>29.5</v>
      </c>
      <c r="N1083" s="2" t="s">
        <v>1794</v>
      </c>
      <c r="O1083" t="str">
        <f>D1083&amp;"-"&amp;E1083&amp;"-"&amp;F1083&amp;"-"&amp;G1083&amp;"-"&amp;H1083</f>
        <v>E-1-e-0-28.5</v>
      </c>
      <c r="P1083" t="str">
        <f>I1083&amp;"-"&amp;J1083&amp;"-"&amp;K1083&amp;"-"&amp;L1083&amp;"-"&amp;M1083</f>
        <v>X-1-e-0-29.5</v>
      </c>
      <c r="Q1083">
        <f>A1083+R1083</f>
        <v>21845.070769999998</v>
      </c>
      <c r="R1083">
        <f>_xlfn.IFNA(VLOOKUP(P1083,PGOPHER!A$2:G$181,7,FALSE),_xlfn.IFNA(VLOOKUP(P1083,en!A$2:I$768,7,FALSE),-10000))</f>
        <v>3062.6052</v>
      </c>
      <c r="S1083">
        <f>IF(O1083=O1082,Q1082+S1082,Q1083)</f>
        <v>21845.070769999998</v>
      </c>
      <c r="T1083">
        <f>IF(O1083=O1082,T1082+1,1)</f>
        <v>1</v>
      </c>
      <c r="U1083" t="str">
        <f>IF(O1083=O1084,"",S1083/T1083)</f>
        <v/>
      </c>
      <c r="V1083" t="str">
        <f>IF(U1083="","",IF(ABS(Q1083-U1083)&gt;V$1,"error",""))</f>
        <v/>
      </c>
    </row>
    <row r="1084" spans="1:22" x14ac:dyDescent="0.55000000000000004">
      <c r="A1084">
        <v>19172.487519999999</v>
      </c>
      <c r="B1084" s="1">
        <v>0.29899999999999999</v>
      </c>
      <c r="C1084" s="1">
        <v>0.29899999999999999</v>
      </c>
      <c r="D1084" s="2" t="s">
        <v>680</v>
      </c>
      <c r="E1084">
        <v>1</v>
      </c>
      <c r="F1084" s="2" t="s">
        <v>2</v>
      </c>
      <c r="G1084">
        <v>0</v>
      </c>
      <c r="H1084">
        <v>28.5</v>
      </c>
      <c r="I1084" s="2" t="s">
        <v>0</v>
      </c>
      <c r="J1084">
        <v>1</v>
      </c>
      <c r="K1084" s="2" t="s">
        <v>2</v>
      </c>
      <c r="L1084">
        <v>0</v>
      </c>
      <c r="M1084">
        <v>27.5</v>
      </c>
      <c r="N1084" s="2" t="s">
        <v>1793</v>
      </c>
      <c r="O1084" t="str">
        <f>D1084&amp;"-"&amp;E1084&amp;"-"&amp;F1084&amp;"-"&amp;G1084&amp;"-"&amp;H1084</f>
        <v>E-1-e-0-28.5</v>
      </c>
      <c r="P1084" t="str">
        <f>I1084&amp;"-"&amp;J1084&amp;"-"&amp;K1084&amp;"-"&amp;L1084&amp;"-"&amp;M1084</f>
        <v>X-1-e-0-27.5</v>
      </c>
      <c r="Q1084">
        <f>A1084+R1084</f>
        <v>21845.057413999999</v>
      </c>
      <c r="R1084">
        <f>_xlfn.IFNA(VLOOKUP(P1084,PGOPHER!A$2:G$181,7,FALSE),_xlfn.IFNA(VLOOKUP(P1084,en!A$2:I$768,7,FALSE),-10000))</f>
        <v>2672.5698940000002</v>
      </c>
      <c r="S1084">
        <f>IF(O1084=O1083,Q1083+S1083,Q1084)</f>
        <v>43690.141539999997</v>
      </c>
      <c r="T1084">
        <f>IF(O1084=O1083,T1083+1,1)</f>
        <v>2</v>
      </c>
      <c r="U1084">
        <f>IF(O1084=O1085,"",S1084/T1084)</f>
        <v>21845.070769999998</v>
      </c>
      <c r="V1084" t="str">
        <f>IF(U1084="","",IF(ABS(Q1084-U1084)&gt;V$1,"error",""))</f>
        <v/>
      </c>
    </row>
    <row r="1085" spans="1:22" x14ac:dyDescent="0.55000000000000004">
      <c r="A1085">
        <v>19019.734369999998</v>
      </c>
      <c r="B1085" s="1">
        <v>5.0000000000000001E-3</v>
      </c>
      <c r="C1085" s="1">
        <v>5.0000000000000001E-3</v>
      </c>
      <c r="D1085" s="2" t="s">
        <v>680</v>
      </c>
      <c r="E1085">
        <v>2</v>
      </c>
      <c r="F1085" s="2" t="s">
        <v>2</v>
      </c>
      <c r="G1085">
        <v>0</v>
      </c>
      <c r="H1085">
        <v>28.5</v>
      </c>
      <c r="I1085" s="2" t="s">
        <v>0</v>
      </c>
      <c r="J1085">
        <v>2</v>
      </c>
      <c r="K1085" s="2" t="s">
        <v>1</v>
      </c>
      <c r="L1085">
        <v>0</v>
      </c>
      <c r="M1085">
        <v>28.5</v>
      </c>
      <c r="N1085" s="2" t="s">
        <v>941</v>
      </c>
      <c r="O1085" t="str">
        <f>D1085&amp;"-"&amp;E1085&amp;"-"&amp;F1085&amp;"-"&amp;G1085&amp;"-"&amp;H1085</f>
        <v>E-2-e-0-28.5</v>
      </c>
      <c r="P1085" t="str">
        <f>I1085&amp;"-"&amp;J1085&amp;"-"&amp;K1085&amp;"-"&amp;L1085&amp;"-"&amp;M1085</f>
        <v>X-2-f-0-28.5</v>
      </c>
      <c r="Q1085">
        <f>A1085+R1085</f>
        <v>22078.972118999998</v>
      </c>
      <c r="R1085">
        <f>_xlfn.IFNA(VLOOKUP(P1085,PGOPHER!A$2:G$181,7,FALSE),_xlfn.IFNA(VLOOKUP(P1085,en!A$2:I$768,7,FALSE),-10000))</f>
        <v>3059.2377489999999</v>
      </c>
      <c r="S1085">
        <f>IF(O1085=O1084,Q1084+S1084,Q1085)</f>
        <v>22078.972118999998</v>
      </c>
      <c r="T1085">
        <f>IF(O1085=O1084,T1084+1,1)</f>
        <v>1</v>
      </c>
      <c r="U1085">
        <f>IF(O1085=O1086,"",S1085/T1085)</f>
        <v>22078.972118999998</v>
      </c>
      <c r="V1085" t="str">
        <f>IF(U1085="","",IF(ABS(Q1085-U1085)&gt;V$1,"error",""))</f>
        <v/>
      </c>
    </row>
    <row r="1086" spans="1:22" x14ac:dyDescent="0.55000000000000004">
      <c r="A1086">
        <v>19223.47853</v>
      </c>
      <c r="B1086" s="1">
        <v>5.0000000000000001E-3</v>
      </c>
      <c r="C1086" s="1">
        <v>5.0000000000000001E-3</v>
      </c>
      <c r="D1086" s="2" t="s">
        <v>680</v>
      </c>
      <c r="E1086">
        <v>2</v>
      </c>
      <c r="F1086" s="2" t="s">
        <v>1</v>
      </c>
      <c r="G1086">
        <v>0</v>
      </c>
      <c r="H1086">
        <v>28.5</v>
      </c>
      <c r="I1086" s="2" t="s">
        <v>0</v>
      </c>
      <c r="J1086">
        <v>2</v>
      </c>
      <c r="K1086" s="2" t="s">
        <v>1</v>
      </c>
      <c r="L1086">
        <v>0</v>
      </c>
      <c r="M1086">
        <v>27.5</v>
      </c>
      <c r="N1086" s="2" t="s">
        <v>942</v>
      </c>
      <c r="O1086" t="str">
        <f>D1086&amp;"-"&amp;E1086&amp;"-"&amp;F1086&amp;"-"&amp;G1086&amp;"-"&amp;H1086</f>
        <v>E-2-f-0-28.5</v>
      </c>
      <c r="P1086" t="str">
        <f>I1086&amp;"-"&amp;J1086&amp;"-"&amp;K1086&amp;"-"&amp;L1086&amp;"-"&amp;M1086</f>
        <v>X-2-f-0-27.5</v>
      </c>
      <c r="Q1086">
        <f>A1086+R1086</f>
        <v>22084.779694000001</v>
      </c>
      <c r="R1086">
        <f>_xlfn.IFNA(VLOOKUP(P1086,PGOPHER!A$2:G$181,7,FALSE),_xlfn.IFNA(VLOOKUP(P1086,en!A$2:I$768,7,FALSE),-10000))</f>
        <v>2861.301164</v>
      </c>
      <c r="S1086">
        <f>IF(O1086=O1085,Q1085+S1085,Q1086)</f>
        <v>22084.779694000001</v>
      </c>
      <c r="T1086">
        <f>IF(O1086=O1085,T1085+1,1)</f>
        <v>1</v>
      </c>
      <c r="U1086">
        <f>IF(O1086=O1087,"",S1086/T1086)</f>
        <v>22084.779694000001</v>
      </c>
      <c r="V1086" t="str">
        <f>IF(U1086="","",IF(ABS(Q1086-U1086)&gt;V$1,"error",""))</f>
        <v/>
      </c>
    </row>
    <row r="1087" spans="1:22" x14ac:dyDescent="0.55000000000000004">
      <c r="A1087">
        <v>19183.93014</v>
      </c>
      <c r="B1087" s="1">
        <v>1.4999999999999999E-2</v>
      </c>
      <c r="C1087" s="1">
        <v>1.4999999999999999E-2</v>
      </c>
      <c r="D1087" s="2" t="s">
        <v>680</v>
      </c>
      <c r="E1087">
        <v>1</v>
      </c>
      <c r="F1087" s="2" t="s">
        <v>2</v>
      </c>
      <c r="G1087">
        <v>0</v>
      </c>
      <c r="H1087">
        <v>29.5</v>
      </c>
      <c r="I1087" s="2" t="s">
        <v>0</v>
      </c>
      <c r="J1087">
        <v>1</v>
      </c>
      <c r="K1087" s="2" t="s">
        <v>2</v>
      </c>
      <c r="L1087">
        <v>0</v>
      </c>
      <c r="M1087">
        <v>28.5</v>
      </c>
      <c r="N1087" s="2" t="s">
        <v>943</v>
      </c>
      <c r="O1087" t="str">
        <f>D1087&amp;"-"&amp;E1087&amp;"-"&amp;F1087&amp;"-"&amp;G1087&amp;"-"&amp;H1087</f>
        <v>E-1-e-0-29.5</v>
      </c>
      <c r="P1087" t="str">
        <f>I1087&amp;"-"&amp;J1087&amp;"-"&amp;K1087&amp;"-"&amp;L1087&amp;"-"&amp;M1087</f>
        <v>X-1-e-0-28.5</v>
      </c>
      <c r="Q1087">
        <f>A1087+R1087</f>
        <v>22048.504265</v>
      </c>
      <c r="R1087">
        <f>_xlfn.IFNA(VLOOKUP(P1087,PGOPHER!A$2:G$181,7,FALSE),_xlfn.IFNA(VLOOKUP(P1087,en!A$2:I$768,7,FALSE),-10000))</f>
        <v>2864.5741250000001</v>
      </c>
      <c r="S1087">
        <f>IF(O1087=O1086,Q1086+S1086,Q1087)</f>
        <v>22048.504265</v>
      </c>
      <c r="T1087">
        <f>IF(O1087=O1086,T1086+1,1)</f>
        <v>1</v>
      </c>
      <c r="U1087">
        <f>IF(O1087=O1088,"",S1087/T1087)</f>
        <v>22048.504265</v>
      </c>
      <c r="V1087" t="str">
        <f>IF(U1087="","",IF(ABS(Q1087-U1087)&gt;V$1,"error",""))</f>
        <v/>
      </c>
    </row>
    <row r="1088" spans="1:22" x14ac:dyDescent="0.55000000000000004">
      <c r="A1088">
        <v>19234.694469999999</v>
      </c>
      <c r="B1088" s="1">
        <v>2.3E-2</v>
      </c>
      <c r="C1088" s="1">
        <v>2.3E-2</v>
      </c>
      <c r="D1088" s="2" t="s">
        <v>680</v>
      </c>
      <c r="E1088">
        <v>2</v>
      </c>
      <c r="F1088" s="2" t="s">
        <v>1</v>
      </c>
      <c r="G1088">
        <v>0</v>
      </c>
      <c r="H1088">
        <v>29.5</v>
      </c>
      <c r="I1088" s="2" t="s">
        <v>0</v>
      </c>
      <c r="J1088">
        <v>2</v>
      </c>
      <c r="K1088" s="2" t="s">
        <v>1</v>
      </c>
      <c r="L1088">
        <v>0</v>
      </c>
      <c r="M1088">
        <v>28.5</v>
      </c>
      <c r="N1088" s="2" t="s">
        <v>944</v>
      </c>
      <c r="O1088" t="str">
        <f>D1088&amp;"-"&amp;E1088&amp;"-"&amp;F1088&amp;"-"&amp;G1088&amp;"-"&amp;H1088</f>
        <v>E-2-f-0-29.5</v>
      </c>
      <c r="P1088" t="str">
        <f>I1088&amp;"-"&amp;J1088&amp;"-"&amp;K1088&amp;"-"&amp;L1088&amp;"-"&amp;M1088</f>
        <v>X-2-f-0-28.5</v>
      </c>
      <c r="Q1088">
        <f>A1088+R1088</f>
        <v>22293.932218999998</v>
      </c>
      <c r="R1088">
        <f>_xlfn.IFNA(VLOOKUP(P1088,PGOPHER!A$2:G$181,7,FALSE),_xlfn.IFNA(VLOOKUP(P1088,en!A$2:I$768,7,FALSE),-10000))</f>
        <v>3059.2377489999999</v>
      </c>
      <c r="S1088">
        <f>IF(O1088=O1087,Q1087+S1087,Q1088)</f>
        <v>22293.932218999998</v>
      </c>
      <c r="T1088">
        <f>IF(O1088=O1087,T1087+1,1)</f>
        <v>1</v>
      </c>
      <c r="U1088">
        <f>IF(O1088=O1089,"",S1088/T1088)</f>
        <v>22293.932218999998</v>
      </c>
      <c r="V1088" t="str">
        <f>IF(U1088="","",IF(ABS(Q1088-U1088)&gt;V$1,"error",""))</f>
        <v/>
      </c>
    </row>
    <row r="1089" spans="1:22" x14ac:dyDescent="0.55000000000000004">
      <c r="A1089">
        <v>19195.312399999999</v>
      </c>
      <c r="B1089" s="1">
        <v>5.2999999999999999E-2</v>
      </c>
      <c r="C1089" s="1">
        <v>5.2999999999999999E-2</v>
      </c>
      <c r="D1089" s="2" t="s">
        <v>680</v>
      </c>
      <c r="E1089">
        <v>1</v>
      </c>
      <c r="F1089" s="2" t="s">
        <v>2</v>
      </c>
      <c r="G1089">
        <v>0</v>
      </c>
      <c r="H1089">
        <v>30.5</v>
      </c>
      <c r="I1089" s="2" t="s">
        <v>0</v>
      </c>
      <c r="J1089">
        <v>1</v>
      </c>
      <c r="K1089" s="2" t="s">
        <v>2</v>
      </c>
      <c r="L1089">
        <v>0</v>
      </c>
      <c r="M1089">
        <v>29.5</v>
      </c>
      <c r="N1089" s="2" t="s">
        <v>945</v>
      </c>
      <c r="O1089" t="str">
        <f>D1089&amp;"-"&amp;E1089&amp;"-"&amp;F1089&amp;"-"&amp;G1089&amp;"-"&amp;H1089</f>
        <v>E-1-e-0-30.5</v>
      </c>
      <c r="P1089" t="str">
        <f>I1089&amp;"-"&amp;J1089&amp;"-"&amp;K1089&amp;"-"&amp;L1089&amp;"-"&amp;M1089</f>
        <v>X-1-e-0-29.5</v>
      </c>
      <c r="Q1089">
        <f>A1089+R1089</f>
        <v>22257.917600000001</v>
      </c>
      <c r="R1089">
        <f>_xlfn.IFNA(VLOOKUP(P1089,PGOPHER!A$2:G$181,7,FALSE),_xlfn.IFNA(VLOOKUP(P1089,en!A$2:I$768,7,FALSE),-10000))</f>
        <v>3062.6052</v>
      </c>
      <c r="S1089">
        <f>IF(O1089=O1088,Q1088+S1088,Q1089)</f>
        <v>22257.917600000001</v>
      </c>
      <c r="T1089">
        <f>IF(O1089=O1088,T1088+1,1)</f>
        <v>1</v>
      </c>
      <c r="U1089">
        <f>IF(O1089=O1090,"",S1089/T1089)</f>
        <v>22257.917600000001</v>
      </c>
      <c r="V1089" t="str">
        <f>IF(U1089="","",IF(ABS(Q1089-U1089)&gt;V$1,"error",""))</f>
        <v/>
      </c>
    </row>
    <row r="1090" spans="1:22" x14ac:dyDescent="0.55000000000000004">
      <c r="A1090">
        <v>1165.47721</v>
      </c>
      <c r="B1090" s="1">
        <v>2.513E-3</v>
      </c>
      <c r="C1090" s="1">
        <v>2.513E-3</v>
      </c>
      <c r="D1090" s="2" t="s">
        <v>0</v>
      </c>
      <c r="E1090">
        <v>1</v>
      </c>
      <c r="F1090" s="2" t="s">
        <v>2</v>
      </c>
      <c r="G1090">
        <v>1</v>
      </c>
      <c r="H1090">
        <v>0.5</v>
      </c>
      <c r="I1090" s="2" t="s">
        <v>0</v>
      </c>
      <c r="J1090">
        <v>1</v>
      </c>
      <c r="K1090" s="2" t="s">
        <v>2</v>
      </c>
      <c r="L1090">
        <v>0</v>
      </c>
      <c r="M1090">
        <v>1.5</v>
      </c>
      <c r="N1090" s="2" t="s">
        <v>18</v>
      </c>
      <c r="O1090" t="str">
        <f>D1090&amp;"-"&amp;E1090&amp;"-"&amp;F1090&amp;"-"&amp;G1090&amp;"-"&amp;H1090</f>
        <v>X-1-e-1-0.5</v>
      </c>
      <c r="P1090" t="str">
        <f>I1090&amp;"-"&amp;J1090&amp;"-"&amp;K1090&amp;"-"&amp;L1090&amp;"-"&amp;M1090</f>
        <v>X-1-e-0-1.5</v>
      </c>
      <c r="Q1090">
        <f>A1090+R1090</f>
        <v>1172.805539</v>
      </c>
      <c r="R1090">
        <f>_xlfn.IFNA(VLOOKUP(P1090,PGOPHER!A$2:G$181,7,FALSE),_xlfn.IFNA(VLOOKUP(P1090,en!A$2:I$768,7,FALSE),-10000))</f>
        <v>7.3283290000000001</v>
      </c>
      <c r="S1090">
        <f>IF(O1090=O1089,Q1089+S1089,Q1090)</f>
        <v>1172.805539</v>
      </c>
      <c r="T1090">
        <f>IF(O1090=O1089,T1089+1,1)</f>
        <v>1</v>
      </c>
      <c r="U1090" t="str">
        <f>IF(O1090=O1091,"",S1090/T1090)</f>
        <v/>
      </c>
      <c r="V1090" t="str">
        <f>IF(U1090="","",IF(ABS(Q1090-U1090)&gt;V$1,"error",""))</f>
        <v/>
      </c>
    </row>
    <row r="1091" spans="1:22" x14ac:dyDescent="0.55000000000000004">
      <c r="A1091">
        <v>1165.6633999999999</v>
      </c>
      <c r="B1091" s="1">
        <v>4.58E-2</v>
      </c>
      <c r="C1091" s="1">
        <v>4.58E-2</v>
      </c>
      <c r="D1091" s="2" t="s">
        <v>0</v>
      </c>
      <c r="E1091">
        <v>1</v>
      </c>
      <c r="F1091" s="2" t="s">
        <v>2</v>
      </c>
      <c r="G1091">
        <v>1</v>
      </c>
      <c r="H1091">
        <v>0.5</v>
      </c>
      <c r="I1091" s="2" t="s">
        <v>0</v>
      </c>
      <c r="J1091">
        <v>2</v>
      </c>
      <c r="K1091" s="2" t="s">
        <v>1</v>
      </c>
      <c r="L1091">
        <v>0</v>
      </c>
      <c r="M1091">
        <v>0.5</v>
      </c>
      <c r="N1091" s="2" t="s">
        <v>15</v>
      </c>
      <c r="O1091" t="str">
        <f>D1091&amp;"-"&amp;E1091&amp;"-"&amp;F1091&amp;"-"&amp;G1091&amp;"-"&amp;H1091</f>
        <v>X-1-e-1-0.5</v>
      </c>
      <c r="P1091" t="str">
        <f>I1091&amp;"-"&amp;J1091&amp;"-"&amp;K1091&amp;"-"&amp;L1091&amp;"-"&amp;M1091</f>
        <v>X-2-f-0-0.5</v>
      </c>
      <c r="Q1091">
        <f>A1091+R1091</f>
        <v>1172.8057779999999</v>
      </c>
      <c r="R1091">
        <f>_xlfn.IFNA(VLOOKUP(P1091,PGOPHER!A$2:G$181,7,FALSE),_xlfn.IFNA(VLOOKUP(P1091,en!A$2:I$768,7,FALSE),-10000))</f>
        <v>7.1423779999999999</v>
      </c>
      <c r="S1091">
        <f>IF(O1091=O1090,Q1090+S1090,Q1091)</f>
        <v>2345.6110779999999</v>
      </c>
      <c r="T1091">
        <f>IF(O1091=O1090,T1090+1,1)</f>
        <v>2</v>
      </c>
      <c r="U1091" t="str">
        <f>IF(O1091=O1092,"",S1091/T1091)</f>
        <v/>
      </c>
      <c r="V1091" t="str">
        <f>IF(U1091="","",IF(ABS(Q1091-U1091)&gt;V$1,"error",""))</f>
        <v/>
      </c>
    </row>
    <row r="1092" spans="1:22" x14ac:dyDescent="0.55000000000000004">
      <c r="A1092">
        <v>1165.4772</v>
      </c>
      <c r="B1092" s="1">
        <v>8.4100000000000008E-3</v>
      </c>
      <c r="C1092" s="1">
        <v>8.4100000000000008E-3</v>
      </c>
      <c r="D1092" s="2" t="s">
        <v>0</v>
      </c>
      <c r="E1092">
        <v>1</v>
      </c>
      <c r="F1092" s="2" t="s">
        <v>2</v>
      </c>
      <c r="G1092">
        <v>1</v>
      </c>
      <c r="H1092">
        <v>0.5</v>
      </c>
      <c r="I1092" s="2" t="s">
        <v>0</v>
      </c>
      <c r="J1092">
        <v>1</v>
      </c>
      <c r="K1092" s="2" t="s">
        <v>2</v>
      </c>
      <c r="L1092">
        <v>0</v>
      </c>
      <c r="M1092">
        <v>1.5</v>
      </c>
      <c r="N1092" s="2" t="s">
        <v>16</v>
      </c>
      <c r="O1092" t="str">
        <f>D1092&amp;"-"&amp;E1092&amp;"-"&amp;F1092&amp;"-"&amp;G1092&amp;"-"&amp;H1092</f>
        <v>X-1-e-1-0.5</v>
      </c>
      <c r="P1092" t="str">
        <f>I1092&amp;"-"&amp;J1092&amp;"-"&amp;K1092&amp;"-"&amp;L1092&amp;"-"&amp;M1092</f>
        <v>X-1-e-0-1.5</v>
      </c>
      <c r="Q1092">
        <f>A1092+R1092</f>
        <v>1172.805529</v>
      </c>
      <c r="R1092">
        <f>_xlfn.IFNA(VLOOKUP(P1092,PGOPHER!A$2:G$181,7,FALSE),_xlfn.IFNA(VLOOKUP(P1092,en!A$2:I$768,7,FALSE),-10000))</f>
        <v>7.3283290000000001</v>
      </c>
      <c r="S1092">
        <f>IF(O1092=O1091,Q1091+S1091,Q1092)</f>
        <v>3518.4168559999998</v>
      </c>
      <c r="T1092">
        <f>IF(O1092=O1091,T1091+1,1)</f>
        <v>3</v>
      </c>
      <c r="U1092">
        <f>IF(O1092=O1093,"",S1092/T1092)</f>
        <v>1172.8056186666665</v>
      </c>
      <c r="V1092" t="str">
        <f>IF(U1092="","",IF(ABS(Q1092-U1092)&gt;V$1,"error",""))</f>
        <v/>
      </c>
    </row>
    <row r="1093" spans="1:22" x14ac:dyDescent="0.55000000000000004">
      <c r="A1093">
        <v>1131.4824000000001</v>
      </c>
      <c r="B1093" s="1">
        <v>1E-3</v>
      </c>
      <c r="C1093" s="1">
        <v>1E-3</v>
      </c>
      <c r="D1093" s="2" t="s">
        <v>0</v>
      </c>
      <c r="E1093">
        <v>1</v>
      </c>
      <c r="F1093" s="2" t="s">
        <v>2</v>
      </c>
      <c r="G1093">
        <v>2</v>
      </c>
      <c r="H1093">
        <v>0.5</v>
      </c>
      <c r="I1093" s="2" t="s">
        <v>0</v>
      </c>
      <c r="J1093">
        <v>1</v>
      </c>
      <c r="K1093" s="2" t="s">
        <v>2</v>
      </c>
      <c r="L1093">
        <v>1</v>
      </c>
      <c r="M1093">
        <v>1.5</v>
      </c>
      <c r="N1093" s="2" t="s">
        <v>389</v>
      </c>
      <c r="O1093" t="str">
        <f>D1093&amp;"-"&amp;E1093&amp;"-"&amp;F1093&amp;"-"&amp;G1093&amp;"-"&amp;H1093</f>
        <v>X-1-e-2-0.5</v>
      </c>
      <c r="P1093" t="str">
        <f>I1093&amp;"-"&amp;J1093&amp;"-"&amp;K1093&amp;"-"&amp;L1093&amp;"-"&amp;M1093</f>
        <v>X-1-e-1-1.5</v>
      </c>
      <c r="Q1093">
        <f>A1093+R1093</f>
        <v>2311.4509349999998</v>
      </c>
      <c r="R1093">
        <f>_xlfn.IFNA(VLOOKUP(P1093,PGOPHER!A$2:G$181,7,FALSE),_xlfn.IFNA(VLOOKUP(P1093,en!A$2:I$768,7,FALSE),-10000))</f>
        <v>1179.968535</v>
      </c>
      <c r="S1093">
        <f>IF(O1093=O1092,Q1092+S1092,Q1093)</f>
        <v>2311.4509349999998</v>
      </c>
      <c r="T1093">
        <f>IF(O1093=O1092,T1092+1,1)</f>
        <v>1</v>
      </c>
      <c r="U1093">
        <f>IF(O1093=O1094,"",S1093/T1093)</f>
        <v>2311.4509349999998</v>
      </c>
      <c r="V1093" t="str">
        <f>IF(U1093="","",IF(ABS(Q1093-U1093)&gt;V$1,"error",""))</f>
        <v/>
      </c>
    </row>
    <row r="1094" spans="1:22" x14ac:dyDescent="0.55000000000000004">
      <c r="A1094">
        <v>7.1423779999999999</v>
      </c>
      <c r="B1094" s="1">
        <v>5.0000000000000004E-6</v>
      </c>
      <c r="C1094" s="1">
        <v>5.0000000000000004E-6</v>
      </c>
      <c r="D1094" s="2" t="s">
        <v>0</v>
      </c>
      <c r="E1094">
        <v>2</v>
      </c>
      <c r="F1094" s="2" t="s">
        <v>1</v>
      </c>
      <c r="G1094">
        <v>0</v>
      </c>
      <c r="H1094">
        <v>0.5</v>
      </c>
      <c r="I1094" s="2" t="s">
        <v>0</v>
      </c>
      <c r="J1094">
        <v>1</v>
      </c>
      <c r="K1094" s="2" t="s">
        <v>2</v>
      </c>
      <c r="L1094">
        <v>0</v>
      </c>
      <c r="M1094">
        <v>0.5</v>
      </c>
      <c r="N1094" s="2" t="s">
        <v>4</v>
      </c>
      <c r="O1094" t="str">
        <f>D1094&amp;"-"&amp;E1094&amp;"-"&amp;F1094&amp;"-"&amp;G1094&amp;"-"&amp;H1094</f>
        <v>X-2-f-0-0.5</v>
      </c>
      <c r="P1094" t="str">
        <f>I1094&amp;"-"&amp;J1094&amp;"-"&amp;K1094&amp;"-"&amp;L1094&amp;"-"&amp;M1094</f>
        <v>X-1-e-0-0.5</v>
      </c>
      <c r="Q1094">
        <f>A1094+R1094</f>
        <v>7.1423779999999999</v>
      </c>
      <c r="R1094">
        <f>_xlfn.IFNA(VLOOKUP(P1094,PGOPHER!A$2:G$181,7,FALSE),_xlfn.IFNA(VLOOKUP(P1094,en!A$2:I$768,7,FALSE),-10000))</f>
        <v>0</v>
      </c>
      <c r="S1094">
        <f>IF(O1094=O1093,Q1093+S1093,Q1094)</f>
        <v>7.1423779999999999</v>
      </c>
      <c r="T1094">
        <f>IF(O1094=O1093,T1093+1,1)</f>
        <v>1</v>
      </c>
      <c r="U1094" t="str">
        <f>IF(O1094=O1095,"",S1094/T1094)</f>
        <v/>
      </c>
      <c r="V1094" t="str">
        <f>IF(U1094="","",IF(ABS(Q1094-U1094)&gt;V$1,"error",""))</f>
        <v/>
      </c>
    </row>
    <row r="1095" spans="1:22" x14ac:dyDescent="0.55000000000000004">
      <c r="A1095">
        <v>7.1424000000000003</v>
      </c>
      <c r="B1095" s="1">
        <v>1.7299999999999999E-2</v>
      </c>
      <c r="C1095" s="1">
        <v>1.7299999999999999E-2</v>
      </c>
      <c r="D1095" s="2" t="s">
        <v>0</v>
      </c>
      <c r="E1095">
        <v>2</v>
      </c>
      <c r="F1095" s="2" t="s">
        <v>1</v>
      </c>
      <c r="G1095">
        <v>0</v>
      </c>
      <c r="H1095">
        <v>0.5</v>
      </c>
      <c r="I1095" s="2" t="s">
        <v>0</v>
      </c>
      <c r="J1095">
        <v>1</v>
      </c>
      <c r="K1095" s="2" t="s">
        <v>2</v>
      </c>
      <c r="L1095">
        <v>0</v>
      </c>
      <c r="M1095">
        <v>0.5</v>
      </c>
      <c r="N1095" s="2" t="s">
        <v>3</v>
      </c>
      <c r="O1095" t="str">
        <f>D1095&amp;"-"&amp;E1095&amp;"-"&amp;F1095&amp;"-"&amp;G1095&amp;"-"&amp;H1095</f>
        <v>X-2-f-0-0.5</v>
      </c>
      <c r="P1095" t="str">
        <f>I1095&amp;"-"&amp;J1095&amp;"-"&amp;K1095&amp;"-"&amp;L1095&amp;"-"&amp;M1095</f>
        <v>X-1-e-0-0.5</v>
      </c>
      <c r="Q1095">
        <f>A1095+R1095</f>
        <v>7.1424000000000003</v>
      </c>
      <c r="R1095">
        <f>_xlfn.IFNA(VLOOKUP(P1095,PGOPHER!A$2:G$181,7,FALSE),_xlfn.IFNA(VLOOKUP(P1095,en!A$2:I$768,7,FALSE),-10000))</f>
        <v>0</v>
      </c>
      <c r="S1095">
        <f>IF(O1095=O1094,Q1094+S1094,Q1095)</f>
        <v>14.284756</v>
      </c>
      <c r="T1095">
        <f>IF(O1095=O1094,T1094+1,1)</f>
        <v>2</v>
      </c>
      <c r="U1095">
        <f>IF(O1095=O1096,"",S1095/T1095)</f>
        <v>7.1423779999999999</v>
      </c>
      <c r="V1095" t="str">
        <f>IF(U1095="","",IF(ABS(Q1095-U1095)&gt;V$1,"error",""))</f>
        <v/>
      </c>
    </row>
    <row r="1096" spans="1:22" x14ac:dyDescent="0.55000000000000004">
      <c r="A1096">
        <v>1158.1783</v>
      </c>
      <c r="B1096" s="1">
        <v>1E-3</v>
      </c>
      <c r="C1096" s="1">
        <v>1E-3</v>
      </c>
      <c r="D1096" s="2" t="s">
        <v>0</v>
      </c>
      <c r="E1096">
        <v>2</v>
      </c>
      <c r="F1096" s="2" t="s">
        <v>1</v>
      </c>
      <c r="G1096">
        <v>1</v>
      </c>
      <c r="H1096">
        <v>0.5</v>
      </c>
      <c r="I1096" s="2" t="s">
        <v>0</v>
      </c>
      <c r="J1096">
        <v>2</v>
      </c>
      <c r="K1096" s="2" t="s">
        <v>1</v>
      </c>
      <c r="L1096">
        <v>0</v>
      </c>
      <c r="M1096">
        <v>1.5</v>
      </c>
      <c r="N1096" s="2" t="s">
        <v>17</v>
      </c>
      <c r="O1096" t="str">
        <f>D1096&amp;"-"&amp;E1096&amp;"-"&amp;F1096&amp;"-"&amp;G1096&amp;"-"&amp;H1096</f>
        <v>X-2-f-1-0.5</v>
      </c>
      <c r="P1096" t="str">
        <f>I1096&amp;"-"&amp;J1096&amp;"-"&amp;K1096&amp;"-"&amp;L1096&amp;"-"&amp;M1096</f>
        <v>X-2-f-0-1.5</v>
      </c>
      <c r="Q1096">
        <f>A1096+R1096</f>
        <v>1179.788196</v>
      </c>
      <c r="R1096">
        <f>_xlfn.IFNA(VLOOKUP(P1096,PGOPHER!A$2:G$181,7,FALSE),_xlfn.IFNA(VLOOKUP(P1096,en!A$2:I$768,7,FALSE),-10000))</f>
        <v>21.609895999999999</v>
      </c>
      <c r="S1096">
        <f>IF(O1096=O1095,Q1095+S1095,Q1096)</f>
        <v>1179.788196</v>
      </c>
      <c r="T1096">
        <f>IF(O1096=O1095,T1095+1,1)</f>
        <v>1</v>
      </c>
      <c r="U1096" t="str">
        <f>IF(O1096=O1097,"",S1096/T1096)</f>
        <v/>
      </c>
      <c r="V1096" t="str">
        <f>IF(U1096="","",IF(ABS(Q1096-U1096)&gt;V$1,"error",""))</f>
        <v/>
      </c>
    </row>
    <row r="1097" spans="1:22" x14ac:dyDescent="0.55000000000000004">
      <c r="A1097">
        <v>1179.7891</v>
      </c>
      <c r="B1097" s="1">
        <v>2.8400000000000002E-2</v>
      </c>
      <c r="C1097" s="1">
        <v>2.8400000000000002E-2</v>
      </c>
      <c r="D1097" s="2" t="s">
        <v>0</v>
      </c>
      <c r="E1097">
        <v>2</v>
      </c>
      <c r="F1097" s="2" t="s">
        <v>1</v>
      </c>
      <c r="G1097">
        <v>1</v>
      </c>
      <c r="H1097">
        <v>0.5</v>
      </c>
      <c r="I1097" s="2" t="s">
        <v>0</v>
      </c>
      <c r="J1097">
        <v>1</v>
      </c>
      <c r="K1097" s="2" t="s">
        <v>2</v>
      </c>
      <c r="L1097">
        <v>0</v>
      </c>
      <c r="M1097">
        <v>0.5</v>
      </c>
      <c r="N1097" s="2" t="s">
        <v>14</v>
      </c>
      <c r="O1097" t="str">
        <f>D1097&amp;"-"&amp;E1097&amp;"-"&amp;F1097&amp;"-"&amp;G1097&amp;"-"&amp;H1097</f>
        <v>X-2-f-1-0.5</v>
      </c>
      <c r="P1097" t="str">
        <f>I1097&amp;"-"&amp;J1097&amp;"-"&amp;K1097&amp;"-"&amp;L1097&amp;"-"&amp;M1097</f>
        <v>X-1-e-0-0.5</v>
      </c>
      <c r="Q1097">
        <f>A1097+R1097</f>
        <v>1179.7891</v>
      </c>
      <c r="R1097">
        <f>_xlfn.IFNA(VLOOKUP(P1097,PGOPHER!A$2:G$181,7,FALSE),_xlfn.IFNA(VLOOKUP(P1097,en!A$2:I$768,7,FALSE),-10000))</f>
        <v>0</v>
      </c>
      <c r="S1097">
        <f>IF(O1097=O1096,Q1096+S1096,Q1097)</f>
        <v>2359.5763919999999</v>
      </c>
      <c r="T1097">
        <f>IF(O1097=O1096,T1096+1,1)</f>
        <v>2</v>
      </c>
      <c r="U1097" t="str">
        <f>IF(O1097=O1098,"",S1097/T1097)</f>
        <v/>
      </c>
      <c r="V1097" t="str">
        <f>IF(U1097="","",IF(ABS(Q1097-U1097)&gt;V$1,"error",""))</f>
        <v/>
      </c>
    </row>
    <row r="1098" spans="1:22" x14ac:dyDescent="0.55000000000000004">
      <c r="A1098">
        <v>1158.1782599999999</v>
      </c>
      <c r="B1098" s="1">
        <v>1E-3</v>
      </c>
      <c r="C1098" s="1">
        <v>1E-3</v>
      </c>
      <c r="D1098" s="2" t="s">
        <v>0</v>
      </c>
      <c r="E1098">
        <v>2</v>
      </c>
      <c r="F1098" s="2" t="s">
        <v>1</v>
      </c>
      <c r="G1098">
        <v>1</v>
      </c>
      <c r="H1098">
        <v>0.5</v>
      </c>
      <c r="I1098" s="2" t="s">
        <v>0</v>
      </c>
      <c r="J1098">
        <v>2</v>
      </c>
      <c r="K1098" s="2" t="s">
        <v>1</v>
      </c>
      <c r="L1098">
        <v>0</v>
      </c>
      <c r="M1098">
        <v>1.5</v>
      </c>
      <c r="N1098" s="2" t="s">
        <v>19</v>
      </c>
      <c r="O1098" t="str">
        <f>D1098&amp;"-"&amp;E1098&amp;"-"&amp;F1098&amp;"-"&amp;G1098&amp;"-"&amp;H1098</f>
        <v>X-2-f-1-0.5</v>
      </c>
      <c r="P1098" t="str">
        <f>I1098&amp;"-"&amp;J1098&amp;"-"&amp;K1098&amp;"-"&amp;L1098&amp;"-"&amp;M1098</f>
        <v>X-2-f-0-1.5</v>
      </c>
      <c r="Q1098">
        <f>A1098+R1098</f>
        <v>1179.7881559999998</v>
      </c>
      <c r="R1098">
        <f>_xlfn.IFNA(VLOOKUP(P1098,PGOPHER!A$2:G$181,7,FALSE),_xlfn.IFNA(VLOOKUP(P1098,en!A$2:I$768,7,FALSE),-10000))</f>
        <v>21.609895999999999</v>
      </c>
      <c r="S1098">
        <f>IF(O1098=O1097,Q1097+S1097,Q1098)</f>
        <v>3539.3654919999999</v>
      </c>
      <c r="T1098">
        <f>IF(O1098=O1097,T1097+1,1)</f>
        <v>3</v>
      </c>
      <c r="U1098">
        <f>IF(O1098=O1099,"",S1098/T1098)</f>
        <v>1179.7884973333332</v>
      </c>
      <c r="V1098" t="str">
        <f>IF(U1098="","",IF(ABS(Q1098-U1098)&gt;V$1,"error",""))</f>
        <v/>
      </c>
    </row>
    <row r="1099" spans="1:22" x14ac:dyDescent="0.55000000000000004">
      <c r="A1099">
        <v>1124.3420000000001</v>
      </c>
      <c r="B1099" s="1">
        <v>1.44E-2</v>
      </c>
      <c r="C1099" s="1">
        <v>1.44E-2</v>
      </c>
      <c r="D1099" s="2" t="s">
        <v>0</v>
      </c>
      <c r="E1099">
        <v>2</v>
      </c>
      <c r="F1099" s="2" t="s">
        <v>1</v>
      </c>
      <c r="G1099">
        <v>2</v>
      </c>
      <c r="H1099">
        <v>0.5</v>
      </c>
      <c r="I1099" s="2" t="s">
        <v>0</v>
      </c>
      <c r="J1099">
        <v>2</v>
      </c>
      <c r="K1099" s="2" t="s">
        <v>1</v>
      </c>
      <c r="L1099">
        <v>1</v>
      </c>
      <c r="M1099">
        <v>1.5</v>
      </c>
      <c r="N1099" s="2" t="s">
        <v>390</v>
      </c>
      <c r="O1099" t="str">
        <f>D1099&amp;"-"&amp;E1099&amp;"-"&amp;F1099&amp;"-"&amp;G1099&amp;"-"&amp;H1099</f>
        <v>X-2-f-2-0.5</v>
      </c>
      <c r="P1099" t="str">
        <f>I1099&amp;"-"&amp;J1099&amp;"-"&amp;K1099&amp;"-"&amp;L1099&amp;"-"&amp;M1099</f>
        <v>X-2-f-1-1.5</v>
      </c>
      <c r="Q1099">
        <f>A1099+R1099</f>
        <v>2318.279125</v>
      </c>
      <c r="R1099">
        <f>_xlfn.IFNA(VLOOKUP(P1099,PGOPHER!A$2:G$181,7,FALSE),_xlfn.IFNA(VLOOKUP(P1099,en!A$2:I$768,7,FALSE),-10000))</f>
        <v>1193.9371249999999</v>
      </c>
      <c r="S1099">
        <f>IF(O1099=O1098,Q1098+S1098,Q1099)</f>
        <v>2318.279125</v>
      </c>
      <c r="T1099">
        <f>IF(O1099=O1098,T1098+1,1)</f>
        <v>1</v>
      </c>
      <c r="U1099">
        <f>IF(O1099=O1100,"",S1099/T1099)</f>
        <v>2318.279125</v>
      </c>
      <c r="V1099" t="str">
        <f>IF(U1099="","",IF(ABS(Q1099-U1099)&gt;V$1,"error",""))</f>
        <v/>
      </c>
    </row>
    <row r="1100" spans="1:22" x14ac:dyDescent="0.55000000000000004">
      <c r="A1100">
        <v>1090.4373000000001</v>
      </c>
      <c r="B1100" s="1">
        <v>1E-3</v>
      </c>
      <c r="C1100" s="1">
        <v>1E-3</v>
      </c>
      <c r="D1100" s="2" t="s">
        <v>0</v>
      </c>
      <c r="E1100">
        <v>2</v>
      </c>
      <c r="F1100" s="2" t="s">
        <v>1</v>
      </c>
      <c r="G1100">
        <v>3</v>
      </c>
      <c r="H1100">
        <v>0.5</v>
      </c>
      <c r="I1100" s="2" t="s">
        <v>0</v>
      </c>
      <c r="J1100">
        <v>2</v>
      </c>
      <c r="K1100" s="2" t="s">
        <v>1</v>
      </c>
      <c r="L1100">
        <v>2</v>
      </c>
      <c r="M1100">
        <v>1.5</v>
      </c>
      <c r="N1100" s="2" t="s">
        <v>517</v>
      </c>
      <c r="O1100" t="str">
        <f>D1100&amp;"-"&amp;E1100&amp;"-"&amp;F1100&amp;"-"&amp;G1100&amp;"-"&amp;H1100</f>
        <v>X-2-f-3-0.5</v>
      </c>
      <c r="P1100" t="str">
        <f>I1100&amp;"-"&amp;J1100&amp;"-"&amp;K1100&amp;"-"&amp;L1100&amp;"-"&amp;M1100</f>
        <v>X-2-f-2-1.5</v>
      </c>
      <c r="Q1100">
        <f>A1100+R1100</f>
        <v>3422.5452380000002</v>
      </c>
      <c r="R1100">
        <f>_xlfn.IFNA(VLOOKUP(P1100,PGOPHER!A$2:G$181,7,FALSE),_xlfn.IFNA(VLOOKUP(P1100,en!A$2:I$768,7,FALSE),-10000))</f>
        <v>2332.1079380000001</v>
      </c>
      <c r="S1100">
        <f>IF(O1100=O1099,Q1099+S1099,Q1100)</f>
        <v>3422.5452380000002</v>
      </c>
      <c r="T1100">
        <f>IF(O1100=O1099,T1099+1,1)</f>
        <v>1</v>
      </c>
      <c r="U1100">
        <f>IF(O1100=O1101,"",S1100/T1100)</f>
        <v>3422.5452380000002</v>
      </c>
      <c r="V1100" t="str">
        <f>IF(U1100="","",IF(ABS(Q1100-U1100)&gt;V$1,"error",""))</f>
        <v/>
      </c>
    </row>
    <row r="1101" spans="1:22" x14ac:dyDescent="0.55000000000000004">
      <c r="A1101">
        <v>7.3283250000000004</v>
      </c>
      <c r="B1101" s="1">
        <v>1.0000000000000001E-5</v>
      </c>
      <c r="C1101" s="1">
        <v>1.0000000000000001E-5</v>
      </c>
      <c r="D1101" s="2" t="s">
        <v>0</v>
      </c>
      <c r="E1101">
        <v>1</v>
      </c>
      <c r="F1101" s="2" t="s">
        <v>2</v>
      </c>
      <c r="G1101">
        <v>0</v>
      </c>
      <c r="H1101">
        <v>1.5</v>
      </c>
      <c r="I1101" s="2" t="s">
        <v>0</v>
      </c>
      <c r="J1101">
        <v>1</v>
      </c>
      <c r="K1101" s="2" t="s">
        <v>2</v>
      </c>
      <c r="L1101">
        <v>0</v>
      </c>
      <c r="M1101">
        <v>0.5</v>
      </c>
      <c r="N1101" s="2" t="s">
        <v>9</v>
      </c>
      <c r="O1101" t="str">
        <f>D1101&amp;"-"&amp;E1101&amp;"-"&amp;F1101&amp;"-"&amp;G1101&amp;"-"&amp;H1101</f>
        <v>X-1-e-0-1.5</v>
      </c>
      <c r="P1101" t="str">
        <f>I1101&amp;"-"&amp;J1101&amp;"-"&amp;K1101&amp;"-"&amp;L1101&amp;"-"&amp;M1101</f>
        <v>X-1-e-0-0.5</v>
      </c>
      <c r="Q1101">
        <f>A1101+R1101</f>
        <v>7.3283250000000004</v>
      </c>
      <c r="R1101">
        <f>_xlfn.IFNA(VLOOKUP(P1101,PGOPHER!A$2:G$181,7,FALSE),_xlfn.IFNA(VLOOKUP(P1101,en!A$2:I$768,7,FALSE),-10000))</f>
        <v>0</v>
      </c>
      <c r="S1101">
        <f>IF(O1101=O1100,Q1100+S1100,Q1101)</f>
        <v>7.3283250000000004</v>
      </c>
      <c r="T1101">
        <f>IF(O1101=O1100,T1100+1,1)</f>
        <v>1</v>
      </c>
      <c r="U1101" t="str">
        <f>IF(O1101=O1102,"",S1101/T1101)</f>
        <v/>
      </c>
      <c r="V1101" t="str">
        <f>IF(U1101="","",IF(ABS(Q1101-U1101)&gt;V$1,"error",""))</f>
        <v/>
      </c>
    </row>
    <row r="1102" spans="1:22" x14ac:dyDescent="0.55000000000000004">
      <c r="A1102">
        <v>7.3283300000000002</v>
      </c>
      <c r="B1102" s="1">
        <v>5.0000000000000004E-6</v>
      </c>
      <c r="C1102" s="1">
        <v>5.0000000000000004E-6</v>
      </c>
      <c r="D1102" s="2" t="s">
        <v>0</v>
      </c>
      <c r="E1102">
        <v>1</v>
      </c>
      <c r="F1102" s="2" t="s">
        <v>2</v>
      </c>
      <c r="G1102">
        <v>0</v>
      </c>
      <c r="H1102">
        <v>1.5</v>
      </c>
      <c r="I1102" s="2" t="s">
        <v>0</v>
      </c>
      <c r="J1102">
        <v>1</v>
      </c>
      <c r="K1102" s="2" t="s">
        <v>2</v>
      </c>
      <c r="L1102">
        <v>0</v>
      </c>
      <c r="M1102">
        <v>0.5</v>
      </c>
      <c r="N1102" s="2" t="s">
        <v>7</v>
      </c>
      <c r="O1102" t="str">
        <f>D1102&amp;"-"&amp;E1102&amp;"-"&amp;F1102&amp;"-"&amp;G1102&amp;"-"&amp;H1102</f>
        <v>X-1-e-0-1.5</v>
      </c>
      <c r="P1102" t="str">
        <f>I1102&amp;"-"&amp;J1102&amp;"-"&amp;K1102&amp;"-"&amp;L1102&amp;"-"&amp;M1102</f>
        <v>X-1-e-0-0.5</v>
      </c>
      <c r="Q1102">
        <f>A1102+R1102</f>
        <v>7.3283300000000002</v>
      </c>
      <c r="R1102">
        <f>_xlfn.IFNA(VLOOKUP(P1102,PGOPHER!A$2:G$181,7,FALSE),_xlfn.IFNA(VLOOKUP(P1102,en!A$2:I$768,7,FALSE),-10000))</f>
        <v>0</v>
      </c>
      <c r="S1102">
        <f>IF(O1102=O1101,Q1101+S1101,Q1102)</f>
        <v>14.656650000000001</v>
      </c>
      <c r="T1102">
        <f>IF(O1102=O1101,T1101+1,1)</f>
        <v>2</v>
      </c>
      <c r="U1102" t="str">
        <f>IF(O1102=O1103,"",S1102/T1102)</f>
        <v/>
      </c>
      <c r="V1102" t="str">
        <f>IF(U1102="","",IF(ABS(Q1102-U1102)&gt;V$1,"error",""))</f>
        <v/>
      </c>
    </row>
    <row r="1103" spans="1:22" x14ac:dyDescent="0.55000000000000004">
      <c r="A1103">
        <v>7.3282999999999996</v>
      </c>
      <c r="B1103" s="1">
        <v>4.1000000000000002E-2</v>
      </c>
      <c r="C1103" s="1">
        <v>4.1000000000000002E-2</v>
      </c>
      <c r="D1103" s="2" t="s">
        <v>0</v>
      </c>
      <c r="E1103">
        <v>1</v>
      </c>
      <c r="F1103" s="2" t="s">
        <v>2</v>
      </c>
      <c r="G1103">
        <v>0</v>
      </c>
      <c r="H1103">
        <v>1.5</v>
      </c>
      <c r="I1103" s="2" t="s">
        <v>0</v>
      </c>
      <c r="J1103">
        <v>1</v>
      </c>
      <c r="K1103" s="2" t="s">
        <v>2</v>
      </c>
      <c r="L1103">
        <v>0</v>
      </c>
      <c r="M1103">
        <v>0.5</v>
      </c>
      <c r="N1103" s="2" t="s">
        <v>5</v>
      </c>
      <c r="O1103" t="str">
        <f>D1103&amp;"-"&amp;E1103&amp;"-"&amp;F1103&amp;"-"&amp;G1103&amp;"-"&amp;H1103</f>
        <v>X-1-e-0-1.5</v>
      </c>
      <c r="P1103" t="str">
        <f>I1103&amp;"-"&amp;J1103&amp;"-"&amp;K1103&amp;"-"&amp;L1103&amp;"-"&amp;M1103</f>
        <v>X-1-e-0-0.5</v>
      </c>
      <c r="Q1103">
        <f>A1103+R1103</f>
        <v>7.3282999999999996</v>
      </c>
      <c r="R1103">
        <f>_xlfn.IFNA(VLOOKUP(P1103,PGOPHER!A$2:G$181,7,FALSE),_xlfn.IFNA(VLOOKUP(P1103,en!A$2:I$768,7,FALSE),-10000))</f>
        <v>0</v>
      </c>
      <c r="S1103">
        <f>IF(O1103=O1102,Q1102+S1102,Q1103)</f>
        <v>21.98498</v>
      </c>
      <c r="T1103">
        <f>IF(O1103=O1102,T1102+1,1)</f>
        <v>3</v>
      </c>
      <c r="U1103">
        <f>IF(O1103=O1104,"",S1103/T1103)</f>
        <v>7.3283266666666664</v>
      </c>
      <c r="V1103" t="str">
        <f>IF(U1103="","",IF(ABS(Q1103-U1103)&gt;V$1,"error",""))</f>
        <v/>
      </c>
    </row>
    <row r="1104" spans="1:22" x14ac:dyDescent="0.55000000000000004">
      <c r="A1104">
        <v>1179.9686999999999</v>
      </c>
      <c r="B1104" s="1">
        <v>4.1000000000000002E-2</v>
      </c>
      <c r="C1104" s="1">
        <v>4.1000000000000002E-2</v>
      </c>
      <c r="D1104" s="2" t="s">
        <v>0</v>
      </c>
      <c r="E1104">
        <v>1</v>
      </c>
      <c r="F1104" s="2" t="s">
        <v>2</v>
      </c>
      <c r="G1104">
        <v>1</v>
      </c>
      <c r="H1104">
        <v>1.5</v>
      </c>
      <c r="I1104" s="2" t="s">
        <v>0</v>
      </c>
      <c r="J1104">
        <v>1</v>
      </c>
      <c r="K1104" s="2" t="s">
        <v>2</v>
      </c>
      <c r="L1104">
        <v>0</v>
      </c>
      <c r="M1104">
        <v>0.5</v>
      </c>
      <c r="N1104" s="2" t="s">
        <v>21</v>
      </c>
      <c r="O1104" t="str">
        <f>D1104&amp;"-"&amp;E1104&amp;"-"&amp;F1104&amp;"-"&amp;G1104&amp;"-"&amp;H1104</f>
        <v>X-1-e-1-1.5</v>
      </c>
      <c r="P1104" t="str">
        <f>I1104&amp;"-"&amp;J1104&amp;"-"&amp;K1104&amp;"-"&amp;L1104&amp;"-"&amp;M1104</f>
        <v>X-1-e-0-0.5</v>
      </c>
      <c r="Q1104">
        <f>A1104+R1104</f>
        <v>1179.9686999999999</v>
      </c>
      <c r="R1104">
        <f>_xlfn.IFNA(VLOOKUP(P1104,PGOPHER!A$2:G$181,7,FALSE),_xlfn.IFNA(VLOOKUP(P1104,en!A$2:I$768,7,FALSE),-10000))</f>
        <v>0</v>
      </c>
      <c r="S1104">
        <f>IF(O1104=O1103,Q1103+S1103,Q1104)</f>
        <v>1179.9686999999999</v>
      </c>
      <c r="T1104">
        <f>IF(O1104=O1103,T1103+1,1)</f>
        <v>1</v>
      </c>
      <c r="U1104" t="str">
        <f>IF(O1104=O1105,"",S1104/T1104)</f>
        <v/>
      </c>
      <c r="V1104" t="str">
        <f>IF(U1104="","",IF(ABS(Q1104-U1104)&gt;V$1,"error",""))</f>
        <v/>
      </c>
    </row>
    <row r="1105" spans="1:22" x14ac:dyDescent="0.55000000000000004">
      <c r="A1105">
        <v>1179.9686799999999</v>
      </c>
      <c r="B1105" s="1">
        <v>1E-3</v>
      </c>
      <c r="C1105" s="1">
        <v>1E-3</v>
      </c>
      <c r="D1105" s="2" t="s">
        <v>0</v>
      </c>
      <c r="E1105">
        <v>1</v>
      </c>
      <c r="F1105" s="2" t="s">
        <v>2</v>
      </c>
      <c r="G1105">
        <v>1</v>
      </c>
      <c r="H1105">
        <v>1.5</v>
      </c>
      <c r="I1105" s="2" t="s">
        <v>0</v>
      </c>
      <c r="J1105">
        <v>1</v>
      </c>
      <c r="K1105" s="2" t="s">
        <v>2</v>
      </c>
      <c r="L1105">
        <v>0</v>
      </c>
      <c r="M1105">
        <v>0.5</v>
      </c>
      <c r="N1105" s="2" t="s">
        <v>29</v>
      </c>
      <c r="O1105" t="str">
        <f>D1105&amp;"-"&amp;E1105&amp;"-"&amp;F1105&amp;"-"&amp;G1105&amp;"-"&amp;H1105</f>
        <v>X-1-e-1-1.5</v>
      </c>
      <c r="P1105" t="str">
        <f>I1105&amp;"-"&amp;J1105&amp;"-"&amp;K1105&amp;"-"&amp;L1105&amp;"-"&amp;M1105</f>
        <v>X-1-e-0-0.5</v>
      </c>
      <c r="Q1105">
        <f>A1105+R1105</f>
        <v>1179.9686799999999</v>
      </c>
      <c r="R1105">
        <f>_xlfn.IFNA(VLOOKUP(P1105,PGOPHER!A$2:G$181,7,FALSE),_xlfn.IFNA(VLOOKUP(P1105,en!A$2:I$768,7,FALSE),-10000))</f>
        <v>0</v>
      </c>
      <c r="S1105">
        <f>IF(O1105=O1104,Q1104+S1104,Q1105)</f>
        <v>2359.9373999999998</v>
      </c>
      <c r="T1105">
        <f>IF(O1105=O1104,T1104+1,1)</f>
        <v>2</v>
      </c>
      <c r="U1105" t="str">
        <f>IF(O1105=O1106,"",S1105/T1105)</f>
        <v/>
      </c>
      <c r="V1105" t="str">
        <f>IF(U1105="","",IF(ABS(Q1105-U1105)&gt;V$1,"error",""))</f>
        <v/>
      </c>
    </row>
    <row r="1106" spans="1:22" x14ac:dyDescent="0.55000000000000004">
      <c r="A1106">
        <v>1158.0489</v>
      </c>
      <c r="B1106" s="1">
        <v>1E-3</v>
      </c>
      <c r="C1106" s="1">
        <v>1E-3</v>
      </c>
      <c r="D1106" s="2" t="s">
        <v>0</v>
      </c>
      <c r="E1106">
        <v>1</v>
      </c>
      <c r="F1106" s="2" t="s">
        <v>2</v>
      </c>
      <c r="G1106">
        <v>1</v>
      </c>
      <c r="H1106">
        <v>1.5</v>
      </c>
      <c r="I1106" s="2" t="s">
        <v>0</v>
      </c>
      <c r="J1106">
        <v>1</v>
      </c>
      <c r="K1106" s="2" t="s">
        <v>2</v>
      </c>
      <c r="L1106">
        <v>0</v>
      </c>
      <c r="M1106">
        <v>2.5</v>
      </c>
      <c r="N1106" s="2" t="s">
        <v>24</v>
      </c>
      <c r="O1106" t="str">
        <f>D1106&amp;"-"&amp;E1106&amp;"-"&amp;F1106&amp;"-"&amp;G1106&amp;"-"&amp;H1106</f>
        <v>X-1-e-1-1.5</v>
      </c>
      <c r="P1106" t="str">
        <f>I1106&amp;"-"&amp;J1106&amp;"-"&amp;K1106&amp;"-"&amp;L1106&amp;"-"&amp;M1106</f>
        <v>X-1-e-0-2.5</v>
      </c>
      <c r="Q1106">
        <f>A1106+R1106</f>
        <v>1179.9685999999999</v>
      </c>
      <c r="R1106">
        <f>_xlfn.IFNA(VLOOKUP(P1106,PGOPHER!A$2:G$181,7,FALSE),_xlfn.IFNA(VLOOKUP(P1106,en!A$2:I$768,7,FALSE),-10000))</f>
        <v>21.919699999999999</v>
      </c>
      <c r="S1106">
        <f>IF(O1106=O1105,Q1105+S1105,Q1106)</f>
        <v>3539.9060799999997</v>
      </c>
      <c r="T1106">
        <f>IF(O1106=O1105,T1105+1,1)</f>
        <v>3</v>
      </c>
      <c r="U1106" t="str">
        <f>IF(O1106=O1107,"",S1106/T1106)</f>
        <v/>
      </c>
      <c r="V1106" t="str">
        <f>IF(U1106="","",IF(ABS(Q1106-U1106)&gt;V$1,"error",""))</f>
        <v/>
      </c>
    </row>
    <row r="1107" spans="1:22" x14ac:dyDescent="0.55000000000000004">
      <c r="A1107">
        <v>1158.0488800000001</v>
      </c>
      <c r="B1107" s="1">
        <v>1E-3</v>
      </c>
      <c r="C1107" s="1">
        <v>1E-3</v>
      </c>
      <c r="D1107" s="2" t="s">
        <v>0</v>
      </c>
      <c r="E1107">
        <v>1</v>
      </c>
      <c r="F1107" s="2" t="s">
        <v>2</v>
      </c>
      <c r="G1107">
        <v>1</v>
      </c>
      <c r="H1107">
        <v>1.5</v>
      </c>
      <c r="I1107" s="2" t="s">
        <v>0</v>
      </c>
      <c r="J1107">
        <v>1</v>
      </c>
      <c r="K1107" s="2" t="s">
        <v>2</v>
      </c>
      <c r="L1107">
        <v>0</v>
      </c>
      <c r="M1107">
        <v>2.5</v>
      </c>
      <c r="N1107" s="2" t="s">
        <v>30</v>
      </c>
      <c r="O1107" t="str">
        <f>D1107&amp;"-"&amp;E1107&amp;"-"&amp;F1107&amp;"-"&amp;G1107&amp;"-"&amp;H1107</f>
        <v>X-1-e-1-1.5</v>
      </c>
      <c r="P1107" t="str">
        <f>I1107&amp;"-"&amp;J1107&amp;"-"&amp;K1107&amp;"-"&amp;L1107&amp;"-"&amp;M1107</f>
        <v>X-1-e-0-2.5</v>
      </c>
      <c r="Q1107">
        <f>A1107+R1107</f>
        <v>1179.96858</v>
      </c>
      <c r="R1107">
        <f>_xlfn.IFNA(VLOOKUP(P1107,PGOPHER!A$2:G$181,7,FALSE),_xlfn.IFNA(VLOOKUP(P1107,en!A$2:I$768,7,FALSE),-10000))</f>
        <v>21.919699999999999</v>
      </c>
      <c r="S1107">
        <f>IF(O1107=O1106,Q1106+S1106,Q1107)</f>
        <v>4719.8746799999999</v>
      </c>
      <c r="T1107">
        <f>IF(O1107=O1106,T1106+1,1)</f>
        <v>4</v>
      </c>
      <c r="U1107">
        <f>IF(O1107=O1108,"",S1107/T1107)</f>
        <v>1179.96867</v>
      </c>
      <c r="V1107" t="str">
        <f>IF(U1107="","",IF(ABS(Q1107-U1107)&gt;V$1,"error",""))</f>
        <v/>
      </c>
    </row>
    <row r="1108" spans="1:22" x14ac:dyDescent="0.55000000000000004">
      <c r="A1108">
        <v>1124.2168999999999</v>
      </c>
      <c r="B1108" s="1">
        <v>7.4900000000000001E-3</v>
      </c>
      <c r="C1108" s="1">
        <v>7.4900000000000001E-3</v>
      </c>
      <c r="D1108" s="2" t="s">
        <v>0</v>
      </c>
      <c r="E1108">
        <v>1</v>
      </c>
      <c r="F1108" s="2" t="s">
        <v>2</v>
      </c>
      <c r="G1108">
        <v>2</v>
      </c>
      <c r="H1108">
        <v>1.5</v>
      </c>
      <c r="I1108" s="2" t="s">
        <v>0</v>
      </c>
      <c r="J1108">
        <v>1</v>
      </c>
      <c r="K1108" s="2" t="s">
        <v>2</v>
      </c>
      <c r="L1108">
        <v>1</v>
      </c>
      <c r="M1108">
        <v>2.5</v>
      </c>
      <c r="N1108" s="2" t="s">
        <v>393</v>
      </c>
      <c r="O1108" t="str">
        <f>D1108&amp;"-"&amp;E1108&amp;"-"&amp;F1108&amp;"-"&amp;G1108&amp;"-"&amp;H1108</f>
        <v>X-1-e-2-1.5</v>
      </c>
      <c r="P1108" t="str">
        <f>I1108&amp;"-"&amp;J1108&amp;"-"&amp;K1108&amp;"-"&amp;L1108&amp;"-"&amp;M1108</f>
        <v>X-1-e-1-2.5</v>
      </c>
      <c r="Q1108">
        <f>A1108+R1108</f>
        <v>2318.45372</v>
      </c>
      <c r="R1108">
        <f>_xlfn.IFNA(VLOOKUP(P1108,PGOPHER!A$2:G$181,7,FALSE),_xlfn.IFNA(VLOOKUP(P1108,en!A$2:I$768,7,FALSE),-10000))</f>
        <v>1194.2368200000001</v>
      </c>
      <c r="S1108">
        <f>IF(O1108=O1107,Q1107+S1107,Q1108)</f>
        <v>2318.45372</v>
      </c>
      <c r="T1108">
        <f>IF(O1108=O1107,T1107+1,1)</f>
        <v>1</v>
      </c>
      <c r="U1108" t="str">
        <f>IF(O1108=O1109,"",S1108/T1108)</f>
        <v/>
      </c>
      <c r="V1108" t="str">
        <f>IF(U1108="","",IF(ABS(Q1108-U1108)&gt;V$1,"error",""))</f>
        <v/>
      </c>
    </row>
    <row r="1109" spans="1:22" x14ac:dyDescent="0.55000000000000004">
      <c r="A1109">
        <v>1145.6492000000001</v>
      </c>
      <c r="B1109" s="1">
        <v>2.2599999999999999E-2</v>
      </c>
      <c r="C1109" s="1">
        <v>2.2599999999999999E-2</v>
      </c>
      <c r="D1109" s="2" t="s">
        <v>0</v>
      </c>
      <c r="E1109">
        <v>1</v>
      </c>
      <c r="F1109" s="2" t="s">
        <v>2</v>
      </c>
      <c r="G1109">
        <v>2</v>
      </c>
      <c r="H1109">
        <v>1.5</v>
      </c>
      <c r="I1109" s="2" t="s">
        <v>0</v>
      </c>
      <c r="J1109">
        <v>1</v>
      </c>
      <c r="K1109" s="2" t="s">
        <v>2</v>
      </c>
      <c r="L1109">
        <v>1</v>
      </c>
      <c r="M1109">
        <v>0.5</v>
      </c>
      <c r="N1109" s="2" t="s">
        <v>391</v>
      </c>
      <c r="O1109" t="str">
        <f>D1109&amp;"-"&amp;E1109&amp;"-"&amp;F1109&amp;"-"&amp;G1109&amp;"-"&amp;H1109</f>
        <v>X-1-e-2-1.5</v>
      </c>
      <c r="P1109" t="str">
        <f>I1109&amp;"-"&amp;J1109&amp;"-"&amp;K1109&amp;"-"&amp;L1109&amp;"-"&amp;M1109</f>
        <v>X-1-e-1-0.5</v>
      </c>
      <c r="Q1109">
        <f>A1109+R1109</f>
        <v>2318.4542410000004</v>
      </c>
      <c r="R1109">
        <f>_xlfn.IFNA(VLOOKUP(P1109,PGOPHER!A$2:G$181,7,FALSE),_xlfn.IFNA(VLOOKUP(P1109,en!A$2:I$768,7,FALSE),-10000))</f>
        <v>1172.8050410000001</v>
      </c>
      <c r="S1109">
        <f>IF(O1109=O1108,Q1108+S1108,Q1109)</f>
        <v>4636.90744</v>
      </c>
      <c r="T1109">
        <f>IF(O1109=O1108,T1108+1,1)</f>
        <v>2</v>
      </c>
      <c r="U1109">
        <f>IF(O1109=O1110,"",S1109/T1109)</f>
        <v>2318.45372</v>
      </c>
      <c r="V1109" t="str">
        <f>IF(U1109="","",IF(ABS(Q1109-U1109)&gt;V$1,"error",""))</f>
        <v/>
      </c>
    </row>
    <row r="1110" spans="1:22" x14ac:dyDescent="0.55000000000000004">
      <c r="A1110">
        <v>1090.3144</v>
      </c>
      <c r="B1110" s="1">
        <v>1E-3</v>
      </c>
      <c r="C1110" s="1">
        <v>1E-3</v>
      </c>
      <c r="D1110" s="2" t="s">
        <v>0</v>
      </c>
      <c r="E1110">
        <v>1</v>
      </c>
      <c r="F1110" s="2" t="s">
        <v>2</v>
      </c>
      <c r="G1110">
        <v>3</v>
      </c>
      <c r="H1110">
        <v>1.5</v>
      </c>
      <c r="I1110" s="2" t="s">
        <v>0</v>
      </c>
      <c r="J1110">
        <v>1</v>
      </c>
      <c r="K1110" s="2" t="s">
        <v>2</v>
      </c>
      <c r="L1110">
        <v>2</v>
      </c>
      <c r="M1110">
        <v>2.5</v>
      </c>
      <c r="N1110" s="2" t="s">
        <v>521</v>
      </c>
      <c r="O1110" t="str">
        <f>D1110&amp;"-"&amp;E1110&amp;"-"&amp;F1110&amp;"-"&amp;G1110&amp;"-"&amp;H1110</f>
        <v>X-1-e-3-1.5</v>
      </c>
      <c r="P1110" t="str">
        <f>I1110&amp;"-"&amp;J1110&amp;"-"&amp;K1110&amp;"-"&amp;L1110&amp;"-"&amp;M1110</f>
        <v>X-1-e-2-2.5</v>
      </c>
      <c r="Q1110">
        <f>A1110+R1110</f>
        <v>3422.7108699999999</v>
      </c>
      <c r="R1110">
        <f>_xlfn.IFNA(VLOOKUP(P1110,PGOPHER!A$2:G$181,7,FALSE),_xlfn.IFNA(VLOOKUP(P1110,en!A$2:I$768,7,FALSE),-10000))</f>
        <v>2332.3964700000001</v>
      </c>
      <c r="S1110">
        <f>IF(O1110=O1109,Q1109+S1109,Q1110)</f>
        <v>3422.7108699999999</v>
      </c>
      <c r="T1110">
        <f>IF(O1110=O1109,T1109+1,1)</f>
        <v>1</v>
      </c>
      <c r="U1110" t="str">
        <f>IF(O1110=O1111,"",S1110/T1110)</f>
        <v/>
      </c>
      <c r="V1110" t="str">
        <f>IF(U1110="","",IF(ABS(Q1110-U1110)&gt;V$1,"error",""))</f>
        <v/>
      </c>
    </row>
    <row r="1111" spans="1:22" x14ac:dyDescent="0.55000000000000004">
      <c r="A1111">
        <v>1111.2610999999999</v>
      </c>
      <c r="B1111" s="1">
        <v>1E-3</v>
      </c>
      <c r="C1111" s="1">
        <v>1E-3</v>
      </c>
      <c r="D1111" s="2" t="s">
        <v>0</v>
      </c>
      <c r="E1111">
        <v>1</v>
      </c>
      <c r="F1111" s="2" t="s">
        <v>2</v>
      </c>
      <c r="G1111">
        <v>3</v>
      </c>
      <c r="H1111">
        <v>1.5</v>
      </c>
      <c r="I1111" s="2" t="s">
        <v>0</v>
      </c>
      <c r="J1111">
        <v>1</v>
      </c>
      <c r="K1111" s="2" t="s">
        <v>2</v>
      </c>
      <c r="L1111">
        <v>2</v>
      </c>
      <c r="M1111">
        <v>0.5</v>
      </c>
      <c r="N1111" s="2" t="s">
        <v>518</v>
      </c>
      <c r="O1111" t="str">
        <f>D1111&amp;"-"&amp;E1111&amp;"-"&amp;F1111&amp;"-"&amp;G1111&amp;"-"&amp;H1111</f>
        <v>X-1-e-3-1.5</v>
      </c>
      <c r="P1111" t="str">
        <f>I1111&amp;"-"&amp;J1111&amp;"-"&amp;K1111&amp;"-"&amp;L1111&amp;"-"&amp;M1111</f>
        <v>X-1-e-2-0.5</v>
      </c>
      <c r="Q1111">
        <f>A1111+R1111</f>
        <v>3422.7116470000001</v>
      </c>
      <c r="R1111">
        <f>_xlfn.IFNA(VLOOKUP(P1111,PGOPHER!A$2:G$181,7,FALSE),_xlfn.IFNA(VLOOKUP(P1111,en!A$2:I$768,7,FALSE),-10000))</f>
        <v>2311.4505469999999</v>
      </c>
      <c r="S1111">
        <f>IF(O1111=O1110,Q1110+S1110,Q1111)</f>
        <v>6845.4217399999998</v>
      </c>
      <c r="T1111">
        <f>IF(O1111=O1110,T1110+1,1)</f>
        <v>2</v>
      </c>
      <c r="U1111">
        <f>IF(O1111=O1112,"",S1111/T1111)</f>
        <v>3422.7108699999999</v>
      </c>
      <c r="V1111" t="str">
        <f>IF(U1111="","",IF(ABS(Q1111-U1111)&gt;V$1,"error",""))</f>
        <v/>
      </c>
    </row>
    <row r="1112" spans="1:22" x14ac:dyDescent="0.55000000000000004">
      <c r="A1112">
        <v>14.467518</v>
      </c>
      <c r="B1112" s="1">
        <v>5.0000000000000004E-6</v>
      </c>
      <c r="C1112" s="1">
        <v>5.0000000000000004E-6</v>
      </c>
      <c r="D1112" s="2" t="s">
        <v>0</v>
      </c>
      <c r="E1112">
        <v>2</v>
      </c>
      <c r="F1112" s="2" t="s">
        <v>1</v>
      </c>
      <c r="G1112">
        <v>0</v>
      </c>
      <c r="H1112">
        <v>1.5</v>
      </c>
      <c r="I1112" s="2" t="s">
        <v>0</v>
      </c>
      <c r="J1112">
        <v>2</v>
      </c>
      <c r="K1112" s="2" t="s">
        <v>1</v>
      </c>
      <c r="L1112">
        <v>0</v>
      </c>
      <c r="M1112">
        <v>0.5</v>
      </c>
      <c r="N1112" s="2" t="s">
        <v>8</v>
      </c>
      <c r="O1112" t="str">
        <f>D1112&amp;"-"&amp;E1112&amp;"-"&amp;F1112&amp;"-"&amp;G1112&amp;"-"&amp;H1112</f>
        <v>X-2-f-0-1.5</v>
      </c>
      <c r="P1112" t="str">
        <f>I1112&amp;"-"&amp;J1112&amp;"-"&amp;K1112&amp;"-"&amp;L1112&amp;"-"&amp;M1112</f>
        <v>X-2-f-0-0.5</v>
      </c>
      <c r="Q1112">
        <f>A1112+R1112</f>
        <v>21.609895999999999</v>
      </c>
      <c r="R1112">
        <f>_xlfn.IFNA(VLOOKUP(P1112,PGOPHER!A$2:G$181,7,FALSE),_xlfn.IFNA(VLOOKUP(P1112,en!A$2:I$768,7,FALSE),-10000))</f>
        <v>7.1423779999999999</v>
      </c>
      <c r="S1112">
        <f>IF(O1112=O1111,Q1111+S1111,Q1112)</f>
        <v>21.609895999999999</v>
      </c>
      <c r="T1112">
        <f>IF(O1112=O1111,T1111+1,1)</f>
        <v>1</v>
      </c>
      <c r="U1112" t="str">
        <f>IF(O1112=O1113,"",S1112/T1112)</f>
        <v/>
      </c>
      <c r="V1112" t="str">
        <f>IF(U1112="","",IF(ABS(Q1112-U1112)&gt;V$1,"error",""))</f>
        <v/>
      </c>
    </row>
    <row r="1113" spans="1:22" x14ac:dyDescent="0.55000000000000004">
      <c r="A1113">
        <v>14.467518999999999</v>
      </c>
      <c r="B1113" s="1">
        <v>1.0000000000000001E-5</v>
      </c>
      <c r="C1113" s="1">
        <v>1.0000000000000001E-5</v>
      </c>
      <c r="D1113" s="2" t="s">
        <v>0</v>
      </c>
      <c r="E1113">
        <v>2</v>
      </c>
      <c r="F1113" s="2" t="s">
        <v>1</v>
      </c>
      <c r="G1113">
        <v>0</v>
      </c>
      <c r="H1113">
        <v>1.5</v>
      </c>
      <c r="I1113" s="2" t="s">
        <v>0</v>
      </c>
      <c r="J1113">
        <v>2</v>
      </c>
      <c r="K1113" s="2" t="s">
        <v>1</v>
      </c>
      <c r="L1113">
        <v>0</v>
      </c>
      <c r="M1113">
        <v>0.5</v>
      </c>
      <c r="N1113" s="2" t="s">
        <v>10</v>
      </c>
      <c r="O1113" t="str">
        <f>D1113&amp;"-"&amp;E1113&amp;"-"&amp;F1113&amp;"-"&amp;G1113&amp;"-"&amp;H1113</f>
        <v>X-2-f-0-1.5</v>
      </c>
      <c r="P1113" t="str">
        <f>I1113&amp;"-"&amp;J1113&amp;"-"&amp;K1113&amp;"-"&amp;L1113&amp;"-"&amp;M1113</f>
        <v>X-2-f-0-0.5</v>
      </c>
      <c r="Q1113">
        <f>A1113+R1113</f>
        <v>21.609897</v>
      </c>
      <c r="R1113">
        <f>_xlfn.IFNA(VLOOKUP(P1113,PGOPHER!A$2:G$181,7,FALSE),_xlfn.IFNA(VLOOKUP(P1113,en!A$2:I$768,7,FALSE),-10000))</f>
        <v>7.1423779999999999</v>
      </c>
      <c r="S1113">
        <f>IF(O1113=O1112,Q1112+S1112,Q1113)</f>
        <v>43.219791999999998</v>
      </c>
      <c r="T1113">
        <f>IF(O1113=O1112,T1112+1,1)</f>
        <v>2</v>
      </c>
      <c r="U1113" t="str">
        <f>IF(O1113=O1114,"",S1113/T1113)</f>
        <v/>
      </c>
      <c r="V1113" t="str">
        <f>IF(U1113="","",IF(ABS(Q1113-U1113)&gt;V$1,"error",""))</f>
        <v/>
      </c>
    </row>
    <row r="1114" spans="1:22" x14ac:dyDescent="0.55000000000000004">
      <c r="A1114">
        <v>14.467499999999999</v>
      </c>
      <c r="B1114" s="1">
        <v>1.0999999999999999E-2</v>
      </c>
      <c r="C1114" s="1">
        <v>1.0999999999999999E-2</v>
      </c>
      <c r="D1114" s="2" t="s">
        <v>0</v>
      </c>
      <c r="E1114">
        <v>2</v>
      </c>
      <c r="F1114" s="2" t="s">
        <v>1</v>
      </c>
      <c r="G1114">
        <v>0</v>
      </c>
      <c r="H1114">
        <v>1.5</v>
      </c>
      <c r="I1114" s="2" t="s">
        <v>0</v>
      </c>
      <c r="J1114">
        <v>2</v>
      </c>
      <c r="K1114" s="2" t="s">
        <v>1</v>
      </c>
      <c r="L1114">
        <v>0</v>
      </c>
      <c r="M1114">
        <v>0.5</v>
      </c>
      <c r="N1114" s="2" t="s">
        <v>6</v>
      </c>
      <c r="O1114" t="str">
        <f>D1114&amp;"-"&amp;E1114&amp;"-"&amp;F1114&amp;"-"&amp;G1114&amp;"-"&amp;H1114</f>
        <v>X-2-f-0-1.5</v>
      </c>
      <c r="P1114" t="str">
        <f>I1114&amp;"-"&amp;J1114&amp;"-"&amp;K1114&amp;"-"&amp;L1114&amp;"-"&amp;M1114</f>
        <v>X-2-f-0-0.5</v>
      </c>
      <c r="Q1114">
        <f>A1114+R1114</f>
        <v>21.609877999999998</v>
      </c>
      <c r="R1114">
        <f>_xlfn.IFNA(VLOOKUP(P1114,PGOPHER!A$2:G$181,7,FALSE),_xlfn.IFNA(VLOOKUP(P1114,en!A$2:I$768,7,FALSE),-10000))</f>
        <v>7.1423779999999999</v>
      </c>
      <c r="S1114">
        <f>IF(O1114=O1113,Q1113+S1113,Q1114)</f>
        <v>64.829689000000002</v>
      </c>
      <c r="T1114">
        <f>IF(O1114=O1113,T1113+1,1)</f>
        <v>3</v>
      </c>
      <c r="U1114">
        <f>IF(O1114=O1115,"",S1114/T1114)</f>
        <v>21.609896333333335</v>
      </c>
      <c r="V1114" t="str">
        <f>IF(U1114="","",IF(ABS(Q1114-U1114)&gt;V$1,"error",""))</f>
        <v/>
      </c>
    </row>
    <row r="1115" spans="1:22" x14ac:dyDescent="0.55000000000000004">
      <c r="A1115">
        <v>1186.7949699999999</v>
      </c>
      <c r="B1115" s="1">
        <v>1E-3</v>
      </c>
      <c r="C1115" s="1">
        <v>1E-3</v>
      </c>
      <c r="D1115" s="2" t="s">
        <v>0</v>
      </c>
      <c r="E1115">
        <v>2</v>
      </c>
      <c r="F1115" s="2" t="s">
        <v>1</v>
      </c>
      <c r="G1115">
        <v>1</v>
      </c>
      <c r="H1115">
        <v>1.5</v>
      </c>
      <c r="I1115" s="2" t="s">
        <v>0</v>
      </c>
      <c r="J1115">
        <v>2</v>
      </c>
      <c r="K1115" s="2" t="s">
        <v>1</v>
      </c>
      <c r="L1115">
        <v>0</v>
      </c>
      <c r="M1115">
        <v>0.5</v>
      </c>
      <c r="N1115" s="2" t="s">
        <v>31</v>
      </c>
      <c r="O1115" t="str">
        <f>D1115&amp;"-"&amp;E1115&amp;"-"&amp;F1115&amp;"-"&amp;G1115&amp;"-"&amp;H1115</f>
        <v>X-2-f-1-1.5</v>
      </c>
      <c r="P1115" t="str">
        <f>I1115&amp;"-"&amp;J1115&amp;"-"&amp;K1115&amp;"-"&amp;L1115&amp;"-"&amp;M1115</f>
        <v>X-2-f-0-0.5</v>
      </c>
      <c r="Q1115">
        <f>A1115+R1115</f>
        <v>1193.9373479999999</v>
      </c>
      <c r="R1115">
        <f>_xlfn.IFNA(VLOOKUP(P1115,PGOPHER!A$2:G$181,7,FALSE),_xlfn.IFNA(VLOOKUP(P1115,en!A$2:I$768,7,FALSE),-10000))</f>
        <v>7.1423779999999999</v>
      </c>
      <c r="S1115">
        <f>IF(O1115=O1114,Q1114+S1114,Q1115)</f>
        <v>1193.9373479999999</v>
      </c>
      <c r="T1115">
        <f>IF(O1115=O1114,T1114+1,1)</f>
        <v>1</v>
      </c>
      <c r="U1115" t="str">
        <f>IF(O1115=O1116,"",S1115/T1115)</f>
        <v/>
      </c>
      <c r="V1115" t="str">
        <f>IF(U1115="","",IF(ABS(Q1115-U1115)&gt;V$1,"error",""))</f>
        <v/>
      </c>
    </row>
    <row r="1116" spans="1:22" x14ac:dyDescent="0.55000000000000004">
      <c r="A1116">
        <v>1150.60409</v>
      </c>
      <c r="B1116" s="1">
        <v>1E-3</v>
      </c>
      <c r="C1116" s="1">
        <v>1E-3</v>
      </c>
      <c r="D1116" s="2" t="s">
        <v>0</v>
      </c>
      <c r="E1116">
        <v>2</v>
      </c>
      <c r="F1116" s="2" t="s">
        <v>1</v>
      </c>
      <c r="G1116">
        <v>1</v>
      </c>
      <c r="H1116">
        <v>1.5</v>
      </c>
      <c r="I1116" s="2" t="s">
        <v>0</v>
      </c>
      <c r="J1116">
        <v>2</v>
      </c>
      <c r="K1116" s="2" t="s">
        <v>1</v>
      </c>
      <c r="L1116">
        <v>0</v>
      </c>
      <c r="M1116">
        <v>2.5</v>
      </c>
      <c r="N1116" s="2" t="s">
        <v>32</v>
      </c>
      <c r="O1116" t="str">
        <f>D1116&amp;"-"&amp;E1116&amp;"-"&amp;F1116&amp;"-"&amp;G1116&amp;"-"&amp;H1116</f>
        <v>X-2-f-1-1.5</v>
      </c>
      <c r="P1116" t="str">
        <f>I1116&amp;"-"&amp;J1116&amp;"-"&amp;K1116&amp;"-"&amp;L1116&amp;"-"&amp;M1116</f>
        <v>X-2-f-0-2.5</v>
      </c>
      <c r="Q1116">
        <f>A1116+R1116</f>
        <v>1193.9375830000001</v>
      </c>
      <c r="R1116">
        <f>_xlfn.IFNA(VLOOKUP(P1116,PGOPHER!A$2:G$181,7,FALSE),_xlfn.IFNA(VLOOKUP(P1116,en!A$2:I$768,7,FALSE),-10000))</f>
        <v>43.333492999999997</v>
      </c>
      <c r="S1116">
        <f>IF(O1116=O1115,Q1115+S1115,Q1116)</f>
        <v>2387.8746959999999</v>
      </c>
      <c r="T1116">
        <f>IF(O1116=O1115,T1115+1,1)</f>
        <v>2</v>
      </c>
      <c r="U1116" t="str">
        <f>IF(O1116=O1117,"",S1116/T1116)</f>
        <v/>
      </c>
      <c r="V1116" t="str">
        <f>IF(U1116="","",IF(ABS(Q1116-U1116)&gt;V$1,"error",""))</f>
        <v/>
      </c>
    </row>
    <row r="1117" spans="1:22" x14ac:dyDescent="0.55000000000000004">
      <c r="A1117">
        <v>14.1485</v>
      </c>
      <c r="B1117" s="1">
        <v>2.4899999999999999E-2</v>
      </c>
      <c r="C1117" s="1">
        <v>2.4899999999999999E-2</v>
      </c>
      <c r="D1117" s="2" t="s">
        <v>0</v>
      </c>
      <c r="E1117">
        <v>2</v>
      </c>
      <c r="F1117" s="2" t="s">
        <v>1</v>
      </c>
      <c r="G1117">
        <v>1</v>
      </c>
      <c r="H1117">
        <v>1.5</v>
      </c>
      <c r="I1117" s="2" t="s">
        <v>0</v>
      </c>
      <c r="J1117">
        <v>2</v>
      </c>
      <c r="K1117" s="2" t="s">
        <v>1</v>
      </c>
      <c r="L1117">
        <v>1</v>
      </c>
      <c r="M1117">
        <v>0.5</v>
      </c>
      <c r="N1117" s="2" t="s">
        <v>20</v>
      </c>
      <c r="O1117" t="str">
        <f>D1117&amp;"-"&amp;E1117&amp;"-"&amp;F1117&amp;"-"&amp;G1117&amp;"-"&amp;H1117</f>
        <v>X-2-f-1-1.5</v>
      </c>
      <c r="P1117" t="str">
        <f>I1117&amp;"-"&amp;J1117&amp;"-"&amp;K1117&amp;"-"&amp;L1117&amp;"-"&amp;M1117</f>
        <v>X-2-f-1-0.5</v>
      </c>
      <c r="Q1117">
        <f>A1117+R1117</f>
        <v>1193.9370819999999</v>
      </c>
      <c r="R1117">
        <f>_xlfn.IFNA(VLOOKUP(P1117,PGOPHER!A$2:G$181,7,FALSE),_xlfn.IFNA(VLOOKUP(P1117,en!A$2:I$768,7,FALSE),-10000))</f>
        <v>1179.7885819999999</v>
      </c>
      <c r="S1117">
        <f>IF(O1117=O1116,Q1116+S1116,Q1117)</f>
        <v>3581.8122789999998</v>
      </c>
      <c r="T1117">
        <f>IF(O1117=O1116,T1116+1,1)</f>
        <v>3</v>
      </c>
      <c r="U1117" t="str">
        <f>IF(O1117=O1118,"",S1117/T1117)</f>
        <v/>
      </c>
      <c r="V1117" t="str">
        <f>IF(U1117="","",IF(ABS(Q1117-U1117)&gt;V$1,"error",""))</f>
        <v/>
      </c>
    </row>
    <row r="1118" spans="1:22" x14ac:dyDescent="0.55000000000000004">
      <c r="A1118">
        <v>1150.6037200000001</v>
      </c>
      <c r="B1118" s="1">
        <v>1E-3</v>
      </c>
      <c r="C1118" s="1">
        <v>1E-3</v>
      </c>
      <c r="D1118" s="2" t="s">
        <v>0</v>
      </c>
      <c r="E1118">
        <v>2</v>
      </c>
      <c r="F1118" s="2" t="s">
        <v>1</v>
      </c>
      <c r="G1118">
        <v>1</v>
      </c>
      <c r="H1118">
        <v>1.5</v>
      </c>
      <c r="I1118" s="2" t="s">
        <v>0</v>
      </c>
      <c r="J1118">
        <v>2</v>
      </c>
      <c r="K1118" s="2" t="s">
        <v>1</v>
      </c>
      <c r="L1118">
        <v>0</v>
      </c>
      <c r="M1118">
        <v>2.5</v>
      </c>
      <c r="N1118" s="2" t="s">
        <v>28</v>
      </c>
      <c r="O1118" t="str">
        <f>D1118&amp;"-"&amp;E1118&amp;"-"&amp;F1118&amp;"-"&amp;G1118&amp;"-"&amp;H1118</f>
        <v>X-2-f-1-1.5</v>
      </c>
      <c r="P1118" t="str">
        <f>I1118&amp;"-"&amp;J1118&amp;"-"&amp;K1118&amp;"-"&amp;L1118&amp;"-"&amp;M1118</f>
        <v>X-2-f-0-2.5</v>
      </c>
      <c r="Q1118">
        <f>A1118+R1118</f>
        <v>1193.9372130000002</v>
      </c>
      <c r="R1118">
        <f>_xlfn.IFNA(VLOOKUP(P1118,PGOPHER!A$2:G$181,7,FALSE),_xlfn.IFNA(VLOOKUP(P1118,en!A$2:I$768,7,FALSE),-10000))</f>
        <v>43.333492999999997</v>
      </c>
      <c r="S1118">
        <f>IF(O1118=O1117,Q1117+S1117,Q1118)</f>
        <v>4775.7493610000001</v>
      </c>
      <c r="T1118">
        <f>IF(O1118=O1117,T1117+1,1)</f>
        <v>4</v>
      </c>
      <c r="U1118" t="str">
        <f>IF(O1118=O1119,"",S1118/T1118)</f>
        <v/>
      </c>
      <c r="V1118" t="str">
        <f>IF(U1118="","",IF(ABS(Q1118-U1118)&gt;V$1,"error",""))</f>
        <v/>
      </c>
    </row>
    <row r="1119" spans="1:22" x14ac:dyDescent="0.55000000000000004">
      <c r="A1119">
        <v>1186.7950000000001</v>
      </c>
      <c r="B1119" s="1">
        <v>3.61E-2</v>
      </c>
      <c r="C1119" s="1">
        <v>3.61E-2</v>
      </c>
      <c r="D1119" s="2" t="s">
        <v>0</v>
      </c>
      <c r="E1119">
        <v>2</v>
      </c>
      <c r="F1119" s="2" t="s">
        <v>1</v>
      </c>
      <c r="G1119">
        <v>1</v>
      </c>
      <c r="H1119">
        <v>1.5</v>
      </c>
      <c r="I1119" s="2" t="s">
        <v>0</v>
      </c>
      <c r="J1119">
        <v>2</v>
      </c>
      <c r="K1119" s="2" t="s">
        <v>1</v>
      </c>
      <c r="L1119">
        <v>0</v>
      </c>
      <c r="M1119">
        <v>0.5</v>
      </c>
      <c r="N1119" s="2" t="s">
        <v>23</v>
      </c>
      <c r="O1119" t="str">
        <f>D1119&amp;"-"&amp;E1119&amp;"-"&amp;F1119&amp;"-"&amp;G1119&amp;"-"&amp;H1119</f>
        <v>X-2-f-1-1.5</v>
      </c>
      <c r="P1119" t="str">
        <f>I1119&amp;"-"&amp;J1119&amp;"-"&amp;K1119&amp;"-"&amp;L1119&amp;"-"&amp;M1119</f>
        <v>X-2-f-0-0.5</v>
      </c>
      <c r="Q1119">
        <f>A1119+R1119</f>
        <v>1193.9373780000001</v>
      </c>
      <c r="R1119">
        <f>_xlfn.IFNA(VLOOKUP(P1119,PGOPHER!A$2:G$181,7,FALSE),_xlfn.IFNA(VLOOKUP(P1119,en!A$2:I$768,7,FALSE),-10000))</f>
        <v>7.1423779999999999</v>
      </c>
      <c r="S1119">
        <f>IF(O1119=O1118,Q1118+S1118,Q1119)</f>
        <v>5969.6865740000003</v>
      </c>
      <c r="T1119">
        <f>IF(O1119=O1118,T1118+1,1)</f>
        <v>5</v>
      </c>
      <c r="U1119" t="str">
        <f>IF(O1119=O1120,"",S1119/T1119)</f>
        <v/>
      </c>
      <c r="V1119" t="str">
        <f>IF(U1119="","",IF(ABS(Q1119-U1119)&gt;V$1,"error",""))</f>
        <v/>
      </c>
    </row>
    <row r="1120" spans="1:22" x14ac:dyDescent="0.55000000000000004">
      <c r="A1120">
        <v>1150.6036999999999</v>
      </c>
      <c r="B1120" s="1">
        <v>1E-3</v>
      </c>
      <c r="C1120" s="1">
        <v>1E-3</v>
      </c>
      <c r="D1120" s="2" t="s">
        <v>0</v>
      </c>
      <c r="E1120">
        <v>2</v>
      </c>
      <c r="F1120" s="2" t="s">
        <v>1</v>
      </c>
      <c r="G1120">
        <v>1</v>
      </c>
      <c r="H1120">
        <v>1.5</v>
      </c>
      <c r="I1120" s="2" t="s">
        <v>0</v>
      </c>
      <c r="J1120">
        <v>2</v>
      </c>
      <c r="K1120" s="2" t="s">
        <v>1</v>
      </c>
      <c r="L1120">
        <v>0</v>
      </c>
      <c r="M1120">
        <v>2.5</v>
      </c>
      <c r="N1120" s="2" t="s">
        <v>33</v>
      </c>
      <c r="O1120" t="str">
        <f>D1120&amp;"-"&amp;E1120&amp;"-"&amp;F1120&amp;"-"&amp;G1120&amp;"-"&amp;H1120</f>
        <v>X-2-f-1-1.5</v>
      </c>
      <c r="P1120" t="str">
        <f>I1120&amp;"-"&amp;J1120&amp;"-"&amp;K1120&amp;"-"&amp;L1120&amp;"-"&amp;M1120</f>
        <v>X-2-f-0-2.5</v>
      </c>
      <c r="Q1120">
        <f>A1120+R1120</f>
        <v>1193.937193</v>
      </c>
      <c r="R1120">
        <f>_xlfn.IFNA(VLOOKUP(P1120,PGOPHER!A$2:G$181,7,FALSE),_xlfn.IFNA(VLOOKUP(P1120,en!A$2:I$768,7,FALSE),-10000))</f>
        <v>43.333492999999997</v>
      </c>
      <c r="S1120">
        <f>IF(O1120=O1119,Q1119+S1119,Q1120)</f>
        <v>7163.6239519999999</v>
      </c>
      <c r="T1120">
        <f>IF(O1120=O1119,T1119+1,1)</f>
        <v>6</v>
      </c>
      <c r="U1120" t="str">
        <f>IF(O1120=O1121,"",S1120/T1120)</f>
        <v/>
      </c>
      <c r="V1120" t="str">
        <f>IF(U1120="","",IF(ABS(Q1120-U1120)&gt;V$1,"error",""))</f>
        <v/>
      </c>
    </row>
    <row r="1121" spans="1:22" x14ac:dyDescent="0.55000000000000004">
      <c r="A1121">
        <v>1150.6036999999999</v>
      </c>
      <c r="B1121" s="1">
        <v>1.6199999999999999E-2</v>
      </c>
      <c r="C1121" s="1">
        <v>1.6199999999999999E-2</v>
      </c>
      <c r="D1121" s="2" t="s">
        <v>0</v>
      </c>
      <c r="E1121">
        <v>2</v>
      </c>
      <c r="F1121" s="2" t="s">
        <v>1</v>
      </c>
      <c r="G1121">
        <v>1</v>
      </c>
      <c r="H1121">
        <v>1.5</v>
      </c>
      <c r="I1121" s="2" t="s">
        <v>0</v>
      </c>
      <c r="J1121">
        <v>2</v>
      </c>
      <c r="K1121" s="2" t="s">
        <v>1</v>
      </c>
      <c r="L1121">
        <v>0</v>
      </c>
      <c r="M1121">
        <v>2.5</v>
      </c>
      <c r="N1121" s="2" t="s">
        <v>22</v>
      </c>
      <c r="O1121" t="str">
        <f>D1121&amp;"-"&amp;E1121&amp;"-"&amp;F1121&amp;"-"&amp;G1121&amp;"-"&amp;H1121</f>
        <v>X-2-f-1-1.5</v>
      </c>
      <c r="P1121" t="str">
        <f>I1121&amp;"-"&amp;J1121&amp;"-"&amp;K1121&amp;"-"&amp;L1121&amp;"-"&amp;M1121</f>
        <v>X-2-f-0-2.5</v>
      </c>
      <c r="Q1121">
        <f>A1121+R1121</f>
        <v>1193.937193</v>
      </c>
      <c r="R1121">
        <f>_xlfn.IFNA(VLOOKUP(P1121,PGOPHER!A$2:G$181,7,FALSE),_xlfn.IFNA(VLOOKUP(P1121,en!A$2:I$768,7,FALSE),-10000))</f>
        <v>43.333492999999997</v>
      </c>
      <c r="S1121">
        <f>IF(O1121=O1120,Q1120+S1120,Q1121)</f>
        <v>8357.5611449999997</v>
      </c>
      <c r="T1121">
        <f>IF(O1121=O1120,T1120+1,1)</f>
        <v>7</v>
      </c>
      <c r="U1121" t="str">
        <f>IF(O1121=O1122,"",S1121/T1121)</f>
        <v/>
      </c>
      <c r="V1121" t="str">
        <f>IF(U1121="","",IF(ABS(Q1121-U1121)&gt;V$1,"error",""))</f>
        <v/>
      </c>
    </row>
    <row r="1122" spans="1:22" x14ac:dyDescent="0.55000000000000004">
      <c r="A1122">
        <v>1150.6041</v>
      </c>
      <c r="B1122" s="1">
        <v>1.66E-2</v>
      </c>
      <c r="C1122" s="1">
        <v>1.66E-2</v>
      </c>
      <c r="D1122" s="2" t="s">
        <v>0</v>
      </c>
      <c r="E1122">
        <v>2</v>
      </c>
      <c r="F1122" s="2" t="s">
        <v>1</v>
      </c>
      <c r="G1122">
        <v>1</v>
      </c>
      <c r="H1122">
        <v>1.5</v>
      </c>
      <c r="I1122" s="2" t="s">
        <v>0</v>
      </c>
      <c r="J1122">
        <v>2</v>
      </c>
      <c r="K1122" s="2" t="s">
        <v>1</v>
      </c>
      <c r="L1122">
        <v>0</v>
      </c>
      <c r="M1122">
        <v>2.5</v>
      </c>
      <c r="N1122" s="2" t="s">
        <v>25</v>
      </c>
      <c r="O1122" t="str">
        <f>D1122&amp;"-"&amp;E1122&amp;"-"&amp;F1122&amp;"-"&amp;G1122&amp;"-"&amp;H1122</f>
        <v>X-2-f-1-1.5</v>
      </c>
      <c r="P1122" t="str">
        <f>I1122&amp;"-"&amp;J1122&amp;"-"&amp;K1122&amp;"-"&amp;L1122&amp;"-"&amp;M1122</f>
        <v>X-2-f-0-2.5</v>
      </c>
      <c r="Q1122">
        <f>A1122+R1122</f>
        <v>1193.9375930000001</v>
      </c>
      <c r="R1122">
        <f>_xlfn.IFNA(VLOOKUP(P1122,PGOPHER!A$2:G$181,7,FALSE),_xlfn.IFNA(VLOOKUP(P1122,en!A$2:I$768,7,FALSE),-10000))</f>
        <v>43.333492999999997</v>
      </c>
      <c r="S1122">
        <f>IF(O1122=O1121,Q1121+S1121,Q1122)</f>
        <v>9551.4983379999994</v>
      </c>
      <c r="T1122">
        <f>IF(O1122=O1121,T1121+1,1)</f>
        <v>8</v>
      </c>
      <c r="U1122" t="str">
        <f>IF(O1122=O1123,"",S1122/T1122)</f>
        <v/>
      </c>
      <c r="V1122" t="str">
        <f>IF(U1122="","",IF(ABS(Q1122-U1122)&gt;V$1,"error",""))</f>
        <v/>
      </c>
    </row>
    <row r="1123" spans="1:22" x14ac:dyDescent="0.55000000000000004">
      <c r="A1123">
        <v>14.148543</v>
      </c>
      <c r="B1123" s="1">
        <v>5.0000000000000004E-6</v>
      </c>
      <c r="C1123" s="1">
        <v>5.0000000000000004E-6</v>
      </c>
      <c r="D1123" s="2" t="s">
        <v>0</v>
      </c>
      <c r="E1123">
        <v>2</v>
      </c>
      <c r="F1123" s="2" t="s">
        <v>1</v>
      </c>
      <c r="G1123">
        <v>1</v>
      </c>
      <c r="H1123">
        <v>1.5</v>
      </c>
      <c r="I1123" s="2" t="s">
        <v>0</v>
      </c>
      <c r="J1123">
        <v>2</v>
      </c>
      <c r="K1123" s="2" t="s">
        <v>1</v>
      </c>
      <c r="L1123">
        <v>1</v>
      </c>
      <c r="M1123">
        <v>0.5</v>
      </c>
      <c r="N1123" s="2" t="s">
        <v>26</v>
      </c>
      <c r="O1123" t="str">
        <f>D1123&amp;"-"&amp;E1123&amp;"-"&amp;F1123&amp;"-"&amp;G1123&amp;"-"&amp;H1123</f>
        <v>X-2-f-1-1.5</v>
      </c>
      <c r="P1123" t="str">
        <f>I1123&amp;"-"&amp;J1123&amp;"-"&amp;K1123&amp;"-"&amp;L1123&amp;"-"&amp;M1123</f>
        <v>X-2-f-1-0.5</v>
      </c>
      <c r="Q1123">
        <f>A1123+R1123</f>
        <v>1193.9371249999999</v>
      </c>
      <c r="R1123">
        <f>_xlfn.IFNA(VLOOKUP(P1123,PGOPHER!A$2:G$181,7,FALSE),_xlfn.IFNA(VLOOKUP(P1123,en!A$2:I$768,7,FALSE),-10000))</f>
        <v>1179.7885819999999</v>
      </c>
      <c r="S1123">
        <f>IF(O1123=O1122,Q1122+S1122,Q1123)</f>
        <v>10745.435931</v>
      </c>
      <c r="T1123">
        <f>IF(O1123=O1122,T1122+1,1)</f>
        <v>9</v>
      </c>
      <c r="U1123" t="str">
        <f>IF(O1123=O1124,"",S1123/T1123)</f>
        <v/>
      </c>
      <c r="V1123" t="str">
        <f>IF(U1123="","",IF(ABS(Q1123-U1123)&gt;V$1,"error",""))</f>
        <v/>
      </c>
    </row>
    <row r="1124" spans="1:22" x14ac:dyDescent="0.55000000000000004">
      <c r="A1124">
        <v>14.148543</v>
      </c>
      <c r="B1124" s="1">
        <v>1.0000000000000001E-5</v>
      </c>
      <c r="C1124" s="1">
        <v>1.0000000000000001E-5</v>
      </c>
      <c r="D1124" s="2" t="s">
        <v>0</v>
      </c>
      <c r="E1124">
        <v>2</v>
      </c>
      <c r="F1124" s="2" t="s">
        <v>1</v>
      </c>
      <c r="G1124">
        <v>1</v>
      </c>
      <c r="H1124">
        <v>1.5</v>
      </c>
      <c r="I1124" s="2" t="s">
        <v>0</v>
      </c>
      <c r="J1124">
        <v>2</v>
      </c>
      <c r="K1124" s="2" t="s">
        <v>1</v>
      </c>
      <c r="L1124">
        <v>1</v>
      </c>
      <c r="M1124">
        <v>0.5</v>
      </c>
      <c r="N1124" s="2" t="s">
        <v>27</v>
      </c>
      <c r="O1124" t="str">
        <f>D1124&amp;"-"&amp;E1124&amp;"-"&amp;F1124&amp;"-"&amp;G1124&amp;"-"&amp;H1124</f>
        <v>X-2-f-1-1.5</v>
      </c>
      <c r="P1124" t="str">
        <f>I1124&amp;"-"&amp;J1124&amp;"-"&amp;K1124&amp;"-"&amp;L1124&amp;"-"&amp;M1124</f>
        <v>X-2-f-1-0.5</v>
      </c>
      <c r="Q1124">
        <f>A1124+R1124</f>
        <v>1193.9371249999999</v>
      </c>
      <c r="R1124">
        <f>_xlfn.IFNA(VLOOKUP(P1124,PGOPHER!A$2:G$181,7,FALSE),_xlfn.IFNA(VLOOKUP(P1124,en!A$2:I$768,7,FALSE),-10000))</f>
        <v>1179.7885819999999</v>
      </c>
      <c r="S1124">
        <f>IF(O1124=O1123,Q1123+S1123,Q1124)</f>
        <v>11939.373056</v>
      </c>
      <c r="T1124">
        <f>IF(O1124=O1123,T1123+1,1)</f>
        <v>10</v>
      </c>
      <c r="U1124">
        <f>IF(O1124=O1125,"",S1124/T1124)</f>
        <v>1193.9373055999999</v>
      </c>
      <c r="V1124" t="str">
        <f>IF(U1124="","",IF(ABS(Q1124-U1124)&gt;V$1,"error",""))</f>
        <v/>
      </c>
    </row>
    <row r="1125" spans="1:22" x14ac:dyDescent="0.55000000000000004">
      <c r="A1125">
        <v>1116.9254000000001</v>
      </c>
      <c r="B1125" s="1">
        <v>1E-3</v>
      </c>
      <c r="C1125" s="1">
        <v>1E-3</v>
      </c>
      <c r="D1125" s="2" t="s">
        <v>0</v>
      </c>
      <c r="E1125">
        <v>2</v>
      </c>
      <c r="F1125" s="2" t="s">
        <v>1</v>
      </c>
      <c r="G1125">
        <v>2</v>
      </c>
      <c r="H1125">
        <v>1.5</v>
      </c>
      <c r="I1125" s="2" t="s">
        <v>0</v>
      </c>
      <c r="J1125">
        <v>2</v>
      </c>
      <c r="K1125" s="2" t="s">
        <v>1</v>
      </c>
      <c r="L1125">
        <v>1</v>
      </c>
      <c r="M1125">
        <v>2.5</v>
      </c>
      <c r="N1125" s="2" t="s">
        <v>394</v>
      </c>
      <c r="O1125" t="str">
        <f>D1125&amp;"-"&amp;E1125&amp;"-"&amp;F1125&amp;"-"&amp;G1125&amp;"-"&amp;H1125</f>
        <v>X-2-f-2-1.5</v>
      </c>
      <c r="P1125" t="str">
        <f>I1125&amp;"-"&amp;J1125&amp;"-"&amp;K1125&amp;"-"&amp;L1125&amp;"-"&amp;M1125</f>
        <v>X-2-f-1-2.5</v>
      </c>
      <c r="Q1125">
        <f>A1125+R1125</f>
        <v>2332.1073299999998</v>
      </c>
      <c r="R1125">
        <f>_xlfn.IFNA(VLOOKUP(P1125,PGOPHER!A$2:G$181,7,FALSE),_xlfn.IFNA(VLOOKUP(P1125,en!A$2:I$768,7,FALSE),-10000))</f>
        <v>1215.18193</v>
      </c>
      <c r="S1125">
        <f>IF(O1125=O1124,Q1124+S1124,Q1125)</f>
        <v>2332.1073299999998</v>
      </c>
      <c r="T1125">
        <f>IF(O1125=O1124,T1124+1,1)</f>
        <v>1</v>
      </c>
      <c r="U1125" t="str">
        <f>IF(O1125=O1126,"",S1125/T1125)</f>
        <v/>
      </c>
      <c r="V1125" t="str">
        <f>IF(U1125="","",IF(ABS(Q1125-U1125)&gt;V$1,"error",""))</f>
        <v/>
      </c>
    </row>
    <row r="1126" spans="1:22" x14ac:dyDescent="0.55000000000000004">
      <c r="A1126">
        <v>1152.3193000000001</v>
      </c>
      <c r="B1126" s="1">
        <v>1E-3</v>
      </c>
      <c r="C1126" s="1">
        <v>1E-3</v>
      </c>
      <c r="D1126" s="2" t="s">
        <v>0</v>
      </c>
      <c r="E1126">
        <v>2</v>
      </c>
      <c r="F1126" s="2" t="s">
        <v>1</v>
      </c>
      <c r="G1126">
        <v>2</v>
      </c>
      <c r="H1126">
        <v>1.5</v>
      </c>
      <c r="I1126" s="2" t="s">
        <v>0</v>
      </c>
      <c r="J1126">
        <v>2</v>
      </c>
      <c r="K1126" s="2" t="s">
        <v>1</v>
      </c>
      <c r="L1126">
        <v>1</v>
      </c>
      <c r="M1126">
        <v>0.5</v>
      </c>
      <c r="N1126" s="2" t="s">
        <v>392</v>
      </c>
      <c r="O1126" t="str">
        <f>D1126&amp;"-"&amp;E1126&amp;"-"&amp;F1126&amp;"-"&amp;G1126&amp;"-"&amp;H1126</f>
        <v>X-2-f-2-1.5</v>
      </c>
      <c r="P1126" t="str">
        <f>I1126&amp;"-"&amp;J1126&amp;"-"&amp;K1126&amp;"-"&amp;L1126&amp;"-"&amp;M1126</f>
        <v>X-2-f-1-0.5</v>
      </c>
      <c r="Q1126">
        <f>A1126+R1126</f>
        <v>2332.1078820000002</v>
      </c>
      <c r="R1126">
        <f>_xlfn.IFNA(VLOOKUP(P1126,PGOPHER!A$2:G$181,7,FALSE),_xlfn.IFNA(VLOOKUP(P1126,en!A$2:I$768,7,FALSE),-10000))</f>
        <v>1179.7885819999999</v>
      </c>
      <c r="S1126">
        <f>IF(O1126=O1125,Q1125+S1125,Q1126)</f>
        <v>4664.2146599999996</v>
      </c>
      <c r="T1126">
        <f>IF(O1126=O1125,T1125+1,1)</f>
        <v>2</v>
      </c>
      <c r="U1126">
        <f>IF(O1126=O1127,"",S1126/T1126)</f>
        <v>2332.1073299999998</v>
      </c>
      <c r="V1126" t="str">
        <f>IF(U1126="","",IF(ABS(Q1126-U1126)&gt;V$1,"error",""))</f>
        <v/>
      </c>
    </row>
    <row r="1127" spans="1:22" x14ac:dyDescent="0.55000000000000004">
      <c r="A1127">
        <v>1117.7653</v>
      </c>
      <c r="B1127" s="1">
        <v>1.44E-2</v>
      </c>
      <c r="C1127" s="1">
        <v>1.44E-2</v>
      </c>
      <c r="D1127" s="2" t="s">
        <v>0</v>
      </c>
      <c r="E1127">
        <v>2</v>
      </c>
      <c r="F1127" s="2" t="s">
        <v>1</v>
      </c>
      <c r="G1127">
        <v>3</v>
      </c>
      <c r="H1127">
        <v>1.5</v>
      </c>
      <c r="I1127" s="2" t="s">
        <v>0</v>
      </c>
      <c r="J1127">
        <v>2</v>
      </c>
      <c r="K1127" s="2" t="s">
        <v>1</v>
      </c>
      <c r="L1127">
        <v>2</v>
      </c>
      <c r="M1127">
        <v>0.5</v>
      </c>
      <c r="N1127" s="2" t="s">
        <v>520</v>
      </c>
      <c r="O1127" t="str">
        <f>D1127&amp;"-"&amp;E1127&amp;"-"&amp;F1127&amp;"-"&amp;G1127&amp;"-"&amp;H1127</f>
        <v>X-2-f-3-1.5</v>
      </c>
      <c r="P1127" t="str">
        <f>I1127&amp;"-"&amp;J1127&amp;"-"&amp;K1127&amp;"-"&amp;L1127&amp;"-"&amp;M1127</f>
        <v>X-2-f-2-0.5</v>
      </c>
      <c r="Q1127">
        <f>A1127+R1127</f>
        <v>3436.0457820000001</v>
      </c>
      <c r="R1127">
        <f>_xlfn.IFNA(VLOOKUP(P1127,PGOPHER!A$2:G$181,7,FALSE),_xlfn.IFNA(VLOOKUP(P1127,en!A$2:I$768,7,FALSE),-10000))</f>
        <v>2318.2804820000001</v>
      </c>
      <c r="S1127">
        <f>IF(O1127=O1126,Q1126+S1126,Q1127)</f>
        <v>3436.0457820000001</v>
      </c>
      <c r="T1127">
        <f>IF(O1127=O1126,T1126+1,1)</f>
        <v>1</v>
      </c>
      <c r="U1127" t="str">
        <f>IF(O1127=O1128,"",S1127/T1127)</f>
        <v/>
      </c>
      <c r="V1127" t="str">
        <f>IF(U1127="","",IF(ABS(Q1127-U1127)&gt;V$1,"error",""))</f>
        <v/>
      </c>
    </row>
    <row r="1128" spans="1:22" x14ac:dyDescent="0.55000000000000004">
      <c r="A1128">
        <v>1083.1780000000001</v>
      </c>
      <c r="B1128" s="1">
        <v>1.44E-2</v>
      </c>
      <c r="C1128" s="1">
        <v>1.44E-2</v>
      </c>
      <c r="D1128" s="2" t="s">
        <v>0</v>
      </c>
      <c r="E1128">
        <v>2</v>
      </c>
      <c r="F1128" s="2" t="s">
        <v>1</v>
      </c>
      <c r="G1128">
        <v>3</v>
      </c>
      <c r="H1128">
        <v>1.5</v>
      </c>
      <c r="I1128" s="2" t="s">
        <v>0</v>
      </c>
      <c r="J1128">
        <v>2</v>
      </c>
      <c r="K1128" s="2" t="s">
        <v>1</v>
      </c>
      <c r="L1128">
        <v>2</v>
      </c>
      <c r="M1128">
        <v>2.5</v>
      </c>
      <c r="N1128" s="2" t="s">
        <v>519</v>
      </c>
      <c r="O1128" t="str">
        <f>D1128&amp;"-"&amp;E1128&amp;"-"&amp;F1128&amp;"-"&amp;G1128&amp;"-"&amp;H1128</f>
        <v>X-2-f-3-1.5</v>
      </c>
      <c r="P1128" t="str">
        <f>I1128&amp;"-"&amp;J1128&amp;"-"&amp;K1128&amp;"-"&amp;L1128&amp;"-"&amp;M1128</f>
        <v>X-2-f-2-2.5</v>
      </c>
      <c r="Q1128">
        <f>A1128+R1128</f>
        <v>3436.0484960000003</v>
      </c>
      <c r="R1128">
        <f>_xlfn.IFNA(VLOOKUP(P1128,PGOPHER!A$2:G$181,7,FALSE),_xlfn.IFNA(VLOOKUP(P1128,en!A$2:I$768,7,FALSE),-10000))</f>
        <v>2352.870496</v>
      </c>
      <c r="S1128">
        <f>IF(O1128=O1127,Q1127+S1127,Q1128)</f>
        <v>6872.0915640000003</v>
      </c>
      <c r="T1128">
        <f>IF(O1128=O1127,T1127+1,1)</f>
        <v>2</v>
      </c>
      <c r="U1128">
        <f>IF(O1128=O1129,"",S1128/T1128)</f>
        <v>3436.0457820000001</v>
      </c>
      <c r="V1128" t="str">
        <f>IF(U1128="","",IF(ABS(Q1128-U1128)&gt;V$1,"error",""))</f>
        <v/>
      </c>
    </row>
    <row r="1129" spans="1:22" x14ac:dyDescent="0.55000000000000004">
      <c r="A1129">
        <v>14.5914</v>
      </c>
      <c r="B1129" s="1">
        <v>6.8900000000000003E-3</v>
      </c>
      <c r="C1129" s="1">
        <v>6.8900000000000003E-3</v>
      </c>
      <c r="D1129" s="2" t="s">
        <v>0</v>
      </c>
      <c r="E1129">
        <v>1</v>
      </c>
      <c r="F1129" s="2" t="s">
        <v>2</v>
      </c>
      <c r="G1129">
        <v>0</v>
      </c>
      <c r="H1129">
        <v>2.5</v>
      </c>
      <c r="I1129" s="2" t="s">
        <v>0</v>
      </c>
      <c r="J1129">
        <v>1</v>
      </c>
      <c r="K1129" s="2" t="s">
        <v>2</v>
      </c>
      <c r="L1129">
        <v>0</v>
      </c>
      <c r="M1129">
        <v>1.5</v>
      </c>
      <c r="N1129" s="2" t="s">
        <v>11</v>
      </c>
      <c r="O1129" t="str">
        <f>D1129&amp;"-"&amp;E1129&amp;"-"&amp;F1129&amp;"-"&amp;G1129&amp;"-"&amp;H1129</f>
        <v>X-1-e-0-2.5</v>
      </c>
      <c r="P1129" t="str">
        <f>I1129&amp;"-"&amp;J1129&amp;"-"&amp;K1129&amp;"-"&amp;L1129&amp;"-"&amp;M1129</f>
        <v>X-1-e-0-1.5</v>
      </c>
      <c r="Q1129">
        <f>A1129+R1129</f>
        <v>21.919729</v>
      </c>
      <c r="R1129">
        <f>_xlfn.IFNA(VLOOKUP(P1129,PGOPHER!A$2:G$181,7,FALSE),_xlfn.IFNA(VLOOKUP(P1129,en!A$2:I$768,7,FALSE),-10000))</f>
        <v>7.3283290000000001</v>
      </c>
      <c r="S1129">
        <f>IF(O1129=O1128,Q1128+S1128,Q1129)</f>
        <v>21.919729</v>
      </c>
      <c r="T1129">
        <f>IF(O1129=O1128,T1128+1,1)</f>
        <v>1</v>
      </c>
      <c r="U1129" t="str">
        <f>IF(O1129=O1130,"",S1129/T1129)</f>
        <v/>
      </c>
      <c r="V1129" t="str">
        <f>IF(U1129="","",IF(ABS(Q1129-U1129)&gt;V$1,"error",""))</f>
        <v/>
      </c>
    </row>
    <row r="1130" spans="1:22" x14ac:dyDescent="0.55000000000000004">
      <c r="A1130">
        <v>14.591371000000001</v>
      </c>
      <c r="B1130" s="1">
        <v>5.0000000000000004E-6</v>
      </c>
      <c r="C1130" s="1">
        <v>5.0000000000000004E-6</v>
      </c>
      <c r="D1130" s="2" t="s">
        <v>0</v>
      </c>
      <c r="E1130">
        <v>1</v>
      </c>
      <c r="F1130" s="2" t="s">
        <v>2</v>
      </c>
      <c r="G1130">
        <v>0</v>
      </c>
      <c r="H1130">
        <v>2.5</v>
      </c>
      <c r="I1130" s="2" t="s">
        <v>0</v>
      </c>
      <c r="J1130">
        <v>1</v>
      </c>
      <c r="K1130" s="2" t="s">
        <v>2</v>
      </c>
      <c r="L1130">
        <v>0</v>
      </c>
      <c r="M1130">
        <v>1.5</v>
      </c>
      <c r="N1130" s="2" t="s">
        <v>12</v>
      </c>
      <c r="O1130" t="str">
        <f>D1130&amp;"-"&amp;E1130&amp;"-"&amp;F1130&amp;"-"&amp;G1130&amp;"-"&amp;H1130</f>
        <v>X-1-e-0-2.5</v>
      </c>
      <c r="P1130" t="str">
        <f>I1130&amp;"-"&amp;J1130&amp;"-"&amp;K1130&amp;"-"&amp;L1130&amp;"-"&amp;M1130</f>
        <v>X-1-e-0-1.5</v>
      </c>
      <c r="Q1130">
        <f>A1130+R1130</f>
        <v>21.919699999999999</v>
      </c>
      <c r="R1130">
        <f>_xlfn.IFNA(VLOOKUP(P1130,PGOPHER!A$2:G$181,7,FALSE),_xlfn.IFNA(VLOOKUP(P1130,en!A$2:I$768,7,FALSE),-10000))</f>
        <v>7.3283290000000001</v>
      </c>
      <c r="S1130">
        <f>IF(O1130=O1129,Q1129+S1129,Q1130)</f>
        <v>43.839458</v>
      </c>
      <c r="T1130">
        <f>IF(O1130=O1129,T1129+1,1)</f>
        <v>2</v>
      </c>
      <c r="U1130" t="str">
        <f>IF(O1130=O1131,"",S1130/T1130)</f>
        <v/>
      </c>
      <c r="V1130" t="str">
        <f>IF(U1130="","",IF(ABS(Q1130-U1130)&gt;V$1,"error",""))</f>
        <v/>
      </c>
    </row>
    <row r="1131" spans="1:22" x14ac:dyDescent="0.55000000000000004">
      <c r="A1131">
        <v>14.591372</v>
      </c>
      <c r="B1131" s="1">
        <v>1.0000000000000001E-5</v>
      </c>
      <c r="C1131" s="1">
        <v>1.0000000000000001E-5</v>
      </c>
      <c r="D1131" s="2" t="s">
        <v>0</v>
      </c>
      <c r="E1131">
        <v>1</v>
      </c>
      <c r="F1131" s="2" t="s">
        <v>2</v>
      </c>
      <c r="G1131">
        <v>0</v>
      </c>
      <c r="H1131">
        <v>2.5</v>
      </c>
      <c r="I1131" s="2" t="s">
        <v>0</v>
      </c>
      <c r="J1131">
        <v>1</v>
      </c>
      <c r="K1131" s="2" t="s">
        <v>2</v>
      </c>
      <c r="L1131">
        <v>0</v>
      </c>
      <c r="M1131">
        <v>1.5</v>
      </c>
      <c r="N1131" s="2" t="s">
        <v>13</v>
      </c>
      <c r="O1131" t="str">
        <f>D1131&amp;"-"&amp;E1131&amp;"-"&amp;F1131&amp;"-"&amp;G1131&amp;"-"&amp;H1131</f>
        <v>X-1-e-0-2.5</v>
      </c>
      <c r="P1131" t="str">
        <f>I1131&amp;"-"&amp;J1131&amp;"-"&amp;K1131&amp;"-"&amp;L1131&amp;"-"&amp;M1131</f>
        <v>X-1-e-0-1.5</v>
      </c>
      <c r="Q1131">
        <f>A1131+R1131</f>
        <v>21.919701</v>
      </c>
      <c r="R1131">
        <f>_xlfn.IFNA(VLOOKUP(P1131,PGOPHER!A$2:G$181,7,FALSE),_xlfn.IFNA(VLOOKUP(P1131,en!A$2:I$768,7,FALSE),-10000))</f>
        <v>7.3283290000000001</v>
      </c>
      <c r="S1131">
        <f>IF(O1131=O1130,Q1130+S1130,Q1131)</f>
        <v>65.759157999999999</v>
      </c>
      <c r="T1131">
        <f>IF(O1131=O1130,T1130+1,1)</f>
        <v>3</v>
      </c>
      <c r="U1131">
        <f>IF(O1131=O1132,"",S1131/T1131)</f>
        <v>21.919719333333333</v>
      </c>
      <c r="V1131" t="str">
        <f>IF(U1131="","",IF(ABS(Q1131-U1131)&gt;V$1,"error",""))</f>
        <v/>
      </c>
    </row>
    <row r="1132" spans="1:22" x14ac:dyDescent="0.55000000000000004">
      <c r="A1132">
        <v>14.268285000000001</v>
      </c>
      <c r="B1132" s="1">
        <v>1.0000000000000001E-5</v>
      </c>
      <c r="C1132" s="1">
        <v>1.0000000000000001E-5</v>
      </c>
      <c r="D1132" s="2" t="s">
        <v>0</v>
      </c>
      <c r="E1132">
        <v>1</v>
      </c>
      <c r="F1132" s="2" t="s">
        <v>2</v>
      </c>
      <c r="G1132">
        <v>1</v>
      </c>
      <c r="H1132">
        <v>2.5</v>
      </c>
      <c r="I1132" s="2" t="s">
        <v>0</v>
      </c>
      <c r="J1132">
        <v>1</v>
      </c>
      <c r="K1132" s="2" t="s">
        <v>2</v>
      </c>
      <c r="L1132">
        <v>1</v>
      </c>
      <c r="M1132">
        <v>1.5</v>
      </c>
      <c r="N1132" s="2" t="s">
        <v>43</v>
      </c>
      <c r="O1132" t="str">
        <f>D1132&amp;"-"&amp;E1132&amp;"-"&amp;F1132&amp;"-"&amp;G1132&amp;"-"&amp;H1132</f>
        <v>X-1-e-1-2.5</v>
      </c>
      <c r="P1132" t="str">
        <f>I1132&amp;"-"&amp;J1132&amp;"-"&amp;K1132&amp;"-"&amp;L1132&amp;"-"&amp;M1132</f>
        <v>X-1-e-1-1.5</v>
      </c>
      <c r="Q1132">
        <f>A1132+R1132</f>
        <v>1194.2368200000001</v>
      </c>
      <c r="R1132">
        <f>_xlfn.IFNA(VLOOKUP(P1132,PGOPHER!A$2:G$181,7,FALSE),_xlfn.IFNA(VLOOKUP(P1132,en!A$2:I$768,7,FALSE),-10000))</f>
        <v>1179.968535</v>
      </c>
      <c r="S1132">
        <f>IF(O1132=O1131,Q1131+S1131,Q1132)</f>
        <v>1194.2368200000001</v>
      </c>
      <c r="T1132">
        <f>IF(O1132=O1131,T1131+1,1)</f>
        <v>1</v>
      </c>
      <c r="U1132" t="str">
        <f>IF(O1132=O1133,"",S1132/T1132)</f>
        <v/>
      </c>
      <c r="V1132" t="str">
        <f>IF(U1132="","",IF(ABS(Q1132-U1132)&gt;V$1,"error",""))</f>
        <v/>
      </c>
    </row>
    <row r="1133" spans="1:22" x14ac:dyDescent="0.55000000000000004">
      <c r="A1133">
        <v>1186.9087999999999</v>
      </c>
      <c r="B1133" s="1">
        <v>1E-3</v>
      </c>
      <c r="C1133" s="1">
        <v>1E-3</v>
      </c>
      <c r="D1133" s="2" t="s">
        <v>0</v>
      </c>
      <c r="E1133">
        <v>1</v>
      </c>
      <c r="F1133" s="2" t="s">
        <v>2</v>
      </c>
      <c r="G1133">
        <v>1</v>
      </c>
      <c r="H1133">
        <v>2.5</v>
      </c>
      <c r="I1133" s="2" t="s">
        <v>0</v>
      </c>
      <c r="J1133">
        <v>1</v>
      </c>
      <c r="K1133" s="2" t="s">
        <v>2</v>
      </c>
      <c r="L1133">
        <v>0</v>
      </c>
      <c r="M1133">
        <v>1.5</v>
      </c>
      <c r="N1133" s="2" t="s">
        <v>47</v>
      </c>
      <c r="O1133" t="str">
        <f>D1133&amp;"-"&amp;E1133&amp;"-"&amp;F1133&amp;"-"&amp;G1133&amp;"-"&amp;H1133</f>
        <v>X-1-e-1-2.5</v>
      </c>
      <c r="P1133" t="str">
        <f>I1133&amp;"-"&amp;J1133&amp;"-"&amp;K1133&amp;"-"&amp;L1133&amp;"-"&amp;M1133</f>
        <v>X-1-e-0-1.5</v>
      </c>
      <c r="Q1133">
        <f>A1133+R1133</f>
        <v>1194.2371289999999</v>
      </c>
      <c r="R1133">
        <f>_xlfn.IFNA(VLOOKUP(P1133,PGOPHER!A$2:G$181,7,FALSE),_xlfn.IFNA(VLOOKUP(P1133,en!A$2:I$768,7,FALSE),-10000))</f>
        <v>7.3283290000000001</v>
      </c>
      <c r="S1133">
        <f>IF(O1133=O1132,Q1132+S1132,Q1133)</f>
        <v>2388.4736400000002</v>
      </c>
      <c r="T1133">
        <f>IF(O1133=O1132,T1132+1,1)</f>
        <v>2</v>
      </c>
      <c r="U1133" t="str">
        <f>IF(O1133=O1134,"",S1133/T1133)</f>
        <v/>
      </c>
      <c r="V1133" t="str">
        <f>IF(U1133="","",IF(ABS(Q1133-U1133)&gt;V$1,"error",""))</f>
        <v/>
      </c>
    </row>
    <row r="1134" spans="1:22" x14ac:dyDescent="0.55000000000000004">
      <c r="A1134">
        <v>1150.46819</v>
      </c>
      <c r="B1134" s="1">
        <v>1E-3</v>
      </c>
      <c r="C1134" s="1">
        <v>1E-3</v>
      </c>
      <c r="D1134" s="2" t="s">
        <v>0</v>
      </c>
      <c r="E1134">
        <v>1</v>
      </c>
      <c r="F1134" s="2" t="s">
        <v>2</v>
      </c>
      <c r="G1134">
        <v>1</v>
      </c>
      <c r="H1134">
        <v>2.5</v>
      </c>
      <c r="I1134" s="2" t="s">
        <v>0</v>
      </c>
      <c r="J1134">
        <v>1</v>
      </c>
      <c r="K1134" s="2" t="s">
        <v>2</v>
      </c>
      <c r="L1134">
        <v>0</v>
      </c>
      <c r="M1134">
        <v>3.5</v>
      </c>
      <c r="N1134" s="2" t="s">
        <v>44</v>
      </c>
      <c r="O1134" t="str">
        <f>D1134&amp;"-"&amp;E1134&amp;"-"&amp;F1134&amp;"-"&amp;G1134&amp;"-"&amp;H1134</f>
        <v>X-1-e-1-2.5</v>
      </c>
      <c r="P1134" t="str">
        <f>I1134&amp;"-"&amp;J1134&amp;"-"&amp;K1134&amp;"-"&amp;L1134&amp;"-"&amp;M1134</f>
        <v>X-1-e-0-3.5</v>
      </c>
      <c r="Q1134">
        <f>A1134+R1134</f>
        <v>1194.2359630000001</v>
      </c>
      <c r="R1134">
        <f>_xlfn.IFNA(VLOOKUP(P1134,PGOPHER!A$2:G$181,7,FALSE),_xlfn.IFNA(VLOOKUP(P1134,en!A$2:I$768,7,FALSE),-10000))</f>
        <v>43.767772999999998</v>
      </c>
      <c r="S1134">
        <f>IF(O1134=O1133,Q1133+S1133,Q1134)</f>
        <v>3582.7107690000003</v>
      </c>
      <c r="T1134">
        <f>IF(O1134=O1133,T1133+1,1)</f>
        <v>3</v>
      </c>
      <c r="U1134" t="str">
        <f>IF(O1134=O1135,"",S1134/T1134)</f>
        <v/>
      </c>
      <c r="V1134" t="str">
        <f>IF(U1134="","",IF(ABS(Q1134-U1134)&gt;V$1,"error",""))</f>
        <v/>
      </c>
    </row>
    <row r="1135" spans="1:22" x14ac:dyDescent="0.55000000000000004">
      <c r="A1135">
        <v>1186.9087999999999</v>
      </c>
      <c r="B1135" s="1">
        <v>2.0899999999999998E-2</v>
      </c>
      <c r="C1135" s="1">
        <v>2.0899999999999998E-2</v>
      </c>
      <c r="D1135" s="2" t="s">
        <v>0</v>
      </c>
      <c r="E1135">
        <v>1</v>
      </c>
      <c r="F1135" s="2" t="s">
        <v>2</v>
      </c>
      <c r="G1135">
        <v>1</v>
      </c>
      <c r="H1135">
        <v>2.5</v>
      </c>
      <c r="I1135" s="2" t="s">
        <v>0</v>
      </c>
      <c r="J1135">
        <v>1</v>
      </c>
      <c r="K1135" s="2" t="s">
        <v>2</v>
      </c>
      <c r="L1135">
        <v>0</v>
      </c>
      <c r="M1135">
        <v>1.5</v>
      </c>
      <c r="N1135" s="2" t="s">
        <v>35</v>
      </c>
      <c r="O1135" t="str">
        <f>D1135&amp;"-"&amp;E1135&amp;"-"&amp;F1135&amp;"-"&amp;G1135&amp;"-"&amp;H1135</f>
        <v>X-1-e-1-2.5</v>
      </c>
      <c r="P1135" t="str">
        <f>I1135&amp;"-"&amp;J1135&amp;"-"&amp;K1135&amp;"-"&amp;L1135&amp;"-"&amp;M1135</f>
        <v>X-1-e-0-1.5</v>
      </c>
      <c r="Q1135">
        <f>A1135+R1135</f>
        <v>1194.2371289999999</v>
      </c>
      <c r="R1135">
        <f>_xlfn.IFNA(VLOOKUP(P1135,PGOPHER!A$2:G$181,7,FALSE),_xlfn.IFNA(VLOOKUP(P1135,en!A$2:I$768,7,FALSE),-10000))</f>
        <v>7.3283290000000001</v>
      </c>
      <c r="S1135">
        <f>IF(O1135=O1134,Q1134+S1134,Q1135)</f>
        <v>4776.9467320000003</v>
      </c>
      <c r="T1135">
        <f>IF(O1135=O1134,T1134+1,1)</f>
        <v>4</v>
      </c>
      <c r="U1135" t="str">
        <f>IF(O1135=O1136,"",S1135/T1135)</f>
        <v/>
      </c>
      <c r="V1135" t="str">
        <f>IF(U1135="","",IF(ABS(Q1135-U1135)&gt;V$1,"error",""))</f>
        <v/>
      </c>
    </row>
    <row r="1136" spans="1:22" x14ac:dyDescent="0.55000000000000004">
      <c r="A1136">
        <v>1150.4691</v>
      </c>
      <c r="B1136" s="1">
        <v>1.18E-2</v>
      </c>
      <c r="C1136" s="1">
        <v>1.18E-2</v>
      </c>
      <c r="D1136" s="2" t="s">
        <v>0</v>
      </c>
      <c r="E1136">
        <v>1</v>
      </c>
      <c r="F1136" s="2" t="s">
        <v>2</v>
      </c>
      <c r="G1136">
        <v>1</v>
      </c>
      <c r="H1136">
        <v>2.5</v>
      </c>
      <c r="I1136" s="2" t="s">
        <v>0</v>
      </c>
      <c r="J1136">
        <v>1</v>
      </c>
      <c r="K1136" s="2" t="s">
        <v>2</v>
      </c>
      <c r="L1136">
        <v>0</v>
      </c>
      <c r="M1136">
        <v>3.5</v>
      </c>
      <c r="N1136" s="2" t="s">
        <v>40</v>
      </c>
      <c r="O1136" t="str">
        <f>D1136&amp;"-"&amp;E1136&amp;"-"&amp;F1136&amp;"-"&amp;G1136&amp;"-"&amp;H1136</f>
        <v>X-1-e-1-2.5</v>
      </c>
      <c r="P1136" t="str">
        <f>I1136&amp;"-"&amp;J1136&amp;"-"&amp;K1136&amp;"-"&amp;L1136&amp;"-"&amp;M1136</f>
        <v>X-1-e-0-3.5</v>
      </c>
      <c r="Q1136">
        <f>A1136+R1136</f>
        <v>1194.2368730000001</v>
      </c>
      <c r="R1136">
        <f>_xlfn.IFNA(VLOOKUP(P1136,PGOPHER!A$2:G$181,7,FALSE),_xlfn.IFNA(VLOOKUP(P1136,en!A$2:I$768,7,FALSE),-10000))</f>
        <v>43.767772999999998</v>
      </c>
      <c r="S1136">
        <f>IF(O1136=O1135,Q1135+S1135,Q1136)</f>
        <v>5971.1838610000004</v>
      </c>
      <c r="T1136">
        <f>IF(O1136=O1135,T1135+1,1)</f>
        <v>5</v>
      </c>
      <c r="U1136" t="str">
        <f>IF(O1136=O1137,"",S1136/T1136)</f>
        <v/>
      </c>
      <c r="V1136" t="str">
        <f>IF(U1136="","",IF(ABS(Q1136-U1136)&gt;V$1,"error",""))</f>
        <v/>
      </c>
    </row>
    <row r="1137" spans="1:22" x14ac:dyDescent="0.55000000000000004">
      <c r="A1137">
        <v>1150.4691</v>
      </c>
      <c r="B1137" s="1">
        <v>1E-3</v>
      </c>
      <c r="C1137" s="1">
        <v>1E-3</v>
      </c>
      <c r="D1137" s="2" t="s">
        <v>0</v>
      </c>
      <c r="E1137">
        <v>1</v>
      </c>
      <c r="F1137" s="2" t="s">
        <v>2</v>
      </c>
      <c r="G1137">
        <v>1</v>
      </c>
      <c r="H1137">
        <v>2.5</v>
      </c>
      <c r="I1137" s="2" t="s">
        <v>0</v>
      </c>
      <c r="J1137">
        <v>1</v>
      </c>
      <c r="K1137" s="2" t="s">
        <v>2</v>
      </c>
      <c r="L1137">
        <v>0</v>
      </c>
      <c r="M1137">
        <v>3.5</v>
      </c>
      <c r="N1137" s="2" t="s">
        <v>51</v>
      </c>
      <c r="O1137" t="str">
        <f>D1137&amp;"-"&amp;E1137&amp;"-"&amp;F1137&amp;"-"&amp;G1137&amp;"-"&amp;H1137</f>
        <v>X-1-e-1-2.5</v>
      </c>
      <c r="P1137" t="str">
        <f>I1137&amp;"-"&amp;J1137&amp;"-"&amp;K1137&amp;"-"&amp;L1137&amp;"-"&amp;M1137</f>
        <v>X-1-e-0-3.5</v>
      </c>
      <c r="Q1137">
        <f>A1137+R1137</f>
        <v>1194.2368730000001</v>
      </c>
      <c r="R1137">
        <f>_xlfn.IFNA(VLOOKUP(P1137,PGOPHER!A$2:G$181,7,FALSE),_xlfn.IFNA(VLOOKUP(P1137,en!A$2:I$768,7,FALSE),-10000))</f>
        <v>43.767772999999998</v>
      </c>
      <c r="S1137">
        <f>IF(O1137=O1136,Q1136+S1136,Q1137)</f>
        <v>7165.4207340000003</v>
      </c>
      <c r="T1137">
        <f>IF(O1137=O1136,T1136+1,1)</f>
        <v>6</v>
      </c>
      <c r="U1137" t="str">
        <f>IF(O1137=O1138,"",S1137/T1137)</f>
        <v/>
      </c>
      <c r="V1137" t="str">
        <f>IF(U1137="","",IF(ABS(Q1137-U1137)&gt;V$1,"error",""))</f>
        <v/>
      </c>
    </row>
    <row r="1138" spans="1:22" x14ac:dyDescent="0.55000000000000004">
      <c r="A1138">
        <v>1150.4698000000001</v>
      </c>
      <c r="B1138" s="1">
        <v>1.0999999999999999E-2</v>
      </c>
      <c r="C1138" s="1">
        <v>1.0999999999999999E-2</v>
      </c>
      <c r="D1138" s="2" t="s">
        <v>0</v>
      </c>
      <c r="E1138">
        <v>1</v>
      </c>
      <c r="F1138" s="2" t="s">
        <v>2</v>
      </c>
      <c r="G1138">
        <v>1</v>
      </c>
      <c r="H1138">
        <v>2.5</v>
      </c>
      <c r="I1138" s="2" t="s">
        <v>0</v>
      </c>
      <c r="J1138">
        <v>1</v>
      </c>
      <c r="K1138" s="2" t="s">
        <v>2</v>
      </c>
      <c r="L1138">
        <v>0</v>
      </c>
      <c r="M1138">
        <v>3.5</v>
      </c>
      <c r="N1138" s="2" t="s">
        <v>38</v>
      </c>
      <c r="O1138" t="str">
        <f>D1138&amp;"-"&amp;E1138&amp;"-"&amp;F1138&amp;"-"&amp;G1138&amp;"-"&amp;H1138</f>
        <v>X-1-e-1-2.5</v>
      </c>
      <c r="P1138" t="str">
        <f>I1138&amp;"-"&amp;J1138&amp;"-"&amp;K1138&amp;"-"&amp;L1138&amp;"-"&amp;M1138</f>
        <v>X-1-e-0-3.5</v>
      </c>
      <c r="Q1138">
        <f>A1138+R1138</f>
        <v>1194.2375730000001</v>
      </c>
      <c r="R1138">
        <f>_xlfn.IFNA(VLOOKUP(P1138,PGOPHER!A$2:G$181,7,FALSE),_xlfn.IFNA(VLOOKUP(P1138,en!A$2:I$768,7,FALSE),-10000))</f>
        <v>43.767772999999998</v>
      </c>
      <c r="S1138">
        <f>IF(O1138=O1137,Q1137+S1137,Q1138)</f>
        <v>8359.657607000001</v>
      </c>
      <c r="T1138">
        <f>IF(O1138=O1137,T1137+1,1)</f>
        <v>7</v>
      </c>
      <c r="U1138" t="str">
        <f>IF(O1138=O1139,"",S1138/T1138)</f>
        <v/>
      </c>
      <c r="V1138" t="str">
        <f>IF(U1138="","",IF(ABS(Q1138-U1138)&gt;V$1,"error",""))</f>
        <v/>
      </c>
    </row>
    <row r="1139" spans="1:22" x14ac:dyDescent="0.55000000000000004">
      <c r="A1139">
        <v>1150.46976</v>
      </c>
      <c r="B1139" s="1">
        <v>1E-3</v>
      </c>
      <c r="C1139" s="1">
        <v>1E-3</v>
      </c>
      <c r="D1139" s="2" t="s">
        <v>0</v>
      </c>
      <c r="E1139">
        <v>1</v>
      </c>
      <c r="F1139" s="2" t="s">
        <v>2</v>
      </c>
      <c r="G1139">
        <v>1</v>
      </c>
      <c r="H1139">
        <v>2.5</v>
      </c>
      <c r="I1139" s="2" t="s">
        <v>0</v>
      </c>
      <c r="J1139">
        <v>1</v>
      </c>
      <c r="K1139" s="2" t="s">
        <v>2</v>
      </c>
      <c r="L1139">
        <v>0</v>
      </c>
      <c r="M1139">
        <v>3.5</v>
      </c>
      <c r="N1139" s="2" t="s">
        <v>48</v>
      </c>
      <c r="O1139" t="str">
        <f>D1139&amp;"-"&amp;E1139&amp;"-"&amp;F1139&amp;"-"&amp;G1139&amp;"-"&amp;H1139</f>
        <v>X-1-e-1-2.5</v>
      </c>
      <c r="P1139" t="str">
        <f>I1139&amp;"-"&amp;J1139&amp;"-"&amp;K1139&amp;"-"&amp;L1139&amp;"-"&amp;M1139</f>
        <v>X-1-e-0-3.5</v>
      </c>
      <c r="Q1139">
        <f>A1139+R1139</f>
        <v>1194.237533</v>
      </c>
      <c r="R1139">
        <f>_xlfn.IFNA(VLOOKUP(P1139,PGOPHER!A$2:G$181,7,FALSE),_xlfn.IFNA(VLOOKUP(P1139,en!A$2:I$768,7,FALSE),-10000))</f>
        <v>43.767772999999998</v>
      </c>
      <c r="S1139">
        <f>IF(O1139=O1138,Q1138+S1138,Q1139)</f>
        <v>9553.8951800000013</v>
      </c>
      <c r="T1139">
        <f>IF(O1139=O1138,T1138+1,1)</f>
        <v>8</v>
      </c>
      <c r="U1139" t="str">
        <f>IF(O1139=O1140,"",S1139/T1139)</f>
        <v/>
      </c>
      <c r="V1139" t="str">
        <f>IF(U1139="","",IF(ABS(Q1139-U1139)&gt;V$1,"error",""))</f>
        <v/>
      </c>
    </row>
    <row r="1140" spans="1:22" x14ac:dyDescent="0.55000000000000004">
      <c r="A1140">
        <v>14.2683</v>
      </c>
      <c r="B1140" s="1">
        <v>1.6400000000000001E-2</v>
      </c>
      <c r="C1140" s="1">
        <v>1.6400000000000001E-2</v>
      </c>
      <c r="D1140" s="2" t="s">
        <v>0</v>
      </c>
      <c r="E1140">
        <v>1</v>
      </c>
      <c r="F1140" s="2" t="s">
        <v>2</v>
      </c>
      <c r="G1140">
        <v>1</v>
      </c>
      <c r="H1140">
        <v>2.5</v>
      </c>
      <c r="I1140" s="2" t="s">
        <v>0</v>
      </c>
      <c r="J1140">
        <v>1</v>
      </c>
      <c r="K1140" s="2" t="s">
        <v>2</v>
      </c>
      <c r="L1140">
        <v>1</v>
      </c>
      <c r="M1140">
        <v>1.5</v>
      </c>
      <c r="N1140" s="2" t="s">
        <v>34</v>
      </c>
      <c r="O1140" t="str">
        <f>D1140&amp;"-"&amp;E1140&amp;"-"&amp;F1140&amp;"-"&amp;G1140&amp;"-"&amp;H1140</f>
        <v>X-1-e-1-2.5</v>
      </c>
      <c r="P1140" t="str">
        <f>I1140&amp;"-"&amp;J1140&amp;"-"&amp;K1140&amp;"-"&amp;L1140&amp;"-"&amp;M1140</f>
        <v>X-1-e-1-1.5</v>
      </c>
      <c r="Q1140">
        <f>A1140+R1140</f>
        <v>1194.2368349999999</v>
      </c>
      <c r="R1140">
        <f>_xlfn.IFNA(VLOOKUP(P1140,PGOPHER!A$2:G$181,7,FALSE),_xlfn.IFNA(VLOOKUP(P1140,en!A$2:I$768,7,FALSE),-10000))</f>
        <v>1179.968535</v>
      </c>
      <c r="S1140">
        <f>IF(O1140=O1139,Q1139+S1139,Q1140)</f>
        <v>10748.132713000001</v>
      </c>
      <c r="T1140">
        <f>IF(O1140=O1139,T1139+1,1)</f>
        <v>9</v>
      </c>
      <c r="U1140" t="str">
        <f>IF(O1140=O1141,"",S1140/T1140)</f>
        <v/>
      </c>
      <c r="V1140" t="str">
        <f>IF(U1140="","",IF(ABS(Q1140-U1140)&gt;V$1,"error",""))</f>
        <v/>
      </c>
    </row>
    <row r="1141" spans="1:22" x14ac:dyDescent="0.55000000000000004">
      <c r="A1141">
        <v>14.268285000000001</v>
      </c>
      <c r="B1141" s="1">
        <v>5.0000000000000004E-6</v>
      </c>
      <c r="C1141" s="1">
        <v>5.0000000000000004E-6</v>
      </c>
      <c r="D1141" s="2" t="s">
        <v>0</v>
      </c>
      <c r="E1141">
        <v>1</v>
      </c>
      <c r="F1141" s="2" t="s">
        <v>2</v>
      </c>
      <c r="G1141">
        <v>1</v>
      </c>
      <c r="H1141">
        <v>2.5</v>
      </c>
      <c r="I1141" s="2" t="s">
        <v>0</v>
      </c>
      <c r="J1141">
        <v>1</v>
      </c>
      <c r="K1141" s="2" t="s">
        <v>2</v>
      </c>
      <c r="L1141">
        <v>1</v>
      </c>
      <c r="M1141">
        <v>1.5</v>
      </c>
      <c r="N1141" s="2" t="s">
        <v>42</v>
      </c>
      <c r="O1141" t="str">
        <f>D1141&amp;"-"&amp;E1141&amp;"-"&amp;F1141&amp;"-"&amp;G1141&amp;"-"&amp;H1141</f>
        <v>X-1-e-1-2.5</v>
      </c>
      <c r="P1141" t="str">
        <f>I1141&amp;"-"&amp;J1141&amp;"-"&amp;K1141&amp;"-"&amp;L1141&amp;"-"&amp;M1141</f>
        <v>X-1-e-1-1.5</v>
      </c>
      <c r="Q1141">
        <f>A1141+R1141</f>
        <v>1194.2368200000001</v>
      </c>
      <c r="R1141">
        <f>_xlfn.IFNA(VLOOKUP(P1141,PGOPHER!A$2:G$181,7,FALSE),_xlfn.IFNA(VLOOKUP(P1141,en!A$2:I$768,7,FALSE),-10000))</f>
        <v>1179.968535</v>
      </c>
      <c r="S1141">
        <f>IF(O1141=O1140,Q1140+S1140,Q1141)</f>
        <v>11942.369548000001</v>
      </c>
      <c r="T1141">
        <f>IF(O1141=O1140,T1140+1,1)</f>
        <v>10</v>
      </c>
      <c r="U1141">
        <f>IF(O1141=O1142,"",S1141/T1141)</f>
        <v>1194.2369548000001</v>
      </c>
      <c r="V1141" t="str">
        <f>IF(U1141="","",IF(ABS(Q1141-U1141)&gt;V$1,"error",""))</f>
        <v/>
      </c>
    </row>
    <row r="1142" spans="1:22" x14ac:dyDescent="0.55000000000000004">
      <c r="A1142">
        <v>1116.7954</v>
      </c>
      <c r="B1142" s="1">
        <v>1E-3</v>
      </c>
      <c r="C1142" s="1">
        <v>1E-3</v>
      </c>
      <c r="D1142" s="2" t="s">
        <v>0</v>
      </c>
      <c r="E1142">
        <v>1</v>
      </c>
      <c r="F1142" s="2" t="s">
        <v>2</v>
      </c>
      <c r="G1142">
        <v>2</v>
      </c>
      <c r="H1142">
        <v>2.5</v>
      </c>
      <c r="I1142" s="2" t="s">
        <v>0</v>
      </c>
      <c r="J1142">
        <v>1</v>
      </c>
      <c r="K1142" s="2" t="s">
        <v>2</v>
      </c>
      <c r="L1142">
        <v>1</v>
      </c>
      <c r="M1142">
        <v>3.5</v>
      </c>
      <c r="N1142" s="2" t="s">
        <v>397</v>
      </c>
      <c r="O1142" t="str">
        <f>D1142&amp;"-"&amp;E1142&amp;"-"&amp;F1142&amp;"-"&amp;G1142&amp;"-"&amp;H1142</f>
        <v>X-1-e-2-2.5</v>
      </c>
      <c r="P1142" t="str">
        <f>I1142&amp;"-"&amp;J1142&amp;"-"&amp;K1142&amp;"-"&amp;L1142&amp;"-"&amp;M1142</f>
        <v>X-1-e-1-3.5</v>
      </c>
      <c r="Q1142">
        <f>A1142+R1142</f>
        <v>2332.39653</v>
      </c>
      <c r="R1142">
        <f>_xlfn.IFNA(VLOOKUP(P1142,PGOPHER!A$2:G$181,7,FALSE),_xlfn.IFNA(VLOOKUP(P1142,en!A$2:I$768,7,FALSE),-10000))</f>
        <v>1215.60113</v>
      </c>
      <c r="S1142">
        <f>IF(O1142=O1141,Q1141+S1141,Q1142)</f>
        <v>2332.39653</v>
      </c>
      <c r="T1142">
        <f>IF(O1142=O1141,T1141+1,1)</f>
        <v>1</v>
      </c>
      <c r="U1142" t="str">
        <f>IF(O1142=O1143,"",S1142/T1142)</f>
        <v/>
      </c>
      <c r="V1142" t="str">
        <f>IF(U1142="","",IF(ABS(Q1142-U1142)&gt;V$1,"error",""))</f>
        <v/>
      </c>
    </row>
    <row r="1143" spans="1:22" x14ac:dyDescent="0.55000000000000004">
      <c r="A1143">
        <v>1152.4284</v>
      </c>
      <c r="B1143" s="1">
        <v>5.1599999999999997E-3</v>
      </c>
      <c r="C1143" s="1">
        <v>5.1599999999999997E-3</v>
      </c>
      <c r="D1143" s="2" t="s">
        <v>0</v>
      </c>
      <c r="E1143">
        <v>1</v>
      </c>
      <c r="F1143" s="2" t="s">
        <v>2</v>
      </c>
      <c r="G1143">
        <v>2</v>
      </c>
      <c r="H1143">
        <v>2.5</v>
      </c>
      <c r="I1143" s="2" t="s">
        <v>0</v>
      </c>
      <c r="J1143">
        <v>1</v>
      </c>
      <c r="K1143" s="2" t="s">
        <v>2</v>
      </c>
      <c r="L1143">
        <v>1</v>
      </c>
      <c r="M1143">
        <v>1.5</v>
      </c>
      <c r="N1143" s="2" t="s">
        <v>395</v>
      </c>
      <c r="O1143" t="str">
        <f>D1143&amp;"-"&amp;E1143&amp;"-"&amp;F1143&amp;"-"&amp;G1143&amp;"-"&amp;H1143</f>
        <v>X-1-e-2-2.5</v>
      </c>
      <c r="P1143" t="str">
        <f>I1143&amp;"-"&amp;J1143&amp;"-"&amp;K1143&amp;"-"&amp;L1143&amp;"-"&amp;M1143</f>
        <v>X-1-e-1-1.5</v>
      </c>
      <c r="Q1143">
        <f>A1143+R1143</f>
        <v>2332.3969349999998</v>
      </c>
      <c r="R1143">
        <f>_xlfn.IFNA(VLOOKUP(P1143,PGOPHER!A$2:G$181,7,FALSE),_xlfn.IFNA(VLOOKUP(P1143,en!A$2:I$768,7,FALSE),-10000))</f>
        <v>1179.968535</v>
      </c>
      <c r="S1143">
        <f>IF(O1143=O1142,Q1142+S1142,Q1143)</f>
        <v>4664.79306</v>
      </c>
      <c r="T1143">
        <f>IF(O1143=O1142,T1142+1,1)</f>
        <v>2</v>
      </c>
      <c r="U1143">
        <f>IF(O1143=O1144,"",S1143/T1143)</f>
        <v>2332.39653</v>
      </c>
      <c r="V1143" t="str">
        <f>IF(U1143="","",IF(ABS(Q1143-U1143)&gt;V$1,"error",""))</f>
        <v/>
      </c>
    </row>
    <row r="1144" spans="1:22" x14ac:dyDescent="0.55000000000000004">
      <c r="A1144">
        <v>1083.0517</v>
      </c>
      <c r="B1144" s="1">
        <v>1.5100000000000001E-2</v>
      </c>
      <c r="C1144" s="1">
        <v>1.5100000000000001E-2</v>
      </c>
      <c r="D1144" s="2" t="s">
        <v>0</v>
      </c>
      <c r="E1144">
        <v>1</v>
      </c>
      <c r="F1144" s="2" t="s">
        <v>2</v>
      </c>
      <c r="G1144">
        <v>3</v>
      </c>
      <c r="H1144">
        <v>2.5</v>
      </c>
      <c r="I1144" s="2" t="s">
        <v>0</v>
      </c>
      <c r="J1144">
        <v>1</v>
      </c>
      <c r="K1144" s="2" t="s">
        <v>2</v>
      </c>
      <c r="L1144">
        <v>2</v>
      </c>
      <c r="M1144">
        <v>3.5</v>
      </c>
      <c r="N1144" s="2" t="s">
        <v>525</v>
      </c>
      <c r="O1144" t="str">
        <f>D1144&amp;"-"&amp;E1144&amp;"-"&amp;F1144&amp;"-"&amp;G1144&amp;"-"&amp;H1144</f>
        <v>X-1-e-3-2.5</v>
      </c>
      <c r="P1144" t="str">
        <f>I1144&amp;"-"&amp;J1144&amp;"-"&amp;K1144&amp;"-"&amp;L1144&amp;"-"&amp;M1144</f>
        <v>X-1-e-2-3.5</v>
      </c>
      <c r="Q1144">
        <f>A1144+R1144</f>
        <v>3436.3273359999998</v>
      </c>
      <c r="R1144">
        <f>_xlfn.IFNA(VLOOKUP(P1144,PGOPHER!A$2:G$181,7,FALSE),_xlfn.IFNA(VLOOKUP(P1144,en!A$2:I$768,7,FALSE),-10000))</f>
        <v>2353.2756359999998</v>
      </c>
      <c r="S1144">
        <f>IF(O1144=O1143,Q1143+S1143,Q1144)</f>
        <v>3436.3273359999998</v>
      </c>
      <c r="T1144">
        <f>IF(O1144=O1143,T1143+1,1)</f>
        <v>1</v>
      </c>
      <c r="U1144" t="str">
        <f>IF(O1144=O1145,"",S1144/T1144)</f>
        <v/>
      </c>
      <c r="V1144" t="str">
        <f>IF(U1144="","",IF(ABS(Q1144-U1144)&gt;V$1,"error",""))</f>
        <v/>
      </c>
    </row>
    <row r="1145" spans="1:22" x14ac:dyDescent="0.55000000000000004">
      <c r="A1145">
        <v>1117.8742999999999</v>
      </c>
      <c r="B1145" s="1">
        <v>1.5100000000000001E-2</v>
      </c>
      <c r="C1145" s="1">
        <v>1.5100000000000001E-2</v>
      </c>
      <c r="D1145" s="2" t="s">
        <v>0</v>
      </c>
      <c r="E1145">
        <v>1</v>
      </c>
      <c r="F1145" s="2" t="s">
        <v>2</v>
      </c>
      <c r="G1145">
        <v>3</v>
      </c>
      <c r="H1145">
        <v>2.5</v>
      </c>
      <c r="I1145" s="2" t="s">
        <v>0</v>
      </c>
      <c r="J1145">
        <v>1</v>
      </c>
      <c r="K1145" s="2" t="s">
        <v>2</v>
      </c>
      <c r="L1145">
        <v>2</v>
      </c>
      <c r="M1145">
        <v>1.5</v>
      </c>
      <c r="N1145" s="2" t="s">
        <v>522</v>
      </c>
      <c r="O1145" t="str">
        <f>D1145&amp;"-"&amp;E1145&amp;"-"&amp;F1145&amp;"-"&amp;G1145&amp;"-"&amp;H1145</f>
        <v>X-1-e-3-2.5</v>
      </c>
      <c r="P1145" t="str">
        <f>I1145&amp;"-"&amp;J1145&amp;"-"&amp;K1145&amp;"-"&amp;L1145&amp;"-"&amp;M1145</f>
        <v>X-1-e-2-1.5</v>
      </c>
      <c r="Q1145">
        <f>A1145+R1145</f>
        <v>3436.3279979999998</v>
      </c>
      <c r="R1145">
        <f>_xlfn.IFNA(VLOOKUP(P1145,PGOPHER!A$2:G$181,7,FALSE),_xlfn.IFNA(VLOOKUP(P1145,en!A$2:I$768,7,FALSE),-10000))</f>
        <v>2318.4536979999998</v>
      </c>
      <c r="S1145">
        <f>IF(O1145=O1144,Q1144+S1144,Q1145)</f>
        <v>6872.6546719999997</v>
      </c>
      <c r="T1145">
        <f>IF(O1145=O1144,T1144+1,1)</f>
        <v>2</v>
      </c>
      <c r="U1145">
        <f>IF(O1145=O1146,"",S1145/T1145)</f>
        <v>3436.3273359999998</v>
      </c>
      <c r="V1145" t="str">
        <f>IF(U1145="","",IF(ABS(Q1145-U1145)&gt;V$1,"error",""))</f>
        <v/>
      </c>
    </row>
    <row r="1146" spans="1:22" x14ac:dyDescent="0.55000000000000004">
      <c r="A1146">
        <v>1193.5726400000001</v>
      </c>
      <c r="B1146" s="1">
        <v>1E-3</v>
      </c>
      <c r="C1146" s="1">
        <v>1E-3</v>
      </c>
      <c r="D1146" s="2" t="s">
        <v>0</v>
      </c>
      <c r="E1146">
        <v>2</v>
      </c>
      <c r="F1146" s="2" t="s">
        <v>1</v>
      </c>
      <c r="G1146">
        <v>1</v>
      </c>
      <c r="H1146">
        <v>2.5</v>
      </c>
      <c r="I1146" s="2" t="s">
        <v>0</v>
      </c>
      <c r="J1146">
        <v>2</v>
      </c>
      <c r="K1146" s="2" t="s">
        <v>1</v>
      </c>
      <c r="L1146">
        <v>0</v>
      </c>
      <c r="M1146">
        <v>1.5</v>
      </c>
      <c r="N1146" s="2" t="s">
        <v>49</v>
      </c>
      <c r="O1146" t="str">
        <f>D1146&amp;"-"&amp;E1146&amp;"-"&amp;F1146&amp;"-"&amp;G1146&amp;"-"&amp;H1146</f>
        <v>X-2-f-1-2.5</v>
      </c>
      <c r="P1146" t="str">
        <f>I1146&amp;"-"&amp;J1146&amp;"-"&amp;K1146&amp;"-"&amp;L1146&amp;"-"&amp;M1146</f>
        <v>X-2-f-0-1.5</v>
      </c>
      <c r="Q1146">
        <f>A1146+R1146</f>
        <v>1215.182536</v>
      </c>
      <c r="R1146">
        <f>_xlfn.IFNA(VLOOKUP(P1146,PGOPHER!A$2:G$181,7,FALSE),_xlfn.IFNA(VLOOKUP(P1146,en!A$2:I$768,7,FALSE),-10000))</f>
        <v>21.609895999999999</v>
      </c>
      <c r="S1146">
        <f>IF(O1146=O1145,Q1145+S1145,Q1146)</f>
        <v>1215.182536</v>
      </c>
      <c r="T1146">
        <f>IF(O1146=O1145,T1145+1,1)</f>
        <v>1</v>
      </c>
      <c r="U1146" t="str">
        <f>IF(O1146=O1147,"",S1146/T1146)</f>
        <v/>
      </c>
      <c r="V1146" t="str">
        <f>IF(U1146="","",IF(ABS(Q1146-U1146)&gt;V$1,"error",""))</f>
        <v/>
      </c>
    </row>
    <row r="1147" spans="1:22" x14ac:dyDescent="0.55000000000000004">
      <c r="A1147">
        <v>1193.5715</v>
      </c>
      <c r="B1147" s="1">
        <v>1E-3</v>
      </c>
      <c r="C1147" s="1">
        <v>1E-3</v>
      </c>
      <c r="D1147" s="2" t="s">
        <v>0</v>
      </c>
      <c r="E1147">
        <v>2</v>
      </c>
      <c r="F1147" s="2" t="s">
        <v>1</v>
      </c>
      <c r="G1147">
        <v>1</v>
      </c>
      <c r="H1147">
        <v>2.5</v>
      </c>
      <c r="I1147" s="2" t="s">
        <v>0</v>
      </c>
      <c r="J1147">
        <v>2</v>
      </c>
      <c r="K1147" s="2" t="s">
        <v>1</v>
      </c>
      <c r="L1147">
        <v>0</v>
      </c>
      <c r="M1147">
        <v>1.5</v>
      </c>
      <c r="N1147" s="2" t="s">
        <v>52</v>
      </c>
      <c r="O1147" t="str">
        <f>D1147&amp;"-"&amp;E1147&amp;"-"&amp;F1147&amp;"-"&amp;G1147&amp;"-"&amp;H1147</f>
        <v>X-2-f-1-2.5</v>
      </c>
      <c r="P1147" t="str">
        <f>I1147&amp;"-"&amp;J1147&amp;"-"&amp;K1147&amp;"-"&amp;L1147&amp;"-"&amp;M1147</f>
        <v>X-2-f-0-1.5</v>
      </c>
      <c r="Q1147">
        <f>A1147+R1147</f>
        <v>1215.1813959999999</v>
      </c>
      <c r="R1147">
        <f>_xlfn.IFNA(VLOOKUP(P1147,PGOPHER!A$2:G$181,7,FALSE),_xlfn.IFNA(VLOOKUP(P1147,en!A$2:I$768,7,FALSE),-10000))</f>
        <v>21.609895999999999</v>
      </c>
      <c r="S1147">
        <f>IF(O1147=O1146,Q1146+S1146,Q1147)</f>
        <v>2430.3650720000001</v>
      </c>
      <c r="T1147">
        <f>IF(O1147=O1146,T1146+1,1)</f>
        <v>2</v>
      </c>
      <c r="U1147" t="str">
        <f>IF(O1147=O1148,"",S1147/T1147)</f>
        <v/>
      </c>
      <c r="V1147" t="str">
        <f>IF(U1147="","",IF(ABS(Q1147-U1147)&gt;V$1,"error",""))</f>
        <v/>
      </c>
    </row>
    <row r="1148" spans="1:22" x14ac:dyDescent="0.55000000000000004">
      <c r="A1148">
        <v>1193.5715</v>
      </c>
      <c r="B1148" s="1">
        <v>1E-3</v>
      </c>
      <c r="C1148" s="1">
        <v>1E-3</v>
      </c>
      <c r="D1148" s="2" t="s">
        <v>0</v>
      </c>
      <c r="E1148">
        <v>2</v>
      </c>
      <c r="F1148" s="2" t="s">
        <v>1</v>
      </c>
      <c r="G1148">
        <v>1</v>
      </c>
      <c r="H1148">
        <v>2.5</v>
      </c>
      <c r="I1148" s="2" t="s">
        <v>0</v>
      </c>
      <c r="J1148">
        <v>2</v>
      </c>
      <c r="K1148" s="2" t="s">
        <v>1</v>
      </c>
      <c r="L1148">
        <v>0</v>
      </c>
      <c r="M1148">
        <v>1.5</v>
      </c>
      <c r="N1148" s="2" t="s">
        <v>46</v>
      </c>
      <c r="O1148" t="str">
        <f>D1148&amp;"-"&amp;E1148&amp;"-"&amp;F1148&amp;"-"&amp;G1148&amp;"-"&amp;H1148</f>
        <v>X-2-f-1-2.5</v>
      </c>
      <c r="P1148" t="str">
        <f>I1148&amp;"-"&amp;J1148&amp;"-"&amp;K1148&amp;"-"&amp;L1148&amp;"-"&amp;M1148</f>
        <v>X-2-f-0-1.5</v>
      </c>
      <c r="Q1148">
        <f>A1148+R1148</f>
        <v>1215.1813959999999</v>
      </c>
      <c r="R1148">
        <f>_xlfn.IFNA(VLOOKUP(P1148,PGOPHER!A$2:G$181,7,FALSE),_xlfn.IFNA(VLOOKUP(P1148,en!A$2:I$768,7,FALSE),-10000))</f>
        <v>21.609895999999999</v>
      </c>
      <c r="S1148">
        <f>IF(O1148=O1147,Q1147+S1147,Q1148)</f>
        <v>3645.546468</v>
      </c>
      <c r="T1148">
        <f>IF(O1148=O1147,T1147+1,1)</f>
        <v>3</v>
      </c>
      <c r="U1148" t="str">
        <f>IF(O1148=O1149,"",S1148/T1148)</f>
        <v/>
      </c>
      <c r="V1148" t="str">
        <f>IF(U1148="","",IF(ABS(Q1148-U1148)&gt;V$1,"error",""))</f>
        <v/>
      </c>
    </row>
    <row r="1149" spans="1:22" x14ac:dyDescent="0.55000000000000004">
      <c r="A1149">
        <v>1142.8775000000001</v>
      </c>
      <c r="B1149" s="1">
        <v>1E-3</v>
      </c>
      <c r="C1149" s="1">
        <v>1E-3</v>
      </c>
      <c r="D1149" s="2" t="s">
        <v>0</v>
      </c>
      <c r="E1149">
        <v>2</v>
      </c>
      <c r="F1149" s="2" t="s">
        <v>1</v>
      </c>
      <c r="G1149">
        <v>1</v>
      </c>
      <c r="H1149">
        <v>2.5</v>
      </c>
      <c r="I1149" s="2" t="s">
        <v>0</v>
      </c>
      <c r="J1149">
        <v>2</v>
      </c>
      <c r="K1149" s="2" t="s">
        <v>1</v>
      </c>
      <c r="L1149">
        <v>0</v>
      </c>
      <c r="M1149">
        <v>3.5</v>
      </c>
      <c r="N1149" s="2" t="s">
        <v>41</v>
      </c>
      <c r="O1149" t="str">
        <f>D1149&amp;"-"&amp;E1149&amp;"-"&amp;F1149&amp;"-"&amp;G1149&amp;"-"&amp;H1149</f>
        <v>X-2-f-1-2.5</v>
      </c>
      <c r="P1149" t="str">
        <f>I1149&amp;"-"&amp;J1149&amp;"-"&amp;K1149&amp;"-"&amp;L1149&amp;"-"&amp;M1149</f>
        <v>X-2-f-0-3.5</v>
      </c>
      <c r="Q1149">
        <f>A1149+R1149</f>
        <v>1215.1820560000001</v>
      </c>
      <c r="R1149">
        <f>_xlfn.IFNA(VLOOKUP(P1149,PGOPHER!A$2:G$181,7,FALSE),_xlfn.IFNA(VLOOKUP(P1149,en!A$2:I$768,7,FALSE),-10000))</f>
        <v>72.304556000000005</v>
      </c>
      <c r="S1149">
        <f>IF(O1149=O1148,Q1148+S1148,Q1149)</f>
        <v>4860.7278640000004</v>
      </c>
      <c r="T1149">
        <f>IF(O1149=O1148,T1148+1,1)</f>
        <v>4</v>
      </c>
      <c r="U1149" t="str">
        <f>IF(O1149=O1150,"",S1149/T1149)</f>
        <v/>
      </c>
      <c r="V1149" t="str">
        <f>IF(U1149="","",IF(ABS(Q1149-U1149)&gt;V$1,"error",""))</f>
        <v/>
      </c>
    </row>
    <row r="1150" spans="1:22" x14ac:dyDescent="0.55000000000000004">
      <c r="A1150">
        <v>1142.8788</v>
      </c>
      <c r="B1150" s="1">
        <v>1.495E-3</v>
      </c>
      <c r="C1150" s="1">
        <v>1.495E-3</v>
      </c>
      <c r="D1150" s="2" t="s">
        <v>0</v>
      </c>
      <c r="E1150">
        <v>2</v>
      </c>
      <c r="F1150" s="2" t="s">
        <v>1</v>
      </c>
      <c r="G1150">
        <v>1</v>
      </c>
      <c r="H1150">
        <v>2.5</v>
      </c>
      <c r="I1150" s="2" t="s">
        <v>0</v>
      </c>
      <c r="J1150">
        <v>2</v>
      </c>
      <c r="K1150" s="2" t="s">
        <v>1</v>
      </c>
      <c r="L1150">
        <v>0</v>
      </c>
      <c r="M1150">
        <v>3.5</v>
      </c>
      <c r="N1150" s="2" t="s">
        <v>39</v>
      </c>
      <c r="O1150" t="str">
        <f>D1150&amp;"-"&amp;E1150&amp;"-"&amp;F1150&amp;"-"&amp;G1150&amp;"-"&amp;H1150</f>
        <v>X-2-f-1-2.5</v>
      </c>
      <c r="P1150" t="str">
        <f>I1150&amp;"-"&amp;J1150&amp;"-"&amp;K1150&amp;"-"&amp;L1150&amp;"-"&amp;M1150</f>
        <v>X-2-f-0-3.5</v>
      </c>
      <c r="Q1150">
        <f>A1150+R1150</f>
        <v>1215.183356</v>
      </c>
      <c r="R1150">
        <f>_xlfn.IFNA(VLOOKUP(P1150,PGOPHER!A$2:G$181,7,FALSE),_xlfn.IFNA(VLOOKUP(P1150,en!A$2:I$768,7,FALSE),-10000))</f>
        <v>72.304556000000005</v>
      </c>
      <c r="S1150">
        <f>IF(O1150=O1149,Q1149+S1149,Q1150)</f>
        <v>6075.9099200000001</v>
      </c>
      <c r="T1150">
        <f>IF(O1150=O1149,T1149+1,1)</f>
        <v>5</v>
      </c>
      <c r="U1150" t="str">
        <f>IF(O1150=O1151,"",S1150/T1150)</f>
        <v/>
      </c>
      <c r="V1150" t="str">
        <f>IF(U1150="","",IF(ABS(Q1150-U1150)&gt;V$1,"error",""))</f>
        <v/>
      </c>
    </row>
    <row r="1151" spans="1:22" x14ac:dyDescent="0.55000000000000004">
      <c r="A1151">
        <v>1142.8788</v>
      </c>
      <c r="B1151" s="1">
        <v>2E-3</v>
      </c>
      <c r="C1151" s="1">
        <v>2E-3</v>
      </c>
      <c r="D1151" s="2" t="s">
        <v>0</v>
      </c>
      <c r="E1151">
        <v>2</v>
      </c>
      <c r="F1151" s="2" t="s">
        <v>1</v>
      </c>
      <c r="G1151">
        <v>1</v>
      </c>
      <c r="H1151">
        <v>2.5</v>
      </c>
      <c r="I1151" s="2" t="s">
        <v>0</v>
      </c>
      <c r="J1151">
        <v>2</v>
      </c>
      <c r="K1151" s="2" t="s">
        <v>1</v>
      </c>
      <c r="L1151">
        <v>0</v>
      </c>
      <c r="M1151">
        <v>3.5</v>
      </c>
      <c r="N1151" s="2" t="s">
        <v>53</v>
      </c>
      <c r="O1151" t="str">
        <f>D1151&amp;"-"&amp;E1151&amp;"-"&amp;F1151&amp;"-"&amp;G1151&amp;"-"&amp;H1151</f>
        <v>X-2-f-1-2.5</v>
      </c>
      <c r="P1151" t="str">
        <f>I1151&amp;"-"&amp;J1151&amp;"-"&amp;K1151&amp;"-"&amp;L1151&amp;"-"&amp;M1151</f>
        <v>X-2-f-0-3.5</v>
      </c>
      <c r="Q1151">
        <f>A1151+R1151</f>
        <v>1215.183356</v>
      </c>
      <c r="R1151">
        <f>_xlfn.IFNA(VLOOKUP(P1151,PGOPHER!A$2:G$181,7,FALSE),_xlfn.IFNA(VLOOKUP(P1151,en!A$2:I$768,7,FALSE),-10000))</f>
        <v>72.304556000000005</v>
      </c>
      <c r="S1151">
        <f>IF(O1151=O1150,Q1150+S1150,Q1151)</f>
        <v>7291.0932759999996</v>
      </c>
      <c r="T1151">
        <f>IF(O1151=O1150,T1150+1,1)</f>
        <v>6</v>
      </c>
      <c r="U1151" t="str">
        <f>IF(O1151=O1152,"",S1151/T1151)</f>
        <v/>
      </c>
      <c r="V1151" t="str">
        <f>IF(U1151="","",IF(ABS(Q1151-U1151)&gt;V$1,"error",""))</f>
        <v/>
      </c>
    </row>
    <row r="1152" spans="1:22" x14ac:dyDescent="0.55000000000000004">
      <c r="A1152">
        <v>1193.5715</v>
      </c>
      <c r="B1152" s="1">
        <v>7.1300000000000001E-3</v>
      </c>
      <c r="C1152" s="1">
        <v>7.1300000000000001E-3</v>
      </c>
      <c r="D1152" s="2" t="s">
        <v>0</v>
      </c>
      <c r="E1152">
        <v>2</v>
      </c>
      <c r="F1152" s="2" t="s">
        <v>1</v>
      </c>
      <c r="G1152">
        <v>1</v>
      </c>
      <c r="H1152">
        <v>2.5</v>
      </c>
      <c r="I1152" s="2" t="s">
        <v>0</v>
      </c>
      <c r="J1152">
        <v>2</v>
      </c>
      <c r="K1152" s="2" t="s">
        <v>1</v>
      </c>
      <c r="L1152">
        <v>0</v>
      </c>
      <c r="M1152">
        <v>1.5</v>
      </c>
      <c r="N1152" s="2" t="s">
        <v>37</v>
      </c>
      <c r="O1152" t="str">
        <f>D1152&amp;"-"&amp;E1152&amp;"-"&amp;F1152&amp;"-"&amp;G1152&amp;"-"&amp;H1152</f>
        <v>X-2-f-1-2.5</v>
      </c>
      <c r="P1152" t="str">
        <f>I1152&amp;"-"&amp;J1152&amp;"-"&amp;K1152&amp;"-"&amp;L1152&amp;"-"&amp;M1152</f>
        <v>X-2-f-0-1.5</v>
      </c>
      <c r="Q1152">
        <f>A1152+R1152</f>
        <v>1215.1813959999999</v>
      </c>
      <c r="R1152">
        <f>_xlfn.IFNA(VLOOKUP(P1152,PGOPHER!A$2:G$181,7,FALSE),_xlfn.IFNA(VLOOKUP(P1152,en!A$2:I$768,7,FALSE),-10000))</f>
        <v>21.609895999999999</v>
      </c>
      <c r="S1152">
        <f>IF(O1152=O1151,Q1151+S1151,Q1152)</f>
        <v>8506.2766319999992</v>
      </c>
      <c r="T1152">
        <f>IF(O1152=O1151,T1151+1,1)</f>
        <v>7</v>
      </c>
      <c r="U1152" t="str">
        <f>IF(O1152=O1153,"",S1152/T1152)</f>
        <v/>
      </c>
      <c r="V1152" t="str">
        <f>IF(U1152="","",IF(ABS(Q1152-U1152)&gt;V$1,"error",""))</f>
        <v/>
      </c>
    </row>
    <row r="1153" spans="1:22" x14ac:dyDescent="0.55000000000000004">
      <c r="A1153">
        <v>1142.87752</v>
      </c>
      <c r="B1153" s="1">
        <v>1E-3</v>
      </c>
      <c r="C1153" s="1">
        <v>1E-3</v>
      </c>
      <c r="D1153" s="2" t="s">
        <v>0</v>
      </c>
      <c r="E1153">
        <v>2</v>
      </c>
      <c r="F1153" s="2" t="s">
        <v>1</v>
      </c>
      <c r="G1153">
        <v>1</v>
      </c>
      <c r="H1153">
        <v>2.5</v>
      </c>
      <c r="I1153" s="2" t="s">
        <v>0</v>
      </c>
      <c r="J1153">
        <v>2</v>
      </c>
      <c r="K1153" s="2" t="s">
        <v>1</v>
      </c>
      <c r="L1153">
        <v>0</v>
      </c>
      <c r="M1153">
        <v>3.5</v>
      </c>
      <c r="N1153" s="2" t="s">
        <v>50</v>
      </c>
      <c r="O1153" t="str">
        <f>D1153&amp;"-"&amp;E1153&amp;"-"&amp;F1153&amp;"-"&amp;G1153&amp;"-"&amp;H1153</f>
        <v>X-2-f-1-2.5</v>
      </c>
      <c r="P1153" t="str">
        <f>I1153&amp;"-"&amp;J1153&amp;"-"&amp;K1153&amp;"-"&amp;L1153&amp;"-"&amp;M1153</f>
        <v>X-2-f-0-3.5</v>
      </c>
      <c r="Q1153">
        <f>A1153+R1153</f>
        <v>1215.1820760000001</v>
      </c>
      <c r="R1153">
        <f>_xlfn.IFNA(VLOOKUP(P1153,PGOPHER!A$2:G$181,7,FALSE),_xlfn.IFNA(VLOOKUP(P1153,en!A$2:I$768,7,FALSE),-10000))</f>
        <v>72.304556000000005</v>
      </c>
      <c r="S1153">
        <f>IF(O1153=O1152,Q1152+S1152,Q1153)</f>
        <v>9721.4580279999991</v>
      </c>
      <c r="T1153">
        <f>IF(O1153=O1152,T1152+1,1)</f>
        <v>8</v>
      </c>
      <c r="U1153" t="str">
        <f>IF(O1153=O1154,"",S1153/T1153)</f>
        <v/>
      </c>
      <c r="V1153" t="str">
        <f>IF(U1153="","",IF(ABS(Q1153-U1153)&gt;V$1,"error",""))</f>
        <v/>
      </c>
    </row>
    <row r="1154" spans="1:22" x14ac:dyDescent="0.55000000000000004">
      <c r="A1154">
        <v>1193.5726</v>
      </c>
      <c r="B1154" s="1">
        <v>5.9199999999999999E-3</v>
      </c>
      <c r="C1154" s="1">
        <v>5.9199999999999999E-3</v>
      </c>
      <c r="D1154" s="2" t="s">
        <v>0</v>
      </c>
      <c r="E1154">
        <v>2</v>
      </c>
      <c r="F1154" s="2" t="s">
        <v>1</v>
      </c>
      <c r="G1154">
        <v>1</v>
      </c>
      <c r="H1154">
        <v>2.5</v>
      </c>
      <c r="I1154" s="2" t="s">
        <v>0</v>
      </c>
      <c r="J1154">
        <v>2</v>
      </c>
      <c r="K1154" s="2" t="s">
        <v>1</v>
      </c>
      <c r="L1154">
        <v>0</v>
      </c>
      <c r="M1154">
        <v>1.5</v>
      </c>
      <c r="N1154" s="2" t="s">
        <v>36</v>
      </c>
      <c r="O1154" t="str">
        <f>D1154&amp;"-"&amp;E1154&amp;"-"&amp;F1154&amp;"-"&amp;G1154&amp;"-"&amp;H1154</f>
        <v>X-2-f-1-2.5</v>
      </c>
      <c r="P1154" t="str">
        <f>I1154&amp;"-"&amp;J1154&amp;"-"&amp;K1154&amp;"-"&amp;L1154&amp;"-"&amp;M1154</f>
        <v>X-2-f-0-1.5</v>
      </c>
      <c r="Q1154">
        <f>A1154+R1154</f>
        <v>1215.1824959999999</v>
      </c>
      <c r="R1154">
        <f>_xlfn.IFNA(VLOOKUP(P1154,PGOPHER!A$2:G$181,7,FALSE),_xlfn.IFNA(VLOOKUP(P1154,en!A$2:I$768,7,FALSE),-10000))</f>
        <v>21.609895999999999</v>
      </c>
      <c r="S1154">
        <f>IF(O1154=O1153,Q1153+S1153,Q1154)</f>
        <v>10936.640103999998</v>
      </c>
      <c r="T1154">
        <f>IF(O1154=O1153,T1153+1,1)</f>
        <v>9</v>
      </c>
      <c r="U1154" t="str">
        <f>IF(O1154=O1155,"",S1154/T1154)</f>
        <v/>
      </c>
      <c r="V1154" t="str">
        <f>IF(U1154="","",IF(ABS(Q1154-U1154)&gt;V$1,"error",""))</f>
        <v/>
      </c>
    </row>
    <row r="1155" spans="1:22" x14ac:dyDescent="0.55000000000000004">
      <c r="A1155">
        <v>1142.8765000000001</v>
      </c>
      <c r="B1155" s="1">
        <v>1E-3</v>
      </c>
      <c r="C1155" s="1">
        <v>1E-3</v>
      </c>
      <c r="D1155" s="2" t="s">
        <v>0</v>
      </c>
      <c r="E1155">
        <v>2</v>
      </c>
      <c r="F1155" s="2" t="s">
        <v>1</v>
      </c>
      <c r="G1155">
        <v>1</v>
      </c>
      <c r="H1155">
        <v>2.5</v>
      </c>
      <c r="I1155" s="2" t="s">
        <v>0</v>
      </c>
      <c r="J1155">
        <v>2</v>
      </c>
      <c r="K1155" s="2" t="s">
        <v>1</v>
      </c>
      <c r="L1155">
        <v>0</v>
      </c>
      <c r="M1155">
        <v>3.5</v>
      </c>
      <c r="N1155" s="2" t="s">
        <v>45</v>
      </c>
      <c r="O1155" t="str">
        <f>D1155&amp;"-"&amp;E1155&amp;"-"&amp;F1155&amp;"-"&amp;G1155&amp;"-"&amp;H1155</f>
        <v>X-2-f-1-2.5</v>
      </c>
      <c r="P1155" t="str">
        <f>I1155&amp;"-"&amp;J1155&amp;"-"&amp;K1155&amp;"-"&amp;L1155&amp;"-"&amp;M1155</f>
        <v>X-2-f-0-3.5</v>
      </c>
      <c r="Q1155">
        <f>A1155+R1155</f>
        <v>1215.1810560000001</v>
      </c>
      <c r="R1155">
        <f>_xlfn.IFNA(VLOOKUP(P1155,PGOPHER!A$2:G$181,7,FALSE),_xlfn.IFNA(VLOOKUP(P1155,en!A$2:I$768,7,FALSE),-10000))</f>
        <v>72.304556000000005</v>
      </c>
      <c r="S1155">
        <f>IF(O1155=O1154,Q1154+S1154,Q1155)</f>
        <v>12151.822599999998</v>
      </c>
      <c r="T1155">
        <f>IF(O1155=O1154,T1154+1,1)</f>
        <v>10</v>
      </c>
      <c r="U1155">
        <f>IF(O1155=O1156,"",S1155/T1155)</f>
        <v>1215.1822599999998</v>
      </c>
      <c r="V1155" t="str">
        <f>IF(U1155="","",IF(ABS(Q1155-U1155)&gt;V$1,"error",""))</f>
        <v/>
      </c>
    </row>
    <row r="1156" spans="1:22" x14ac:dyDescent="0.55000000000000004">
      <c r="A1156">
        <v>1109.3577</v>
      </c>
      <c r="B1156" s="1">
        <v>1.17E-2</v>
      </c>
      <c r="C1156" s="1">
        <v>1.17E-2</v>
      </c>
      <c r="D1156" s="2" t="s">
        <v>0</v>
      </c>
      <c r="E1156">
        <v>2</v>
      </c>
      <c r="F1156" s="2" t="s">
        <v>1</v>
      </c>
      <c r="G1156">
        <v>2</v>
      </c>
      <c r="H1156">
        <v>2.5</v>
      </c>
      <c r="I1156" s="2" t="s">
        <v>0</v>
      </c>
      <c r="J1156">
        <v>2</v>
      </c>
      <c r="K1156" s="2" t="s">
        <v>1</v>
      </c>
      <c r="L1156">
        <v>1</v>
      </c>
      <c r="M1156">
        <v>3.5</v>
      </c>
      <c r="N1156" s="2" t="s">
        <v>398</v>
      </c>
      <c r="O1156" t="str">
        <f>D1156&amp;"-"&amp;E1156&amp;"-"&amp;F1156&amp;"-"&amp;G1156&amp;"-"&amp;H1156</f>
        <v>X-2-f-2-2.5</v>
      </c>
      <c r="P1156" t="str">
        <f>I1156&amp;"-"&amp;J1156&amp;"-"&amp;K1156&amp;"-"&amp;L1156&amp;"-"&amp;M1156</f>
        <v>X-2-f-1-3.5</v>
      </c>
      <c r="Q1156">
        <f>A1156+R1156</f>
        <v>2352.8710470000001</v>
      </c>
      <c r="R1156">
        <f>_xlfn.IFNA(VLOOKUP(P1156,PGOPHER!A$2:G$181,7,FALSE),_xlfn.IFNA(VLOOKUP(P1156,en!A$2:I$768,7,FALSE),-10000))</f>
        <v>1243.5133470000001</v>
      </c>
      <c r="S1156">
        <f>IF(O1156=O1155,Q1155+S1155,Q1156)</f>
        <v>2352.8710470000001</v>
      </c>
      <c r="T1156">
        <f>IF(O1156=O1155,T1155+1,1)</f>
        <v>1</v>
      </c>
      <c r="U1156" t="str">
        <f>IF(O1156=O1157,"",S1156/T1156)</f>
        <v/>
      </c>
      <c r="V1156" t="str">
        <f>IF(U1156="","",IF(ABS(Q1156-U1156)&gt;V$1,"error",""))</f>
        <v/>
      </c>
    </row>
    <row r="1157" spans="1:22" x14ac:dyDescent="0.55000000000000004">
      <c r="A1157">
        <v>1158.9344000000001</v>
      </c>
      <c r="B1157" s="1">
        <v>3.7600000000000001E-2</v>
      </c>
      <c r="C1157" s="1">
        <v>3.7600000000000001E-2</v>
      </c>
      <c r="D1157" s="2" t="s">
        <v>0</v>
      </c>
      <c r="E1157">
        <v>2</v>
      </c>
      <c r="F1157" s="2" t="s">
        <v>1</v>
      </c>
      <c r="G1157">
        <v>2</v>
      </c>
      <c r="H1157">
        <v>2.5</v>
      </c>
      <c r="I1157" s="2" t="s">
        <v>0</v>
      </c>
      <c r="J1157">
        <v>2</v>
      </c>
      <c r="K1157" s="2" t="s">
        <v>1</v>
      </c>
      <c r="L1157">
        <v>1</v>
      </c>
      <c r="M1157">
        <v>1.5</v>
      </c>
      <c r="N1157" s="2" t="s">
        <v>396</v>
      </c>
      <c r="O1157" t="str">
        <f>D1157&amp;"-"&amp;E1157&amp;"-"&amp;F1157&amp;"-"&amp;G1157&amp;"-"&amp;H1157</f>
        <v>X-2-f-2-2.5</v>
      </c>
      <c r="P1157" t="str">
        <f>I1157&amp;"-"&amp;J1157&amp;"-"&amp;K1157&amp;"-"&amp;L1157&amp;"-"&amp;M1157</f>
        <v>X-2-f-1-1.5</v>
      </c>
      <c r="Q1157">
        <f>A1157+R1157</f>
        <v>2352.871525</v>
      </c>
      <c r="R1157">
        <f>_xlfn.IFNA(VLOOKUP(P1157,PGOPHER!A$2:G$181,7,FALSE),_xlfn.IFNA(VLOOKUP(P1157,en!A$2:I$768,7,FALSE),-10000))</f>
        <v>1193.9371249999999</v>
      </c>
      <c r="S1157">
        <f>IF(O1157=O1156,Q1156+S1156,Q1157)</f>
        <v>4705.7420940000002</v>
      </c>
      <c r="T1157">
        <f>IF(O1157=O1156,T1156+1,1)</f>
        <v>2</v>
      </c>
      <c r="U1157">
        <f>IF(O1157=O1158,"",S1157/T1157)</f>
        <v>2352.8710470000001</v>
      </c>
      <c r="V1157" t="str">
        <f>IF(U1157="","",IF(ABS(Q1157-U1157)&gt;V$1,"error",""))</f>
        <v/>
      </c>
    </row>
    <row r="1158" spans="1:22" x14ac:dyDescent="0.55000000000000004">
      <c r="A1158">
        <v>1124.2168999999999</v>
      </c>
      <c r="B1158" s="1">
        <v>1E-3</v>
      </c>
      <c r="C1158" s="1">
        <v>1E-3</v>
      </c>
      <c r="D1158" s="2" t="s">
        <v>0</v>
      </c>
      <c r="E1158">
        <v>2</v>
      </c>
      <c r="F1158" s="2" t="s">
        <v>1</v>
      </c>
      <c r="G1158">
        <v>3</v>
      </c>
      <c r="H1158">
        <v>2.5</v>
      </c>
      <c r="I1158" s="2" t="s">
        <v>0</v>
      </c>
      <c r="J1158">
        <v>2</v>
      </c>
      <c r="K1158" s="2" t="s">
        <v>1</v>
      </c>
      <c r="L1158">
        <v>2</v>
      </c>
      <c r="M1158">
        <v>1.5</v>
      </c>
      <c r="N1158" s="2" t="s">
        <v>524</v>
      </c>
      <c r="O1158" t="str">
        <f>D1158&amp;"-"&amp;E1158&amp;"-"&amp;F1158&amp;"-"&amp;G1158&amp;"-"&amp;H1158</f>
        <v>X-2-f-3-2.5</v>
      </c>
      <c r="P1158" t="str">
        <f>I1158&amp;"-"&amp;J1158&amp;"-"&amp;K1158&amp;"-"&amp;L1158&amp;"-"&amp;M1158</f>
        <v>X-2-f-2-1.5</v>
      </c>
      <c r="Q1158">
        <f>A1158+R1158</f>
        <v>3456.324838</v>
      </c>
      <c r="R1158">
        <f>_xlfn.IFNA(VLOOKUP(P1158,PGOPHER!A$2:G$181,7,FALSE),_xlfn.IFNA(VLOOKUP(P1158,en!A$2:I$768,7,FALSE),-10000))</f>
        <v>2332.1079380000001</v>
      </c>
      <c r="S1158">
        <f>IF(O1158=O1157,Q1157+S1157,Q1158)</f>
        <v>3456.324838</v>
      </c>
      <c r="T1158">
        <f>IF(O1158=O1157,T1157+1,1)</f>
        <v>1</v>
      </c>
      <c r="U1158" t="str">
        <f>IF(O1158=O1159,"",S1158/T1158)</f>
        <v/>
      </c>
      <c r="V1158" t="str">
        <f>IF(U1158="","",IF(ABS(Q1158-U1158)&gt;V$1,"error",""))</f>
        <v/>
      </c>
    </row>
    <row r="1159" spans="1:22" x14ac:dyDescent="0.55000000000000004">
      <c r="A1159">
        <v>1075.7675999999999</v>
      </c>
      <c r="B1159" s="1">
        <v>1E-3</v>
      </c>
      <c r="C1159" s="1">
        <v>1E-3</v>
      </c>
      <c r="D1159" s="2" t="s">
        <v>0</v>
      </c>
      <c r="E1159">
        <v>2</v>
      </c>
      <c r="F1159" s="2" t="s">
        <v>1</v>
      </c>
      <c r="G1159">
        <v>3</v>
      </c>
      <c r="H1159">
        <v>2.5</v>
      </c>
      <c r="I1159" s="2" t="s">
        <v>0</v>
      </c>
      <c r="J1159">
        <v>2</v>
      </c>
      <c r="K1159" s="2" t="s">
        <v>1</v>
      </c>
      <c r="L1159">
        <v>2</v>
      </c>
      <c r="M1159">
        <v>3.5</v>
      </c>
      <c r="N1159" s="2" t="s">
        <v>523</v>
      </c>
      <c r="O1159" t="str">
        <f>D1159&amp;"-"&amp;E1159&amp;"-"&amp;F1159&amp;"-"&amp;G1159&amp;"-"&amp;H1159</f>
        <v>X-2-f-3-2.5</v>
      </c>
      <c r="P1159" t="str">
        <f>I1159&amp;"-"&amp;J1159&amp;"-"&amp;K1159&amp;"-"&amp;L1159&amp;"-"&amp;M1159</f>
        <v>X-2-f-2-3.5</v>
      </c>
      <c r="Q1159">
        <f>A1159+R1159</f>
        <v>3456.3261689999999</v>
      </c>
      <c r="R1159">
        <f>_xlfn.IFNA(VLOOKUP(P1159,PGOPHER!A$2:G$181,7,FALSE),_xlfn.IFNA(VLOOKUP(P1159,en!A$2:I$768,7,FALSE),-10000))</f>
        <v>2380.5585689999998</v>
      </c>
      <c r="S1159">
        <f>IF(O1159=O1158,Q1158+S1158,Q1159)</f>
        <v>6912.649676</v>
      </c>
      <c r="T1159">
        <f>IF(O1159=O1158,T1158+1,1)</f>
        <v>2</v>
      </c>
      <c r="U1159">
        <f>IF(O1159=O1160,"",S1159/T1159)</f>
        <v>3456.324838</v>
      </c>
      <c r="V1159" t="str">
        <f>IF(U1159="","",IF(ABS(Q1159-U1159)&gt;V$1,"error",""))</f>
        <v/>
      </c>
    </row>
    <row r="1160" spans="1:22" x14ac:dyDescent="0.55000000000000004">
      <c r="A1160">
        <v>1193.6814300000001</v>
      </c>
      <c r="B1160" s="1">
        <v>1E-3</v>
      </c>
      <c r="C1160" s="1">
        <v>1E-3</v>
      </c>
      <c r="D1160" s="2" t="s">
        <v>0</v>
      </c>
      <c r="E1160">
        <v>1</v>
      </c>
      <c r="F1160" s="2" t="s">
        <v>2</v>
      </c>
      <c r="G1160">
        <v>1</v>
      </c>
      <c r="H1160">
        <v>3.5</v>
      </c>
      <c r="I1160" s="2" t="s">
        <v>0</v>
      </c>
      <c r="J1160">
        <v>1</v>
      </c>
      <c r="K1160" s="2" t="s">
        <v>2</v>
      </c>
      <c r="L1160">
        <v>0</v>
      </c>
      <c r="M1160">
        <v>2.5</v>
      </c>
      <c r="N1160" s="2" t="s">
        <v>64</v>
      </c>
      <c r="O1160" t="str">
        <f>D1160&amp;"-"&amp;E1160&amp;"-"&amp;F1160&amp;"-"&amp;G1160&amp;"-"&amp;H1160</f>
        <v>X-1-e-1-3.5</v>
      </c>
      <c r="P1160" t="str">
        <f>I1160&amp;"-"&amp;J1160&amp;"-"&amp;K1160&amp;"-"&amp;L1160&amp;"-"&amp;M1160</f>
        <v>X-1-e-0-2.5</v>
      </c>
      <c r="Q1160">
        <f>A1160+R1160</f>
        <v>1215.60113</v>
      </c>
      <c r="R1160">
        <f>_xlfn.IFNA(VLOOKUP(P1160,PGOPHER!A$2:G$181,7,FALSE),_xlfn.IFNA(VLOOKUP(P1160,en!A$2:I$768,7,FALSE),-10000))</f>
        <v>21.919699999999999</v>
      </c>
      <c r="S1160">
        <f>IF(O1160=O1159,Q1159+S1159,Q1160)</f>
        <v>1215.60113</v>
      </c>
      <c r="T1160">
        <f>IF(O1160=O1159,T1159+1,1)</f>
        <v>1</v>
      </c>
      <c r="U1160" t="str">
        <f>IF(O1160=O1161,"",S1160/T1160)</f>
        <v/>
      </c>
      <c r="V1160" t="str">
        <f>IF(U1160="","",IF(ABS(Q1160-U1160)&gt;V$1,"error",""))</f>
        <v/>
      </c>
    </row>
    <row r="1161" spans="1:22" x14ac:dyDescent="0.55000000000000004">
      <c r="A1161">
        <v>1193.6813999999999</v>
      </c>
      <c r="B1161" s="1">
        <v>1E-3</v>
      </c>
      <c r="C1161" s="1">
        <v>1E-3</v>
      </c>
      <c r="D1161" s="2" t="s">
        <v>0</v>
      </c>
      <c r="E1161">
        <v>1</v>
      </c>
      <c r="F1161" s="2" t="s">
        <v>2</v>
      </c>
      <c r="G1161">
        <v>1</v>
      </c>
      <c r="H1161">
        <v>3.5</v>
      </c>
      <c r="I1161" s="2" t="s">
        <v>0</v>
      </c>
      <c r="J1161">
        <v>1</v>
      </c>
      <c r="K1161" s="2" t="s">
        <v>2</v>
      </c>
      <c r="L1161">
        <v>0</v>
      </c>
      <c r="M1161">
        <v>2.5</v>
      </c>
      <c r="N1161" s="2" t="s">
        <v>68</v>
      </c>
      <c r="O1161" t="str">
        <f>D1161&amp;"-"&amp;E1161&amp;"-"&amp;F1161&amp;"-"&amp;G1161&amp;"-"&amp;H1161</f>
        <v>X-1-e-1-3.5</v>
      </c>
      <c r="P1161" t="str">
        <f>I1161&amp;"-"&amp;J1161&amp;"-"&amp;K1161&amp;"-"&amp;L1161&amp;"-"&amp;M1161</f>
        <v>X-1-e-0-2.5</v>
      </c>
      <c r="Q1161">
        <f>A1161+R1161</f>
        <v>1215.6010999999999</v>
      </c>
      <c r="R1161">
        <f>_xlfn.IFNA(VLOOKUP(P1161,PGOPHER!A$2:G$181,7,FALSE),_xlfn.IFNA(VLOOKUP(P1161,en!A$2:I$768,7,FALSE),-10000))</f>
        <v>21.919699999999999</v>
      </c>
      <c r="S1161">
        <f>IF(O1161=O1160,Q1160+S1160,Q1161)</f>
        <v>2431.20226</v>
      </c>
      <c r="T1161">
        <f>IF(O1161=O1160,T1160+1,1)</f>
        <v>2</v>
      </c>
      <c r="U1161" t="str">
        <f>IF(O1161=O1162,"",S1161/T1161)</f>
        <v/>
      </c>
      <c r="V1161" t="str">
        <f>IF(U1161="","",IF(ABS(Q1161-U1161)&gt;V$1,"error",""))</f>
        <v/>
      </c>
    </row>
    <row r="1162" spans="1:22" x14ac:dyDescent="0.55000000000000004">
      <c r="A1162">
        <v>1193.6813999999999</v>
      </c>
      <c r="B1162" s="1">
        <v>1E-3</v>
      </c>
      <c r="C1162" s="1">
        <v>1E-3</v>
      </c>
      <c r="D1162" s="2" t="s">
        <v>0</v>
      </c>
      <c r="E1162">
        <v>1</v>
      </c>
      <c r="F1162" s="2" t="s">
        <v>2</v>
      </c>
      <c r="G1162">
        <v>1</v>
      </c>
      <c r="H1162">
        <v>3.5</v>
      </c>
      <c r="I1162" s="2" t="s">
        <v>0</v>
      </c>
      <c r="J1162">
        <v>1</v>
      </c>
      <c r="K1162" s="2" t="s">
        <v>2</v>
      </c>
      <c r="L1162">
        <v>0</v>
      </c>
      <c r="M1162">
        <v>2.5</v>
      </c>
      <c r="N1162" s="2" t="s">
        <v>61</v>
      </c>
      <c r="O1162" t="str">
        <f>D1162&amp;"-"&amp;E1162&amp;"-"&amp;F1162&amp;"-"&amp;G1162&amp;"-"&amp;H1162</f>
        <v>X-1-e-1-3.5</v>
      </c>
      <c r="P1162" t="str">
        <f>I1162&amp;"-"&amp;J1162&amp;"-"&amp;K1162&amp;"-"&amp;L1162&amp;"-"&amp;M1162</f>
        <v>X-1-e-0-2.5</v>
      </c>
      <c r="Q1162">
        <f>A1162+R1162</f>
        <v>1215.6010999999999</v>
      </c>
      <c r="R1162">
        <f>_xlfn.IFNA(VLOOKUP(P1162,PGOPHER!A$2:G$181,7,FALSE),_xlfn.IFNA(VLOOKUP(P1162,en!A$2:I$768,7,FALSE),-10000))</f>
        <v>21.919699999999999</v>
      </c>
      <c r="S1162">
        <f>IF(O1162=O1161,Q1161+S1161,Q1162)</f>
        <v>3646.8033599999999</v>
      </c>
      <c r="T1162">
        <f>IF(O1162=O1161,T1161+1,1)</f>
        <v>3</v>
      </c>
      <c r="U1162" t="str">
        <f>IF(O1162=O1163,"",S1162/T1162)</f>
        <v/>
      </c>
      <c r="V1162" t="str">
        <f>IF(U1162="","",IF(ABS(Q1162-U1162)&gt;V$1,"error",""))</f>
        <v/>
      </c>
    </row>
    <row r="1163" spans="1:22" x14ac:dyDescent="0.55000000000000004">
      <c r="A1163">
        <v>1142.7402999999999</v>
      </c>
      <c r="B1163" s="1">
        <v>1E-3</v>
      </c>
      <c r="C1163" s="1">
        <v>1E-3</v>
      </c>
      <c r="D1163" s="2" t="s">
        <v>0</v>
      </c>
      <c r="E1163">
        <v>1</v>
      </c>
      <c r="F1163" s="2" t="s">
        <v>2</v>
      </c>
      <c r="G1163">
        <v>1</v>
      </c>
      <c r="H1163">
        <v>3.5</v>
      </c>
      <c r="I1163" s="2" t="s">
        <v>0</v>
      </c>
      <c r="J1163">
        <v>1</v>
      </c>
      <c r="K1163" s="2" t="s">
        <v>2</v>
      </c>
      <c r="L1163">
        <v>0</v>
      </c>
      <c r="M1163">
        <v>4.5</v>
      </c>
      <c r="N1163" s="2" t="s">
        <v>58</v>
      </c>
      <c r="O1163" t="str">
        <f>D1163&amp;"-"&amp;E1163&amp;"-"&amp;F1163&amp;"-"&amp;G1163&amp;"-"&amp;H1163</f>
        <v>X-1-e-1-3.5</v>
      </c>
      <c r="P1163" t="str">
        <f>I1163&amp;"-"&amp;J1163&amp;"-"&amp;K1163&amp;"-"&amp;L1163&amp;"-"&amp;M1163</f>
        <v>X-1-e-0-4.5</v>
      </c>
      <c r="Q1163">
        <f>A1163+R1163</f>
        <v>1215.6018039999999</v>
      </c>
      <c r="R1163">
        <f>_xlfn.IFNA(VLOOKUP(P1163,PGOPHER!A$2:G$181,7,FALSE),_xlfn.IFNA(VLOOKUP(P1163,en!A$2:I$768,7,FALSE),-10000))</f>
        <v>72.861503999999996</v>
      </c>
      <c r="S1163">
        <f>IF(O1163=O1162,Q1162+S1162,Q1163)</f>
        <v>4862.4044599999997</v>
      </c>
      <c r="T1163">
        <f>IF(O1163=O1162,T1162+1,1)</f>
        <v>4</v>
      </c>
      <c r="U1163" t="str">
        <f>IF(O1163=O1164,"",S1163/T1163)</f>
        <v/>
      </c>
      <c r="V1163" t="str">
        <f>IF(U1163="","",IF(ABS(Q1163-U1163)&gt;V$1,"error",""))</f>
        <v/>
      </c>
    </row>
    <row r="1164" spans="1:22" x14ac:dyDescent="0.55000000000000004">
      <c r="A1164">
        <v>1193.6813999999999</v>
      </c>
      <c r="B1164" s="1">
        <v>1E-3</v>
      </c>
      <c r="C1164" s="1">
        <v>1E-3</v>
      </c>
      <c r="D1164" s="2" t="s">
        <v>0</v>
      </c>
      <c r="E1164">
        <v>1</v>
      </c>
      <c r="F1164" s="2" t="s">
        <v>2</v>
      </c>
      <c r="G1164">
        <v>1</v>
      </c>
      <c r="H1164">
        <v>3.5</v>
      </c>
      <c r="I1164" s="2" t="s">
        <v>0</v>
      </c>
      <c r="J1164">
        <v>1</v>
      </c>
      <c r="K1164" s="2" t="s">
        <v>2</v>
      </c>
      <c r="L1164">
        <v>0</v>
      </c>
      <c r="M1164">
        <v>2.5</v>
      </c>
      <c r="N1164" s="2" t="s">
        <v>55</v>
      </c>
      <c r="O1164" t="str">
        <f>D1164&amp;"-"&amp;E1164&amp;"-"&amp;F1164&amp;"-"&amp;G1164&amp;"-"&amp;H1164</f>
        <v>X-1-e-1-3.5</v>
      </c>
      <c r="P1164" t="str">
        <f>I1164&amp;"-"&amp;J1164&amp;"-"&amp;K1164&amp;"-"&amp;L1164&amp;"-"&amp;M1164</f>
        <v>X-1-e-0-2.5</v>
      </c>
      <c r="Q1164">
        <f>A1164+R1164</f>
        <v>1215.6010999999999</v>
      </c>
      <c r="R1164">
        <f>_xlfn.IFNA(VLOOKUP(P1164,PGOPHER!A$2:G$181,7,FALSE),_xlfn.IFNA(VLOOKUP(P1164,en!A$2:I$768,7,FALSE),-10000))</f>
        <v>21.919699999999999</v>
      </c>
      <c r="S1164">
        <f>IF(O1164=O1163,Q1163+S1163,Q1164)</f>
        <v>6078.0062639999996</v>
      </c>
      <c r="T1164">
        <f>IF(O1164=O1163,T1163+1,1)</f>
        <v>5</v>
      </c>
      <c r="U1164" t="str">
        <f>IF(O1164=O1165,"",S1164/T1164)</f>
        <v/>
      </c>
      <c r="V1164" t="str">
        <f>IF(U1164="","",IF(ABS(Q1164-U1164)&gt;V$1,"error",""))</f>
        <v/>
      </c>
    </row>
    <row r="1165" spans="1:22" x14ac:dyDescent="0.55000000000000004">
      <c r="A1165">
        <v>1142.7402999999999</v>
      </c>
      <c r="B1165" s="1">
        <v>1E-3</v>
      </c>
      <c r="C1165" s="1">
        <v>1E-3</v>
      </c>
      <c r="D1165" s="2" t="s">
        <v>0</v>
      </c>
      <c r="E1165">
        <v>1</v>
      </c>
      <c r="F1165" s="2" t="s">
        <v>2</v>
      </c>
      <c r="G1165">
        <v>1</v>
      </c>
      <c r="H1165">
        <v>3.5</v>
      </c>
      <c r="I1165" s="2" t="s">
        <v>0</v>
      </c>
      <c r="J1165">
        <v>1</v>
      </c>
      <c r="K1165" s="2" t="s">
        <v>2</v>
      </c>
      <c r="L1165">
        <v>0</v>
      </c>
      <c r="M1165">
        <v>4.5</v>
      </c>
      <c r="N1165" s="2" t="s">
        <v>69</v>
      </c>
      <c r="O1165" t="str">
        <f>D1165&amp;"-"&amp;E1165&amp;"-"&amp;F1165&amp;"-"&amp;G1165&amp;"-"&amp;H1165</f>
        <v>X-1-e-1-3.5</v>
      </c>
      <c r="P1165" t="str">
        <f>I1165&amp;"-"&amp;J1165&amp;"-"&amp;K1165&amp;"-"&amp;L1165&amp;"-"&amp;M1165</f>
        <v>X-1-e-0-4.5</v>
      </c>
      <c r="Q1165">
        <f>A1165+R1165</f>
        <v>1215.6018039999999</v>
      </c>
      <c r="R1165">
        <f>_xlfn.IFNA(VLOOKUP(P1165,PGOPHER!A$2:G$181,7,FALSE),_xlfn.IFNA(VLOOKUP(P1165,en!A$2:I$768,7,FALSE),-10000))</f>
        <v>72.861503999999996</v>
      </c>
      <c r="S1165">
        <f>IF(O1165=O1164,Q1164+S1164,Q1165)</f>
        <v>7293.6073639999995</v>
      </c>
      <c r="T1165">
        <f>IF(O1165=O1164,T1164+1,1)</f>
        <v>6</v>
      </c>
      <c r="U1165" t="str">
        <f>IF(O1165=O1166,"",S1165/T1165)</f>
        <v/>
      </c>
      <c r="V1165" t="str">
        <f>IF(U1165="","",IF(ABS(Q1165-U1165)&gt;V$1,"error",""))</f>
        <v/>
      </c>
    </row>
    <row r="1166" spans="1:22" x14ac:dyDescent="0.55000000000000004">
      <c r="A1166">
        <v>1142.73938</v>
      </c>
      <c r="B1166" s="1">
        <v>1E-3</v>
      </c>
      <c r="C1166" s="1">
        <v>1E-3</v>
      </c>
      <c r="D1166" s="2" t="s">
        <v>0</v>
      </c>
      <c r="E1166">
        <v>1</v>
      </c>
      <c r="F1166" s="2" t="s">
        <v>2</v>
      </c>
      <c r="G1166">
        <v>1</v>
      </c>
      <c r="H1166">
        <v>3.5</v>
      </c>
      <c r="I1166" s="2" t="s">
        <v>0</v>
      </c>
      <c r="J1166">
        <v>1</v>
      </c>
      <c r="K1166" s="2" t="s">
        <v>2</v>
      </c>
      <c r="L1166">
        <v>0</v>
      </c>
      <c r="M1166">
        <v>4.5</v>
      </c>
      <c r="N1166" s="2" t="s">
        <v>65</v>
      </c>
      <c r="O1166" t="str">
        <f>D1166&amp;"-"&amp;E1166&amp;"-"&amp;F1166&amp;"-"&amp;G1166&amp;"-"&amp;H1166</f>
        <v>X-1-e-1-3.5</v>
      </c>
      <c r="P1166" t="str">
        <f>I1166&amp;"-"&amp;J1166&amp;"-"&amp;K1166&amp;"-"&amp;L1166&amp;"-"&amp;M1166</f>
        <v>X-1-e-0-4.5</v>
      </c>
      <c r="Q1166">
        <f>A1166+R1166</f>
        <v>1215.600884</v>
      </c>
      <c r="R1166">
        <f>_xlfn.IFNA(VLOOKUP(P1166,PGOPHER!A$2:G$181,7,FALSE),_xlfn.IFNA(VLOOKUP(P1166,en!A$2:I$768,7,FALSE),-10000))</f>
        <v>72.861503999999996</v>
      </c>
      <c r="S1166">
        <f>IF(O1166=O1165,Q1165+S1165,Q1166)</f>
        <v>8509.2091679999994</v>
      </c>
      <c r="T1166">
        <f>IF(O1166=O1165,T1165+1,1)</f>
        <v>7</v>
      </c>
      <c r="U1166" t="str">
        <f>IF(O1166=O1167,"",S1166/T1166)</f>
        <v/>
      </c>
      <c r="V1166" t="str">
        <f>IF(U1166="","",IF(ABS(Q1166-U1166)&gt;V$1,"error",""))</f>
        <v/>
      </c>
    </row>
    <row r="1167" spans="1:22" x14ac:dyDescent="0.55000000000000004">
      <c r="A1167">
        <v>1193.6813999999999</v>
      </c>
      <c r="B1167" s="1">
        <v>1E-3</v>
      </c>
      <c r="C1167" s="1">
        <v>1E-3</v>
      </c>
      <c r="D1167" s="2" t="s">
        <v>0</v>
      </c>
      <c r="E1167">
        <v>1</v>
      </c>
      <c r="F1167" s="2" t="s">
        <v>2</v>
      </c>
      <c r="G1167">
        <v>1</v>
      </c>
      <c r="H1167">
        <v>3.5</v>
      </c>
      <c r="I1167" s="2" t="s">
        <v>0</v>
      </c>
      <c r="J1167">
        <v>1</v>
      </c>
      <c r="K1167" s="2" t="s">
        <v>2</v>
      </c>
      <c r="L1167">
        <v>0</v>
      </c>
      <c r="M1167">
        <v>2.5</v>
      </c>
      <c r="N1167" s="2" t="s">
        <v>54</v>
      </c>
      <c r="O1167" t="str">
        <f>D1167&amp;"-"&amp;E1167&amp;"-"&amp;F1167&amp;"-"&amp;G1167&amp;"-"&amp;H1167</f>
        <v>X-1-e-1-3.5</v>
      </c>
      <c r="P1167" t="str">
        <f>I1167&amp;"-"&amp;J1167&amp;"-"&amp;K1167&amp;"-"&amp;L1167&amp;"-"&amp;M1167</f>
        <v>X-1-e-0-2.5</v>
      </c>
      <c r="Q1167">
        <f>A1167+R1167</f>
        <v>1215.6010999999999</v>
      </c>
      <c r="R1167">
        <f>_xlfn.IFNA(VLOOKUP(P1167,PGOPHER!A$2:G$181,7,FALSE),_xlfn.IFNA(VLOOKUP(P1167,en!A$2:I$768,7,FALSE),-10000))</f>
        <v>21.919699999999999</v>
      </c>
      <c r="S1167">
        <f>IF(O1167=O1166,Q1166+S1166,Q1167)</f>
        <v>9724.8100519999989</v>
      </c>
      <c r="T1167">
        <f>IF(O1167=O1166,T1166+1,1)</f>
        <v>8</v>
      </c>
      <c r="U1167" t="str">
        <f>IF(O1167=O1168,"",S1167/T1167)</f>
        <v/>
      </c>
      <c r="V1167" t="str">
        <f>IF(U1167="","",IF(ABS(Q1167-U1167)&gt;V$1,"error",""))</f>
        <v/>
      </c>
    </row>
    <row r="1168" spans="1:22" x14ac:dyDescent="0.55000000000000004">
      <c r="A1168">
        <v>1142.7393999999999</v>
      </c>
      <c r="B1168" s="1">
        <v>1E-3</v>
      </c>
      <c r="C1168" s="1">
        <v>1E-3</v>
      </c>
      <c r="D1168" s="2" t="s">
        <v>0</v>
      </c>
      <c r="E1168">
        <v>1</v>
      </c>
      <c r="F1168" s="2" t="s">
        <v>2</v>
      </c>
      <c r="G1168">
        <v>1</v>
      </c>
      <c r="H1168">
        <v>3.5</v>
      </c>
      <c r="I1168" s="2" t="s">
        <v>0</v>
      </c>
      <c r="J1168">
        <v>1</v>
      </c>
      <c r="K1168" s="2" t="s">
        <v>2</v>
      </c>
      <c r="L1168">
        <v>0</v>
      </c>
      <c r="M1168">
        <v>4.5</v>
      </c>
      <c r="N1168" s="2" t="s">
        <v>57</v>
      </c>
      <c r="O1168" t="str">
        <f>D1168&amp;"-"&amp;E1168&amp;"-"&amp;F1168&amp;"-"&amp;G1168&amp;"-"&amp;H1168</f>
        <v>X-1-e-1-3.5</v>
      </c>
      <c r="P1168" t="str">
        <f>I1168&amp;"-"&amp;J1168&amp;"-"&amp;K1168&amp;"-"&amp;L1168&amp;"-"&amp;M1168</f>
        <v>X-1-e-0-4.5</v>
      </c>
      <c r="Q1168">
        <f>A1168+R1168</f>
        <v>1215.6009039999999</v>
      </c>
      <c r="R1168">
        <f>_xlfn.IFNA(VLOOKUP(P1168,PGOPHER!A$2:G$181,7,FALSE),_xlfn.IFNA(VLOOKUP(P1168,en!A$2:I$768,7,FALSE),-10000))</f>
        <v>72.861503999999996</v>
      </c>
      <c r="S1168">
        <f>IF(O1168=O1167,Q1167+S1167,Q1168)</f>
        <v>10940.411151999999</v>
      </c>
      <c r="T1168">
        <f>IF(O1168=O1167,T1167+1,1)</f>
        <v>9</v>
      </c>
      <c r="U1168" t="str">
        <f>IF(O1168=O1169,"",S1168/T1168)</f>
        <v/>
      </c>
      <c r="V1168" t="str">
        <f>IF(U1168="","",IF(ABS(Q1168-U1168)&gt;V$1,"error",""))</f>
        <v/>
      </c>
    </row>
    <row r="1169" spans="1:22" x14ac:dyDescent="0.55000000000000004">
      <c r="A1169">
        <v>1142.73867</v>
      </c>
      <c r="B1169" s="1">
        <v>1.1609999999999999E-3</v>
      </c>
      <c r="C1169" s="1">
        <v>1.1609999999999999E-3</v>
      </c>
      <c r="D1169" s="2" t="s">
        <v>0</v>
      </c>
      <c r="E1169">
        <v>1</v>
      </c>
      <c r="F1169" s="2" t="s">
        <v>2</v>
      </c>
      <c r="G1169">
        <v>1</v>
      </c>
      <c r="H1169">
        <v>3.5</v>
      </c>
      <c r="I1169" s="2" t="s">
        <v>0</v>
      </c>
      <c r="J1169">
        <v>1</v>
      </c>
      <c r="K1169" s="2" t="s">
        <v>2</v>
      </c>
      <c r="L1169">
        <v>0</v>
      </c>
      <c r="M1169">
        <v>4.5</v>
      </c>
      <c r="N1169" s="2" t="s">
        <v>60</v>
      </c>
      <c r="O1169" t="str">
        <f>D1169&amp;"-"&amp;E1169&amp;"-"&amp;F1169&amp;"-"&amp;G1169&amp;"-"&amp;H1169</f>
        <v>X-1-e-1-3.5</v>
      </c>
      <c r="P1169" t="str">
        <f>I1169&amp;"-"&amp;J1169&amp;"-"&amp;K1169&amp;"-"&amp;L1169&amp;"-"&amp;M1169</f>
        <v>X-1-e-0-4.5</v>
      </c>
      <c r="Q1169">
        <f>A1169+R1169</f>
        <v>1215.6001739999999</v>
      </c>
      <c r="R1169">
        <f>_xlfn.IFNA(VLOOKUP(P1169,PGOPHER!A$2:G$181,7,FALSE),_xlfn.IFNA(VLOOKUP(P1169,en!A$2:I$768,7,FALSE),-10000))</f>
        <v>72.861503999999996</v>
      </c>
      <c r="S1169">
        <f>IF(O1169=O1168,Q1168+S1168,Q1169)</f>
        <v>12156.012056</v>
      </c>
      <c r="T1169">
        <f>IF(O1169=O1168,T1168+1,1)</f>
        <v>10</v>
      </c>
      <c r="U1169">
        <f>IF(O1169=O1170,"",S1169/T1169)</f>
        <v>1215.6012056</v>
      </c>
      <c r="V1169" t="str">
        <f>IF(U1169="","",IF(ABS(Q1169-U1169)&gt;V$1,"error",""))</f>
        <v/>
      </c>
    </row>
    <row r="1170" spans="1:22" x14ac:dyDescent="0.55000000000000004">
      <c r="A1170">
        <v>1109.2236</v>
      </c>
      <c r="B1170" s="1">
        <v>1.61E-2</v>
      </c>
      <c r="C1170" s="1">
        <v>1.61E-2</v>
      </c>
      <c r="D1170" s="2" t="s">
        <v>0</v>
      </c>
      <c r="E1170">
        <v>1</v>
      </c>
      <c r="F1170" s="2" t="s">
        <v>2</v>
      </c>
      <c r="G1170">
        <v>2</v>
      </c>
      <c r="H1170">
        <v>3.5</v>
      </c>
      <c r="I1170" s="2" t="s">
        <v>0</v>
      </c>
      <c r="J1170">
        <v>1</v>
      </c>
      <c r="K1170" s="2" t="s">
        <v>2</v>
      </c>
      <c r="L1170">
        <v>1</v>
      </c>
      <c r="M1170">
        <v>4.5</v>
      </c>
      <c r="N1170" s="2" t="s">
        <v>402</v>
      </c>
      <c r="O1170" t="str">
        <f>D1170&amp;"-"&amp;E1170&amp;"-"&amp;F1170&amp;"-"&amp;G1170&amp;"-"&amp;H1170</f>
        <v>X-1-e-2-3.5</v>
      </c>
      <c r="P1170" t="str">
        <f>I1170&amp;"-"&amp;J1170&amp;"-"&amp;K1170&amp;"-"&amp;L1170&amp;"-"&amp;M1170</f>
        <v>X-1-e-1-4.5</v>
      </c>
      <c r="Q1170">
        <f>A1170+R1170</f>
        <v>2353.2751349999999</v>
      </c>
      <c r="R1170">
        <f>_xlfn.IFNA(VLOOKUP(P1170,PGOPHER!A$2:G$181,7,FALSE),_xlfn.IFNA(VLOOKUP(P1170,en!A$2:I$768,7,FALSE),-10000))</f>
        <v>1244.0515350000001</v>
      </c>
      <c r="S1170">
        <f>IF(O1170=O1169,Q1169+S1169,Q1170)</f>
        <v>2353.2751349999999</v>
      </c>
      <c r="T1170">
        <f>IF(O1170=O1169,T1169+1,1)</f>
        <v>1</v>
      </c>
      <c r="U1170" t="str">
        <f>IF(O1170=O1171,"",S1170/T1170)</f>
        <v/>
      </c>
      <c r="V1170" t="str">
        <f>IF(U1170="","",IF(ABS(Q1170-U1170)&gt;V$1,"error",""))</f>
        <v/>
      </c>
    </row>
    <row r="1171" spans="1:22" x14ac:dyDescent="0.55000000000000004">
      <c r="A1171">
        <v>1159.0389</v>
      </c>
      <c r="B1171" s="1">
        <v>2.2100000000000002E-2</v>
      </c>
      <c r="C1171" s="1">
        <v>2.2100000000000002E-2</v>
      </c>
      <c r="D1171" s="2" t="s">
        <v>0</v>
      </c>
      <c r="E1171">
        <v>1</v>
      </c>
      <c r="F1171" s="2" t="s">
        <v>2</v>
      </c>
      <c r="G1171">
        <v>2</v>
      </c>
      <c r="H1171">
        <v>3.5</v>
      </c>
      <c r="I1171" s="2" t="s">
        <v>0</v>
      </c>
      <c r="J1171">
        <v>1</v>
      </c>
      <c r="K1171" s="2" t="s">
        <v>2</v>
      </c>
      <c r="L1171">
        <v>1</v>
      </c>
      <c r="M1171">
        <v>2.5</v>
      </c>
      <c r="N1171" s="2" t="s">
        <v>399</v>
      </c>
      <c r="O1171" t="str">
        <f>D1171&amp;"-"&amp;E1171&amp;"-"&amp;F1171&amp;"-"&amp;G1171&amp;"-"&amp;H1171</f>
        <v>X-1-e-2-3.5</v>
      </c>
      <c r="P1171" t="str">
        <f>I1171&amp;"-"&amp;J1171&amp;"-"&amp;K1171&amp;"-"&amp;L1171&amp;"-"&amp;M1171</f>
        <v>X-1-e-1-2.5</v>
      </c>
      <c r="Q1171">
        <f>A1171+R1171</f>
        <v>2353.2757200000001</v>
      </c>
      <c r="R1171">
        <f>_xlfn.IFNA(VLOOKUP(P1171,PGOPHER!A$2:G$181,7,FALSE),_xlfn.IFNA(VLOOKUP(P1171,en!A$2:I$768,7,FALSE),-10000))</f>
        <v>1194.2368200000001</v>
      </c>
      <c r="S1171">
        <f>IF(O1171=O1170,Q1170+S1170,Q1171)</f>
        <v>4706.5502699999997</v>
      </c>
      <c r="T1171">
        <f>IF(O1171=O1170,T1170+1,1)</f>
        <v>2</v>
      </c>
      <c r="U1171">
        <f>IF(O1171=O1172,"",S1171/T1171)</f>
        <v>2353.2751349999999</v>
      </c>
      <c r="V1171" t="str">
        <f>IF(U1171="","",IF(ABS(Q1171-U1171)&gt;V$1,"error",""))</f>
        <v/>
      </c>
    </row>
    <row r="1172" spans="1:22" x14ac:dyDescent="0.55000000000000004">
      <c r="A1172">
        <v>1075.6370999999999</v>
      </c>
      <c r="B1172" s="1">
        <v>1E-3</v>
      </c>
      <c r="C1172" s="1">
        <v>1E-3</v>
      </c>
      <c r="D1172" s="2" t="s">
        <v>0</v>
      </c>
      <c r="E1172">
        <v>1</v>
      </c>
      <c r="F1172" s="2" t="s">
        <v>2</v>
      </c>
      <c r="G1172">
        <v>3</v>
      </c>
      <c r="H1172">
        <v>3.5</v>
      </c>
      <c r="I1172" s="2" t="s">
        <v>0</v>
      </c>
      <c r="J1172">
        <v>1</v>
      </c>
      <c r="K1172" s="2" t="s">
        <v>2</v>
      </c>
      <c r="L1172">
        <v>2</v>
      </c>
      <c r="M1172">
        <v>4.5</v>
      </c>
      <c r="N1172" s="2" t="s">
        <v>529</v>
      </c>
      <c r="O1172" t="str">
        <f>D1172&amp;"-"&amp;E1172&amp;"-"&amp;F1172&amp;"-"&amp;G1172&amp;"-"&amp;H1172</f>
        <v>X-1-e-3-3.5</v>
      </c>
      <c r="P1172" t="str">
        <f>I1172&amp;"-"&amp;J1172&amp;"-"&amp;K1172&amp;"-"&amp;L1172&amp;"-"&amp;M1172</f>
        <v>X-1-e-2-4.5</v>
      </c>
      <c r="Q1172">
        <f>A1172+R1172</f>
        <v>3456.7157400000001</v>
      </c>
      <c r="R1172">
        <f>_xlfn.IFNA(VLOOKUP(P1172,PGOPHER!A$2:G$181,7,FALSE),_xlfn.IFNA(VLOOKUP(P1172,en!A$2:I$768,7,FALSE),-10000))</f>
        <v>2381.0786400000002</v>
      </c>
      <c r="S1172">
        <f>IF(O1172=O1171,Q1171+S1171,Q1172)</f>
        <v>3456.7157400000001</v>
      </c>
      <c r="T1172">
        <f>IF(O1172=O1171,T1171+1,1)</f>
        <v>1</v>
      </c>
      <c r="U1172" t="str">
        <f>IF(O1172=O1173,"",S1172/T1172)</f>
        <v/>
      </c>
      <c r="V1172" t="str">
        <f>IF(U1172="","",IF(ABS(Q1172-U1172)&gt;V$1,"error",""))</f>
        <v/>
      </c>
    </row>
    <row r="1173" spans="1:22" x14ac:dyDescent="0.55000000000000004">
      <c r="A1173">
        <v>1124.3202000000001</v>
      </c>
      <c r="B1173" s="1">
        <v>1E-3</v>
      </c>
      <c r="C1173" s="1">
        <v>1E-3</v>
      </c>
      <c r="D1173" s="2" t="s">
        <v>0</v>
      </c>
      <c r="E1173">
        <v>1</v>
      </c>
      <c r="F1173" s="2" t="s">
        <v>2</v>
      </c>
      <c r="G1173">
        <v>3</v>
      </c>
      <c r="H1173">
        <v>3.5</v>
      </c>
      <c r="I1173" s="2" t="s">
        <v>0</v>
      </c>
      <c r="J1173">
        <v>1</v>
      </c>
      <c r="K1173" s="2" t="s">
        <v>2</v>
      </c>
      <c r="L1173">
        <v>2</v>
      </c>
      <c r="M1173">
        <v>2.5</v>
      </c>
      <c r="N1173" s="2" t="s">
        <v>526</v>
      </c>
      <c r="O1173" t="str">
        <f>D1173&amp;"-"&amp;E1173&amp;"-"&amp;F1173&amp;"-"&amp;G1173&amp;"-"&amp;H1173</f>
        <v>X-1-e-3-3.5</v>
      </c>
      <c r="P1173" t="str">
        <f>I1173&amp;"-"&amp;J1173&amp;"-"&amp;K1173&amp;"-"&amp;L1173&amp;"-"&amp;M1173</f>
        <v>X-1-e-2-2.5</v>
      </c>
      <c r="Q1173">
        <f>A1173+R1173</f>
        <v>3456.7166700000002</v>
      </c>
      <c r="R1173">
        <f>_xlfn.IFNA(VLOOKUP(P1173,PGOPHER!A$2:G$181,7,FALSE),_xlfn.IFNA(VLOOKUP(P1173,en!A$2:I$768,7,FALSE),-10000))</f>
        <v>2332.3964700000001</v>
      </c>
      <c r="S1173">
        <f>IF(O1173=O1172,Q1172+S1172,Q1173)</f>
        <v>6913.4314800000002</v>
      </c>
      <c r="T1173">
        <f>IF(O1173=O1172,T1172+1,1)</f>
        <v>2</v>
      </c>
      <c r="U1173">
        <f>IF(O1173=O1174,"",S1173/T1173)</f>
        <v>3456.7157400000001</v>
      </c>
      <c r="V1173" t="str">
        <f>IF(U1173="","",IF(ABS(Q1173-U1173)&gt;V$1,"error",""))</f>
        <v/>
      </c>
    </row>
    <row r="1174" spans="1:22" x14ac:dyDescent="0.55000000000000004">
      <c r="A1174">
        <v>1041.8300999999999</v>
      </c>
      <c r="B1174" s="1">
        <v>1E-3</v>
      </c>
      <c r="C1174" s="1">
        <v>1E-3</v>
      </c>
      <c r="D1174" s="2" t="s">
        <v>0</v>
      </c>
      <c r="E1174">
        <v>1</v>
      </c>
      <c r="F1174" s="2" t="s">
        <v>2</v>
      </c>
      <c r="G1174">
        <v>4</v>
      </c>
      <c r="H1174">
        <v>3.5</v>
      </c>
      <c r="I1174" s="2" t="s">
        <v>0</v>
      </c>
      <c r="J1174">
        <v>1</v>
      </c>
      <c r="K1174" s="2" t="s">
        <v>2</v>
      </c>
      <c r="L1174">
        <v>3</v>
      </c>
      <c r="M1174">
        <v>4.5</v>
      </c>
      <c r="N1174" s="2" t="s">
        <v>620</v>
      </c>
      <c r="O1174" t="str">
        <f>D1174&amp;"-"&amp;E1174&amp;"-"&amp;F1174&amp;"-"&amp;G1174&amp;"-"&amp;H1174</f>
        <v>X-1-e-4-3.5</v>
      </c>
      <c r="P1174" t="str">
        <f>I1174&amp;"-"&amp;J1174&amp;"-"&amp;K1174&amp;"-"&amp;L1174&amp;"-"&amp;M1174</f>
        <v>X-1-e-3-4.5</v>
      </c>
      <c r="Q1174">
        <f>A1174+R1174</f>
        <v>4525.7012729999997</v>
      </c>
      <c r="R1174">
        <f>_xlfn.IFNA(VLOOKUP(P1174,PGOPHER!A$2:G$181,7,FALSE),_xlfn.IFNA(VLOOKUP(P1174,en!A$2:I$768,7,FALSE),-10000))</f>
        <v>3483.871173</v>
      </c>
      <c r="S1174">
        <f>IF(O1174=O1173,Q1173+S1173,Q1174)</f>
        <v>4525.7012729999997</v>
      </c>
      <c r="T1174">
        <f>IF(O1174=O1173,T1173+1,1)</f>
        <v>1</v>
      </c>
      <c r="U1174">
        <f>IF(O1174=O1175,"",S1174/T1174)</f>
        <v>4525.7012729999997</v>
      </c>
      <c r="V1174" t="str">
        <f>IF(U1174="","",IF(ABS(Q1174-U1174)&gt;V$1,"error",""))</f>
        <v/>
      </c>
    </row>
    <row r="1175" spans="1:22" x14ac:dyDescent="0.55000000000000004">
      <c r="A1175">
        <v>1135.0019199999999</v>
      </c>
      <c r="B1175" s="1">
        <v>1E-3</v>
      </c>
      <c r="C1175" s="1">
        <v>1E-3</v>
      </c>
      <c r="D1175" s="2" t="s">
        <v>0</v>
      </c>
      <c r="E1175">
        <v>2</v>
      </c>
      <c r="F1175" s="2" t="s">
        <v>1</v>
      </c>
      <c r="G1175">
        <v>1</v>
      </c>
      <c r="H1175">
        <v>3.5</v>
      </c>
      <c r="I1175" s="2" t="s">
        <v>0</v>
      </c>
      <c r="J1175">
        <v>2</v>
      </c>
      <c r="K1175" s="2" t="s">
        <v>1</v>
      </c>
      <c r="L1175">
        <v>0</v>
      </c>
      <c r="M1175">
        <v>4.5</v>
      </c>
      <c r="N1175" s="2" t="s">
        <v>62</v>
      </c>
      <c r="O1175" t="str">
        <f>D1175&amp;"-"&amp;E1175&amp;"-"&amp;F1175&amp;"-"&amp;G1175&amp;"-"&amp;H1175</f>
        <v>X-2-f-1-3.5</v>
      </c>
      <c r="P1175" t="str">
        <f>I1175&amp;"-"&amp;J1175&amp;"-"&amp;K1175&amp;"-"&amp;L1175&amp;"-"&amp;M1175</f>
        <v>X-2-f-0-4.5</v>
      </c>
      <c r="Q1175">
        <f>A1175+R1175</f>
        <v>1243.5130019999999</v>
      </c>
      <c r="R1175">
        <f>_xlfn.IFNA(VLOOKUP(P1175,PGOPHER!A$2:G$181,7,FALSE),_xlfn.IFNA(VLOOKUP(P1175,en!A$2:I$768,7,FALSE),-10000))</f>
        <v>108.511082</v>
      </c>
      <c r="S1175">
        <f>IF(O1175=O1174,Q1174+S1174,Q1175)</f>
        <v>1243.5130019999999</v>
      </c>
      <c r="T1175">
        <f>IF(O1175=O1174,T1174+1,1)</f>
        <v>1</v>
      </c>
      <c r="U1175" t="str">
        <f>IF(O1175=O1176,"",S1175/T1175)</f>
        <v/>
      </c>
      <c r="V1175" t="str">
        <f>IF(U1175="","",IF(ABS(Q1175-U1175)&gt;V$1,"error",""))</f>
        <v/>
      </c>
    </row>
    <row r="1176" spans="1:22" x14ac:dyDescent="0.55000000000000004">
      <c r="A1176">
        <v>1200.1796300000001</v>
      </c>
      <c r="B1176" s="1">
        <v>1E-3</v>
      </c>
      <c r="C1176" s="1">
        <v>1E-3</v>
      </c>
      <c r="D1176" s="2" t="s">
        <v>0</v>
      </c>
      <c r="E1176">
        <v>2</v>
      </c>
      <c r="F1176" s="2" t="s">
        <v>1</v>
      </c>
      <c r="G1176">
        <v>1</v>
      </c>
      <c r="H1176">
        <v>3.5</v>
      </c>
      <c r="I1176" s="2" t="s">
        <v>0</v>
      </c>
      <c r="J1176">
        <v>2</v>
      </c>
      <c r="K1176" s="2" t="s">
        <v>1</v>
      </c>
      <c r="L1176">
        <v>0</v>
      </c>
      <c r="M1176">
        <v>2.5</v>
      </c>
      <c r="N1176" s="2" t="s">
        <v>66</v>
      </c>
      <c r="O1176" t="str">
        <f>D1176&amp;"-"&amp;E1176&amp;"-"&amp;F1176&amp;"-"&amp;G1176&amp;"-"&amp;H1176</f>
        <v>X-2-f-1-3.5</v>
      </c>
      <c r="P1176" t="str">
        <f>I1176&amp;"-"&amp;J1176&amp;"-"&amp;K1176&amp;"-"&amp;L1176&amp;"-"&amp;M1176</f>
        <v>X-2-f-0-2.5</v>
      </c>
      <c r="Q1176">
        <f>A1176+R1176</f>
        <v>1243.5131230000002</v>
      </c>
      <c r="R1176">
        <f>_xlfn.IFNA(VLOOKUP(P1176,PGOPHER!A$2:G$181,7,FALSE),_xlfn.IFNA(VLOOKUP(P1176,en!A$2:I$768,7,FALSE),-10000))</f>
        <v>43.333492999999997</v>
      </c>
      <c r="S1176">
        <f>IF(O1176=O1175,Q1175+S1175,Q1176)</f>
        <v>2487.0260039999998</v>
      </c>
      <c r="T1176">
        <f>IF(O1176=O1175,T1175+1,1)</f>
        <v>2</v>
      </c>
      <c r="U1176" t="str">
        <f>IF(O1176=O1177,"",S1176/T1176)</f>
        <v/>
      </c>
      <c r="V1176" t="str">
        <f>IF(U1176="","",IF(ABS(Q1176-U1176)&gt;V$1,"error",""))</f>
        <v/>
      </c>
    </row>
    <row r="1177" spans="1:22" x14ac:dyDescent="0.55000000000000004">
      <c r="A1177">
        <v>1200.1795300000001</v>
      </c>
      <c r="B1177" s="1">
        <v>1E-3</v>
      </c>
      <c r="C1177" s="1">
        <v>1E-3</v>
      </c>
      <c r="D1177" s="2" t="s">
        <v>0</v>
      </c>
      <c r="E1177">
        <v>2</v>
      </c>
      <c r="F1177" s="2" t="s">
        <v>1</v>
      </c>
      <c r="G1177">
        <v>1</v>
      </c>
      <c r="H1177">
        <v>3.5</v>
      </c>
      <c r="I1177" s="2" t="s">
        <v>0</v>
      </c>
      <c r="J1177">
        <v>2</v>
      </c>
      <c r="K1177" s="2" t="s">
        <v>1</v>
      </c>
      <c r="L1177">
        <v>0</v>
      </c>
      <c r="M1177">
        <v>2.5</v>
      </c>
      <c r="N1177" s="2" t="s">
        <v>63</v>
      </c>
      <c r="O1177" t="str">
        <f>D1177&amp;"-"&amp;E1177&amp;"-"&amp;F1177&amp;"-"&amp;G1177&amp;"-"&amp;H1177</f>
        <v>X-2-f-1-3.5</v>
      </c>
      <c r="P1177" t="str">
        <f>I1177&amp;"-"&amp;J1177&amp;"-"&amp;K1177&amp;"-"&amp;L1177&amp;"-"&amp;M1177</f>
        <v>X-2-f-0-2.5</v>
      </c>
      <c r="Q1177">
        <f>A1177+R1177</f>
        <v>1243.5130230000002</v>
      </c>
      <c r="R1177">
        <f>_xlfn.IFNA(VLOOKUP(P1177,PGOPHER!A$2:G$181,7,FALSE),_xlfn.IFNA(VLOOKUP(P1177,en!A$2:I$768,7,FALSE),-10000))</f>
        <v>43.333492999999997</v>
      </c>
      <c r="S1177">
        <f>IF(O1177=O1176,Q1176+S1176,Q1177)</f>
        <v>3730.539127</v>
      </c>
      <c r="T1177">
        <f>IF(O1177=O1176,T1176+1,1)</f>
        <v>3</v>
      </c>
      <c r="U1177" t="str">
        <f>IF(O1177=O1178,"",S1177/T1177)</f>
        <v/>
      </c>
      <c r="V1177" t="str">
        <f>IF(U1177="","",IF(ABS(Q1177-U1177)&gt;V$1,"error",""))</f>
        <v/>
      </c>
    </row>
    <row r="1178" spans="1:22" x14ac:dyDescent="0.55000000000000004">
      <c r="A1178">
        <v>1135.0028</v>
      </c>
      <c r="B1178" s="1">
        <v>1.9199999999999998E-2</v>
      </c>
      <c r="C1178" s="1">
        <v>1.9199999999999998E-2</v>
      </c>
      <c r="D1178" s="2" t="s">
        <v>0</v>
      </c>
      <c r="E1178">
        <v>2</v>
      </c>
      <c r="F1178" s="2" t="s">
        <v>1</v>
      </c>
      <c r="G1178">
        <v>1</v>
      </c>
      <c r="H1178">
        <v>3.5</v>
      </c>
      <c r="I1178" s="2" t="s">
        <v>0</v>
      </c>
      <c r="J1178">
        <v>2</v>
      </c>
      <c r="K1178" s="2" t="s">
        <v>1</v>
      </c>
      <c r="L1178">
        <v>0</v>
      </c>
      <c r="M1178">
        <v>4.5</v>
      </c>
      <c r="N1178" s="2" t="s">
        <v>59</v>
      </c>
      <c r="O1178" t="str">
        <f>D1178&amp;"-"&amp;E1178&amp;"-"&amp;F1178&amp;"-"&amp;G1178&amp;"-"&amp;H1178</f>
        <v>X-2-f-1-3.5</v>
      </c>
      <c r="P1178" t="str">
        <f>I1178&amp;"-"&amp;J1178&amp;"-"&amp;K1178&amp;"-"&amp;L1178&amp;"-"&amp;M1178</f>
        <v>X-2-f-0-4.5</v>
      </c>
      <c r="Q1178">
        <f>A1178+R1178</f>
        <v>1243.513882</v>
      </c>
      <c r="R1178">
        <f>_xlfn.IFNA(VLOOKUP(P1178,PGOPHER!A$2:G$181,7,FALSE),_xlfn.IFNA(VLOOKUP(P1178,en!A$2:I$768,7,FALSE),-10000))</f>
        <v>108.511082</v>
      </c>
      <c r="S1178">
        <f>IF(O1178=O1177,Q1177+S1177,Q1178)</f>
        <v>4974.0521500000004</v>
      </c>
      <c r="T1178">
        <f>IF(O1178=O1177,T1177+1,1)</f>
        <v>4</v>
      </c>
      <c r="U1178" t="str">
        <f>IF(O1178=O1179,"",S1178/T1178)</f>
        <v/>
      </c>
      <c r="V1178" t="str">
        <f>IF(U1178="","",IF(ABS(Q1178-U1178)&gt;V$1,"error",""))</f>
        <v/>
      </c>
    </row>
    <row r="1179" spans="1:22" x14ac:dyDescent="0.55000000000000004">
      <c r="A1179">
        <v>1200.1795999999999</v>
      </c>
      <c r="B1179" s="1">
        <v>3.4000000000000002E-2</v>
      </c>
      <c r="C1179" s="1">
        <v>3.4000000000000002E-2</v>
      </c>
      <c r="D1179" s="2" t="s">
        <v>0</v>
      </c>
      <c r="E1179">
        <v>2</v>
      </c>
      <c r="F1179" s="2" t="s">
        <v>1</v>
      </c>
      <c r="G1179">
        <v>1</v>
      </c>
      <c r="H1179">
        <v>3.5</v>
      </c>
      <c r="I1179" s="2" t="s">
        <v>0</v>
      </c>
      <c r="J1179">
        <v>2</v>
      </c>
      <c r="K1179" s="2" t="s">
        <v>1</v>
      </c>
      <c r="L1179">
        <v>0</v>
      </c>
      <c r="M1179">
        <v>2.5</v>
      </c>
      <c r="N1179" s="2" t="s">
        <v>56</v>
      </c>
      <c r="O1179" t="str">
        <f>D1179&amp;"-"&amp;E1179&amp;"-"&amp;F1179&amp;"-"&amp;G1179&amp;"-"&amp;H1179</f>
        <v>X-2-f-1-3.5</v>
      </c>
      <c r="P1179" t="str">
        <f>I1179&amp;"-"&amp;J1179&amp;"-"&amp;K1179&amp;"-"&amp;L1179&amp;"-"&amp;M1179</f>
        <v>X-2-f-0-2.5</v>
      </c>
      <c r="Q1179">
        <f>A1179+R1179</f>
        <v>1243.513093</v>
      </c>
      <c r="R1179">
        <f>_xlfn.IFNA(VLOOKUP(P1179,PGOPHER!A$2:G$181,7,FALSE),_xlfn.IFNA(VLOOKUP(P1179,en!A$2:I$768,7,FALSE),-10000))</f>
        <v>43.333492999999997</v>
      </c>
      <c r="S1179">
        <f>IF(O1179=O1178,Q1178+S1178,Q1179)</f>
        <v>6217.5660320000006</v>
      </c>
      <c r="T1179">
        <f>IF(O1179=O1178,T1178+1,1)</f>
        <v>5</v>
      </c>
      <c r="U1179" t="str">
        <f>IF(O1179=O1180,"",S1179/T1179)</f>
        <v/>
      </c>
      <c r="V1179" t="str">
        <f>IF(U1179="","",IF(ABS(Q1179-U1179)&gt;V$1,"error",""))</f>
        <v/>
      </c>
    </row>
    <row r="1180" spans="1:22" x14ac:dyDescent="0.55000000000000004">
      <c r="A1180">
        <v>1135.0028299999999</v>
      </c>
      <c r="B1180" s="1">
        <v>1E-3</v>
      </c>
      <c r="C1180" s="1">
        <v>1E-3</v>
      </c>
      <c r="D1180" s="2" t="s">
        <v>0</v>
      </c>
      <c r="E1180">
        <v>2</v>
      </c>
      <c r="F1180" s="2" t="s">
        <v>1</v>
      </c>
      <c r="G1180">
        <v>1</v>
      </c>
      <c r="H1180">
        <v>3.5</v>
      </c>
      <c r="I1180" s="2" t="s">
        <v>0</v>
      </c>
      <c r="J1180">
        <v>2</v>
      </c>
      <c r="K1180" s="2" t="s">
        <v>1</v>
      </c>
      <c r="L1180">
        <v>0</v>
      </c>
      <c r="M1180">
        <v>4.5</v>
      </c>
      <c r="N1180" s="2" t="s">
        <v>67</v>
      </c>
      <c r="O1180" t="str">
        <f>D1180&amp;"-"&amp;E1180&amp;"-"&amp;F1180&amp;"-"&amp;G1180&amp;"-"&amp;H1180</f>
        <v>X-2-f-1-3.5</v>
      </c>
      <c r="P1180" t="str">
        <f>I1180&amp;"-"&amp;J1180&amp;"-"&amp;K1180&amp;"-"&amp;L1180&amp;"-"&amp;M1180</f>
        <v>X-2-f-0-4.5</v>
      </c>
      <c r="Q1180">
        <f>A1180+R1180</f>
        <v>1243.5139119999999</v>
      </c>
      <c r="R1180">
        <f>_xlfn.IFNA(VLOOKUP(P1180,PGOPHER!A$2:G$181,7,FALSE),_xlfn.IFNA(VLOOKUP(P1180,en!A$2:I$768,7,FALSE),-10000))</f>
        <v>108.511082</v>
      </c>
      <c r="S1180">
        <f>IF(O1180=O1179,Q1179+S1179,Q1180)</f>
        <v>7461.0791250000002</v>
      </c>
      <c r="T1180">
        <f>IF(O1180=O1179,T1179+1,1)</f>
        <v>6</v>
      </c>
      <c r="U1180">
        <f>IF(O1180=O1181,"",S1180/T1180)</f>
        <v>1243.5131875</v>
      </c>
      <c r="V1180" t="str">
        <f>IF(U1180="","",IF(ABS(Q1180-U1180)&gt;V$1,"error",""))</f>
        <v/>
      </c>
    </row>
    <row r="1181" spans="1:22" x14ac:dyDescent="0.55000000000000004">
      <c r="A1181">
        <v>1165.3776</v>
      </c>
      <c r="B1181" s="1">
        <v>1.1800000000000001E-3</v>
      </c>
      <c r="C1181" s="1">
        <v>1.1800000000000001E-3</v>
      </c>
      <c r="D1181" s="2" t="s">
        <v>0</v>
      </c>
      <c r="E1181">
        <v>2</v>
      </c>
      <c r="F1181" s="2" t="s">
        <v>1</v>
      </c>
      <c r="G1181">
        <v>2</v>
      </c>
      <c r="H1181">
        <v>3.5</v>
      </c>
      <c r="I1181" s="2" t="s">
        <v>0</v>
      </c>
      <c r="J1181">
        <v>2</v>
      </c>
      <c r="K1181" s="2" t="s">
        <v>1</v>
      </c>
      <c r="L1181">
        <v>1</v>
      </c>
      <c r="M1181">
        <v>2.5</v>
      </c>
      <c r="N1181" s="2" t="s">
        <v>400</v>
      </c>
      <c r="O1181" t="str">
        <f>D1181&amp;"-"&amp;E1181&amp;"-"&amp;F1181&amp;"-"&amp;G1181&amp;"-"&amp;H1181</f>
        <v>X-2-f-2-3.5</v>
      </c>
      <c r="P1181" t="str">
        <f>I1181&amp;"-"&amp;J1181&amp;"-"&amp;K1181&amp;"-"&amp;L1181&amp;"-"&amp;M1181</f>
        <v>X-2-f-1-2.5</v>
      </c>
      <c r="Q1181">
        <f>A1181+R1181</f>
        <v>2380.55953</v>
      </c>
      <c r="R1181">
        <f>_xlfn.IFNA(VLOOKUP(P1181,PGOPHER!A$2:G$181,7,FALSE),_xlfn.IFNA(VLOOKUP(P1181,en!A$2:I$768,7,FALSE),-10000))</f>
        <v>1215.18193</v>
      </c>
      <c r="S1181">
        <f>IF(O1181=O1180,Q1180+S1180,Q1181)</f>
        <v>2380.55953</v>
      </c>
      <c r="T1181">
        <f>IF(O1181=O1180,T1180+1,1)</f>
        <v>1</v>
      </c>
      <c r="U1181" t="str">
        <f>IF(O1181=O1182,"",S1181/T1181)</f>
        <v/>
      </c>
      <c r="V1181" t="str">
        <f>IF(U1181="","",IF(ABS(Q1181-U1181)&gt;V$1,"error",""))</f>
        <v/>
      </c>
    </row>
    <row r="1182" spans="1:22" x14ac:dyDescent="0.55000000000000004">
      <c r="A1182">
        <v>1101.6412</v>
      </c>
      <c r="B1182" s="1">
        <v>1E-3</v>
      </c>
      <c r="C1182" s="1">
        <v>1E-3</v>
      </c>
      <c r="D1182" s="2" t="s">
        <v>0</v>
      </c>
      <c r="E1182">
        <v>2</v>
      </c>
      <c r="F1182" s="2" t="s">
        <v>1</v>
      </c>
      <c r="G1182">
        <v>2</v>
      </c>
      <c r="H1182">
        <v>3.5</v>
      </c>
      <c r="I1182" s="2" t="s">
        <v>0</v>
      </c>
      <c r="J1182">
        <v>2</v>
      </c>
      <c r="K1182" s="2" t="s">
        <v>1</v>
      </c>
      <c r="L1182">
        <v>1</v>
      </c>
      <c r="M1182">
        <v>4.5</v>
      </c>
      <c r="N1182" s="2" t="s">
        <v>403</v>
      </c>
      <c r="O1182" t="str">
        <f>D1182&amp;"-"&amp;E1182&amp;"-"&amp;F1182&amp;"-"&amp;G1182&amp;"-"&amp;H1182</f>
        <v>X-2-f-2-3.5</v>
      </c>
      <c r="P1182" t="str">
        <f>I1182&amp;"-"&amp;J1182&amp;"-"&amp;K1182&amp;"-"&amp;L1182&amp;"-"&amp;M1182</f>
        <v>X-2-f-1-4.5</v>
      </c>
      <c r="Q1182">
        <f>A1182+R1182</f>
        <v>2380.5586659999999</v>
      </c>
      <c r="R1182">
        <f>_xlfn.IFNA(VLOOKUP(P1182,PGOPHER!A$2:G$181,7,FALSE),_xlfn.IFNA(VLOOKUP(P1182,en!A$2:I$768,7,FALSE),-10000))</f>
        <v>1278.9174660000001</v>
      </c>
      <c r="S1182">
        <f>IF(O1182=O1181,Q1181+S1181,Q1182)</f>
        <v>4761.11906</v>
      </c>
      <c r="T1182">
        <f>IF(O1182=O1181,T1181+1,1)</f>
        <v>2</v>
      </c>
      <c r="U1182" t="str">
        <f>IF(O1182=O1183,"",S1182/T1182)</f>
        <v/>
      </c>
      <c r="V1182" t="str">
        <f>IF(U1182="","",IF(ABS(Q1182-U1182)&gt;V$1,"error",""))</f>
        <v/>
      </c>
    </row>
    <row r="1183" spans="1:22" x14ac:dyDescent="0.55000000000000004">
      <c r="A1183">
        <v>1101.6411000000001</v>
      </c>
      <c r="B1183" s="1">
        <v>1E-3</v>
      </c>
      <c r="C1183" s="1">
        <v>1E-3</v>
      </c>
      <c r="D1183" s="2" t="s">
        <v>0</v>
      </c>
      <c r="E1183">
        <v>2</v>
      </c>
      <c r="F1183" s="2" t="s">
        <v>1</v>
      </c>
      <c r="G1183">
        <v>2</v>
      </c>
      <c r="H1183">
        <v>3.5</v>
      </c>
      <c r="I1183" s="2" t="s">
        <v>0</v>
      </c>
      <c r="J1183">
        <v>2</v>
      </c>
      <c r="K1183" s="2" t="s">
        <v>1</v>
      </c>
      <c r="L1183">
        <v>1</v>
      </c>
      <c r="M1183">
        <v>4.5</v>
      </c>
      <c r="N1183" s="2" t="s">
        <v>404</v>
      </c>
      <c r="O1183" t="str">
        <f>D1183&amp;"-"&amp;E1183&amp;"-"&amp;F1183&amp;"-"&amp;G1183&amp;"-"&amp;H1183</f>
        <v>X-2-f-2-3.5</v>
      </c>
      <c r="P1183" t="str">
        <f>I1183&amp;"-"&amp;J1183&amp;"-"&amp;K1183&amp;"-"&amp;L1183&amp;"-"&amp;M1183</f>
        <v>X-2-f-1-4.5</v>
      </c>
      <c r="Q1183">
        <f>A1183+R1183</f>
        <v>2380.5585660000002</v>
      </c>
      <c r="R1183">
        <f>_xlfn.IFNA(VLOOKUP(P1183,PGOPHER!A$2:G$181,7,FALSE),_xlfn.IFNA(VLOOKUP(P1183,en!A$2:I$768,7,FALSE),-10000))</f>
        <v>1278.9174660000001</v>
      </c>
      <c r="S1183">
        <f>IF(O1183=O1182,Q1182+S1182,Q1183)</f>
        <v>7141.6777259999999</v>
      </c>
      <c r="T1183">
        <f>IF(O1183=O1182,T1182+1,1)</f>
        <v>3</v>
      </c>
      <c r="U1183" t="str">
        <f>IF(O1183=O1184,"",S1183/T1183)</f>
        <v/>
      </c>
      <c r="V1183" t="str">
        <f>IF(U1183="","",IF(ABS(Q1183-U1183)&gt;V$1,"error",""))</f>
        <v/>
      </c>
    </row>
    <row r="1184" spans="1:22" x14ac:dyDescent="0.55000000000000004">
      <c r="A1184">
        <v>1165.3764000000001</v>
      </c>
      <c r="B1184" s="1">
        <v>5.1900000000000002E-3</v>
      </c>
      <c r="C1184" s="1">
        <v>5.1900000000000002E-3</v>
      </c>
      <c r="D1184" s="2" t="s">
        <v>0</v>
      </c>
      <c r="E1184">
        <v>2</v>
      </c>
      <c r="F1184" s="2" t="s">
        <v>1</v>
      </c>
      <c r="G1184">
        <v>2</v>
      </c>
      <c r="H1184">
        <v>3.5</v>
      </c>
      <c r="I1184" s="2" t="s">
        <v>0</v>
      </c>
      <c r="J1184">
        <v>2</v>
      </c>
      <c r="K1184" s="2" t="s">
        <v>1</v>
      </c>
      <c r="L1184">
        <v>1</v>
      </c>
      <c r="M1184">
        <v>2.5</v>
      </c>
      <c r="N1184" s="2" t="s">
        <v>401</v>
      </c>
      <c r="O1184" t="str">
        <f>D1184&amp;"-"&amp;E1184&amp;"-"&amp;F1184&amp;"-"&amp;G1184&amp;"-"&amp;H1184</f>
        <v>X-2-f-2-3.5</v>
      </c>
      <c r="P1184" t="str">
        <f>I1184&amp;"-"&amp;J1184&amp;"-"&amp;K1184&amp;"-"&amp;L1184&amp;"-"&amp;M1184</f>
        <v>X-2-f-1-2.5</v>
      </c>
      <c r="Q1184">
        <f>A1184+R1184</f>
        <v>2380.5583299999998</v>
      </c>
      <c r="R1184">
        <f>_xlfn.IFNA(VLOOKUP(P1184,PGOPHER!A$2:G$181,7,FALSE),_xlfn.IFNA(VLOOKUP(P1184,en!A$2:I$768,7,FALSE),-10000))</f>
        <v>1215.18193</v>
      </c>
      <c r="S1184">
        <f>IF(O1184=O1183,Q1183+S1183,Q1184)</f>
        <v>9522.2362919999996</v>
      </c>
      <c r="T1184">
        <f>IF(O1184=O1183,T1183+1,1)</f>
        <v>4</v>
      </c>
      <c r="U1184">
        <f>IF(O1184=O1185,"",S1184/T1184)</f>
        <v>2380.5590729999999</v>
      </c>
      <c r="V1184" t="str">
        <f>IF(U1184="","",IF(ABS(Q1184-U1184)&gt;V$1,"error",""))</f>
        <v/>
      </c>
    </row>
    <row r="1185" spans="1:22" x14ac:dyDescent="0.55000000000000004">
      <c r="A1185">
        <v>1130.498</v>
      </c>
      <c r="B1185" s="1">
        <v>1.66E-2</v>
      </c>
      <c r="C1185" s="1">
        <v>1.66E-2</v>
      </c>
      <c r="D1185" s="2" t="s">
        <v>0</v>
      </c>
      <c r="E1185">
        <v>2</v>
      </c>
      <c r="F1185" s="2" t="s">
        <v>1</v>
      </c>
      <c r="G1185">
        <v>3</v>
      </c>
      <c r="H1185">
        <v>3.5</v>
      </c>
      <c r="I1185" s="2" t="s">
        <v>0</v>
      </c>
      <c r="J1185">
        <v>2</v>
      </c>
      <c r="K1185" s="2" t="s">
        <v>1</v>
      </c>
      <c r="L1185">
        <v>2</v>
      </c>
      <c r="M1185">
        <v>2.5</v>
      </c>
      <c r="N1185" s="2" t="s">
        <v>528</v>
      </c>
      <c r="O1185" t="str">
        <f>D1185&amp;"-"&amp;E1185&amp;"-"&amp;F1185&amp;"-"&amp;G1185&amp;"-"&amp;H1185</f>
        <v>X-2-f-3-3.5</v>
      </c>
      <c r="P1185" t="str">
        <f>I1185&amp;"-"&amp;J1185&amp;"-"&amp;K1185&amp;"-"&amp;L1185&amp;"-"&amp;M1185</f>
        <v>X-2-f-2-2.5</v>
      </c>
      <c r="Q1185">
        <f>A1185+R1185</f>
        <v>3483.3684960000001</v>
      </c>
      <c r="R1185">
        <f>_xlfn.IFNA(VLOOKUP(P1185,PGOPHER!A$2:G$181,7,FALSE),_xlfn.IFNA(VLOOKUP(P1185,en!A$2:I$768,7,FALSE),-10000))</f>
        <v>2352.870496</v>
      </c>
      <c r="S1185">
        <f>IF(O1185=O1184,Q1184+S1184,Q1185)</f>
        <v>3483.3684960000001</v>
      </c>
      <c r="T1185">
        <f>IF(O1185=O1184,T1184+1,1)</f>
        <v>1</v>
      </c>
      <c r="U1185" t="str">
        <f>IF(O1185=O1186,"",S1185/T1185)</f>
        <v/>
      </c>
      <c r="V1185" t="str">
        <f>IF(U1185="","",IF(ABS(Q1185-U1185)&gt;V$1,"error",""))</f>
        <v/>
      </c>
    </row>
    <row r="1186" spans="1:22" x14ac:dyDescent="0.55000000000000004">
      <c r="A1186">
        <v>1068.2084</v>
      </c>
      <c r="B1186" s="1">
        <v>8.5199999999999998E-3</v>
      </c>
      <c r="C1186" s="1">
        <v>8.5199999999999998E-3</v>
      </c>
      <c r="D1186" s="2" t="s">
        <v>0</v>
      </c>
      <c r="E1186">
        <v>2</v>
      </c>
      <c r="F1186" s="2" t="s">
        <v>1</v>
      </c>
      <c r="G1186">
        <v>3</v>
      </c>
      <c r="H1186">
        <v>3.5</v>
      </c>
      <c r="I1186" s="2" t="s">
        <v>0</v>
      </c>
      <c r="J1186">
        <v>2</v>
      </c>
      <c r="K1186" s="2" t="s">
        <v>1</v>
      </c>
      <c r="L1186">
        <v>2</v>
      </c>
      <c r="M1186">
        <v>4.5</v>
      </c>
      <c r="N1186" s="2" t="s">
        <v>527</v>
      </c>
      <c r="O1186" t="str">
        <f>D1186&amp;"-"&amp;E1186&amp;"-"&amp;F1186&amp;"-"&amp;G1186&amp;"-"&amp;H1186</f>
        <v>X-2-f-3-3.5</v>
      </c>
      <c r="P1186" t="str">
        <f>I1186&amp;"-"&amp;J1186&amp;"-"&amp;K1186&amp;"-"&amp;L1186&amp;"-"&amp;M1186</f>
        <v>X-2-f-2-4.5</v>
      </c>
      <c r="Q1186">
        <f>A1186+R1186</f>
        <v>3483.3692620000002</v>
      </c>
      <c r="R1186">
        <f>_xlfn.IFNA(VLOOKUP(P1186,PGOPHER!A$2:G$181,7,FALSE),_xlfn.IFNA(VLOOKUP(P1186,en!A$2:I$768,7,FALSE),-10000))</f>
        <v>2415.1608620000002</v>
      </c>
      <c r="S1186">
        <f>IF(O1186=O1185,Q1185+S1185,Q1186)</f>
        <v>6966.7369920000001</v>
      </c>
      <c r="T1186">
        <f>IF(O1186=O1185,T1185+1,1)</f>
        <v>2</v>
      </c>
      <c r="U1186" t="str">
        <f>IF(O1186=O1187,"",S1186/T1186)</f>
        <v/>
      </c>
      <c r="V1186" t="str">
        <f>IF(U1186="","",IF(ABS(Q1186-U1186)&gt;V$1,"error",""))</f>
        <v/>
      </c>
    </row>
    <row r="1187" spans="1:22" x14ac:dyDescent="0.55000000000000004">
      <c r="A1187">
        <v>1068.2080000000001</v>
      </c>
      <c r="B1187" s="1">
        <v>8.0800000000000004E-3</v>
      </c>
      <c r="C1187" s="1">
        <v>8.0800000000000004E-3</v>
      </c>
      <c r="D1187" s="2" t="s">
        <v>0</v>
      </c>
      <c r="E1187">
        <v>2</v>
      </c>
      <c r="F1187" s="2" t="s">
        <v>1</v>
      </c>
      <c r="G1187">
        <v>3</v>
      </c>
      <c r="H1187">
        <v>3.5</v>
      </c>
      <c r="I1187" s="2" t="s">
        <v>0</v>
      </c>
      <c r="J1187">
        <v>2</v>
      </c>
      <c r="K1187" s="2" t="s">
        <v>1</v>
      </c>
      <c r="L1187">
        <v>2</v>
      </c>
      <c r="M1187">
        <v>4.5</v>
      </c>
      <c r="N1187" s="2" t="s">
        <v>530</v>
      </c>
      <c r="O1187" t="str">
        <f>D1187&amp;"-"&amp;E1187&amp;"-"&amp;F1187&amp;"-"&amp;G1187&amp;"-"&amp;H1187</f>
        <v>X-2-f-3-3.5</v>
      </c>
      <c r="P1187" t="str">
        <f>I1187&amp;"-"&amp;J1187&amp;"-"&amp;K1187&amp;"-"&amp;L1187&amp;"-"&amp;M1187</f>
        <v>X-2-f-2-4.5</v>
      </c>
      <c r="Q1187">
        <f>A1187+R1187</f>
        <v>3483.3688620000003</v>
      </c>
      <c r="R1187">
        <f>_xlfn.IFNA(VLOOKUP(P1187,PGOPHER!A$2:G$181,7,FALSE),_xlfn.IFNA(VLOOKUP(P1187,en!A$2:I$768,7,FALSE),-10000))</f>
        <v>2415.1608620000002</v>
      </c>
      <c r="S1187">
        <f>IF(O1187=O1186,Q1186+S1186,Q1187)</f>
        <v>10450.106254</v>
      </c>
      <c r="T1187">
        <f>IF(O1187=O1186,T1186+1,1)</f>
        <v>3</v>
      </c>
      <c r="U1187">
        <f>IF(O1187=O1188,"",S1187/T1187)</f>
        <v>3483.3687513333334</v>
      </c>
      <c r="V1187" t="str">
        <f>IF(U1187="","",IF(ABS(Q1187-U1187)&gt;V$1,"error",""))</f>
        <v/>
      </c>
    </row>
    <row r="1188" spans="1:22" x14ac:dyDescent="0.55000000000000004">
      <c r="A1188">
        <v>1034.5463999999999</v>
      </c>
      <c r="B1188" s="1">
        <v>1E-3</v>
      </c>
      <c r="C1188" s="1">
        <v>1E-3</v>
      </c>
      <c r="D1188" s="2" t="s">
        <v>0</v>
      </c>
      <c r="E1188">
        <v>2</v>
      </c>
      <c r="F1188" s="2" t="s">
        <v>1</v>
      </c>
      <c r="G1188">
        <v>4</v>
      </c>
      <c r="H1188">
        <v>3.5</v>
      </c>
      <c r="I1188" s="2" t="s">
        <v>0</v>
      </c>
      <c r="J1188">
        <v>2</v>
      </c>
      <c r="K1188" s="2" t="s">
        <v>1</v>
      </c>
      <c r="L1188">
        <v>3</v>
      </c>
      <c r="M1188">
        <v>4.5</v>
      </c>
      <c r="N1188" s="2" t="s">
        <v>621</v>
      </c>
      <c r="O1188" t="str">
        <f>D1188&amp;"-"&amp;E1188&amp;"-"&amp;F1188&amp;"-"&amp;G1188&amp;"-"&amp;H1188</f>
        <v>X-2-f-4-3.5</v>
      </c>
      <c r="P1188" t="str">
        <f>I1188&amp;"-"&amp;J1188&amp;"-"&amp;K1188&amp;"-"&amp;L1188&amp;"-"&amp;M1188</f>
        <v>X-2-f-3-4.5</v>
      </c>
      <c r="Q1188">
        <f>A1188+R1188</f>
        <v>4551.7066590000004</v>
      </c>
      <c r="R1188">
        <f>_xlfn.IFNA(VLOOKUP(P1188,PGOPHER!A$2:G$181,7,FALSE),_xlfn.IFNA(VLOOKUP(P1188,en!A$2:I$768,7,FALSE),-10000))</f>
        <v>3517.1602590000002</v>
      </c>
      <c r="S1188">
        <f>IF(O1188=O1187,Q1187+S1187,Q1188)</f>
        <v>4551.7066590000004</v>
      </c>
      <c r="T1188">
        <f>IF(O1188=O1187,T1187+1,1)</f>
        <v>1</v>
      </c>
      <c r="U1188">
        <f>IF(O1188=O1189,"",S1188/T1188)</f>
        <v>4551.7066590000004</v>
      </c>
      <c r="V1188" t="str">
        <f>IF(U1188="","",IF(ABS(Q1188-U1188)&gt;V$1,"error",""))</f>
        <v/>
      </c>
    </row>
    <row r="1189" spans="1:22" x14ac:dyDescent="0.55000000000000004">
      <c r="A1189">
        <v>1134.8612900000001</v>
      </c>
      <c r="B1189" s="1">
        <v>1E-3</v>
      </c>
      <c r="C1189" s="1">
        <v>1E-3</v>
      </c>
      <c r="D1189" s="2" t="s">
        <v>0</v>
      </c>
      <c r="E1189">
        <v>1</v>
      </c>
      <c r="F1189" s="2" t="s">
        <v>2</v>
      </c>
      <c r="G1189">
        <v>1</v>
      </c>
      <c r="H1189">
        <v>4.5</v>
      </c>
      <c r="I1189" s="2" t="s">
        <v>0</v>
      </c>
      <c r="J1189">
        <v>1</v>
      </c>
      <c r="K1189" s="2" t="s">
        <v>2</v>
      </c>
      <c r="L1189">
        <v>0</v>
      </c>
      <c r="M1189">
        <v>5.5</v>
      </c>
      <c r="N1189" s="2" t="s">
        <v>74</v>
      </c>
      <c r="O1189" t="str">
        <f>D1189&amp;"-"&amp;E1189&amp;"-"&amp;F1189&amp;"-"&amp;G1189&amp;"-"&amp;H1189</f>
        <v>X-1-e-1-4.5</v>
      </c>
      <c r="P1189" t="str">
        <f>I1189&amp;"-"&amp;J1189&amp;"-"&amp;K1189&amp;"-"&amp;L1189&amp;"-"&amp;M1189</f>
        <v>X-1-e-0-5.5</v>
      </c>
      <c r="Q1189">
        <f>A1189+R1189</f>
        <v>1244.051465</v>
      </c>
      <c r="R1189">
        <f>_xlfn.IFNA(VLOOKUP(P1189,PGOPHER!A$2:G$181,7,FALSE),_xlfn.IFNA(VLOOKUP(P1189,en!A$2:I$768,7,FALSE),-10000))</f>
        <v>109.190175</v>
      </c>
      <c r="S1189">
        <f>IF(O1189=O1188,Q1188+S1188,Q1189)</f>
        <v>1244.051465</v>
      </c>
      <c r="T1189">
        <f>IF(O1189=O1188,T1188+1,1)</f>
        <v>1</v>
      </c>
      <c r="U1189" t="str">
        <f>IF(O1189=O1190,"",S1189/T1189)</f>
        <v/>
      </c>
      <c r="V1189" t="str">
        <f>IF(U1189="","",IF(ABS(Q1189-U1189)&gt;V$1,"error",""))</f>
        <v/>
      </c>
    </row>
    <row r="1190" spans="1:22" x14ac:dyDescent="0.55000000000000004">
      <c r="A1190">
        <v>1200.28305</v>
      </c>
      <c r="B1190" s="1">
        <v>1E-3</v>
      </c>
      <c r="C1190" s="1">
        <v>1E-3</v>
      </c>
      <c r="D1190" s="2" t="s">
        <v>0</v>
      </c>
      <c r="E1190">
        <v>1</v>
      </c>
      <c r="F1190" s="2" t="s">
        <v>2</v>
      </c>
      <c r="G1190">
        <v>1</v>
      </c>
      <c r="H1190">
        <v>4.5</v>
      </c>
      <c r="I1190" s="2" t="s">
        <v>0</v>
      </c>
      <c r="J1190">
        <v>1</v>
      </c>
      <c r="K1190" s="2" t="s">
        <v>2</v>
      </c>
      <c r="L1190">
        <v>0</v>
      </c>
      <c r="M1190">
        <v>3.5</v>
      </c>
      <c r="N1190" s="2" t="s">
        <v>78</v>
      </c>
      <c r="O1190" t="str">
        <f>D1190&amp;"-"&amp;E1190&amp;"-"&amp;F1190&amp;"-"&amp;G1190&amp;"-"&amp;H1190</f>
        <v>X-1-e-1-4.5</v>
      </c>
      <c r="P1190" t="str">
        <f>I1190&amp;"-"&amp;J1190&amp;"-"&amp;K1190&amp;"-"&amp;L1190&amp;"-"&amp;M1190</f>
        <v>X-1-e-0-3.5</v>
      </c>
      <c r="Q1190">
        <f>A1190+R1190</f>
        <v>1244.050823</v>
      </c>
      <c r="R1190">
        <f>_xlfn.IFNA(VLOOKUP(P1190,PGOPHER!A$2:G$181,7,FALSE),_xlfn.IFNA(VLOOKUP(P1190,en!A$2:I$768,7,FALSE),-10000))</f>
        <v>43.767772999999998</v>
      </c>
      <c r="S1190">
        <f>IF(O1190=O1189,Q1189+S1189,Q1190)</f>
        <v>2488.10293</v>
      </c>
      <c r="T1190">
        <f>IF(O1190=O1189,T1189+1,1)</f>
        <v>2</v>
      </c>
      <c r="U1190" t="str">
        <f>IF(O1190=O1191,"",S1190/T1190)</f>
        <v/>
      </c>
      <c r="V1190" t="str">
        <f>IF(U1190="","",IF(ABS(Q1190-U1190)&gt;V$1,"error",""))</f>
        <v/>
      </c>
    </row>
    <row r="1191" spans="1:22" x14ac:dyDescent="0.55000000000000004">
      <c r="A1191">
        <v>1200.2844700000001</v>
      </c>
      <c r="B1191" s="1">
        <v>1E-3</v>
      </c>
      <c r="C1191" s="1">
        <v>1E-3</v>
      </c>
      <c r="D1191" s="2" t="s">
        <v>0</v>
      </c>
      <c r="E1191">
        <v>1</v>
      </c>
      <c r="F1191" s="2" t="s">
        <v>2</v>
      </c>
      <c r="G1191">
        <v>1</v>
      </c>
      <c r="H1191">
        <v>4.5</v>
      </c>
      <c r="I1191" s="2" t="s">
        <v>0</v>
      </c>
      <c r="J1191">
        <v>1</v>
      </c>
      <c r="K1191" s="2" t="s">
        <v>2</v>
      </c>
      <c r="L1191">
        <v>0</v>
      </c>
      <c r="M1191">
        <v>3.5</v>
      </c>
      <c r="N1191" s="2" t="s">
        <v>75</v>
      </c>
      <c r="O1191" t="str">
        <f>D1191&amp;"-"&amp;E1191&amp;"-"&amp;F1191&amp;"-"&amp;G1191&amp;"-"&amp;H1191</f>
        <v>X-1-e-1-4.5</v>
      </c>
      <c r="P1191" t="str">
        <f>I1191&amp;"-"&amp;J1191&amp;"-"&amp;K1191&amp;"-"&amp;L1191&amp;"-"&amp;M1191</f>
        <v>X-1-e-0-3.5</v>
      </c>
      <c r="Q1191">
        <f>A1191+R1191</f>
        <v>1244.0522430000001</v>
      </c>
      <c r="R1191">
        <f>_xlfn.IFNA(VLOOKUP(P1191,PGOPHER!A$2:G$181,7,FALSE),_xlfn.IFNA(VLOOKUP(P1191,en!A$2:I$768,7,FALSE),-10000))</f>
        <v>43.767772999999998</v>
      </c>
      <c r="S1191">
        <f>IF(O1191=O1190,Q1190+S1190,Q1191)</f>
        <v>3732.1537530000001</v>
      </c>
      <c r="T1191">
        <f>IF(O1191=O1190,T1190+1,1)</f>
        <v>3</v>
      </c>
      <c r="U1191" t="str">
        <f>IF(O1191=O1192,"",S1191/T1191)</f>
        <v/>
      </c>
      <c r="V1191" t="str">
        <f>IF(U1191="","",IF(ABS(Q1191-U1191)&gt;V$1,"error",""))</f>
        <v/>
      </c>
    </row>
    <row r="1192" spans="1:22" x14ac:dyDescent="0.55000000000000004">
      <c r="A1192">
        <v>1134.8616</v>
      </c>
      <c r="B1192" s="1">
        <v>1.6400000000000001E-2</v>
      </c>
      <c r="C1192" s="1">
        <v>1.6400000000000001E-2</v>
      </c>
      <c r="D1192" s="2" t="s">
        <v>0</v>
      </c>
      <c r="E1192">
        <v>1</v>
      </c>
      <c r="F1192" s="2" t="s">
        <v>2</v>
      </c>
      <c r="G1192">
        <v>1</v>
      </c>
      <c r="H1192">
        <v>4.5</v>
      </c>
      <c r="I1192" s="2" t="s">
        <v>0</v>
      </c>
      <c r="J1192">
        <v>1</v>
      </c>
      <c r="K1192" s="2" t="s">
        <v>2</v>
      </c>
      <c r="L1192">
        <v>0</v>
      </c>
      <c r="M1192">
        <v>5.5</v>
      </c>
      <c r="N1192" s="2" t="s">
        <v>72</v>
      </c>
      <c r="O1192" t="str">
        <f>D1192&amp;"-"&amp;E1192&amp;"-"&amp;F1192&amp;"-"&amp;G1192&amp;"-"&amp;H1192</f>
        <v>X-1-e-1-4.5</v>
      </c>
      <c r="P1192" t="str">
        <f>I1192&amp;"-"&amp;J1192&amp;"-"&amp;K1192&amp;"-"&amp;L1192&amp;"-"&amp;M1192</f>
        <v>X-1-e-0-5.5</v>
      </c>
      <c r="Q1192">
        <f>A1192+R1192</f>
        <v>1244.0517749999999</v>
      </c>
      <c r="R1192">
        <f>_xlfn.IFNA(VLOOKUP(P1192,PGOPHER!A$2:G$181,7,FALSE),_xlfn.IFNA(VLOOKUP(P1192,en!A$2:I$768,7,FALSE),-10000))</f>
        <v>109.190175</v>
      </c>
      <c r="S1192">
        <f>IF(O1192=O1191,Q1191+S1191,Q1192)</f>
        <v>4976.2059960000006</v>
      </c>
      <c r="T1192">
        <f>IF(O1192=O1191,T1191+1,1)</f>
        <v>4</v>
      </c>
      <c r="U1192" t="str">
        <f>IF(O1192=O1193,"",S1192/T1192)</f>
        <v/>
      </c>
      <c r="V1192" t="str">
        <f>IF(U1192="","",IF(ABS(Q1192-U1192)&gt;V$1,"error",""))</f>
        <v/>
      </c>
    </row>
    <row r="1193" spans="1:22" x14ac:dyDescent="0.55000000000000004">
      <c r="A1193">
        <v>1134.8616</v>
      </c>
      <c r="B1193" s="1">
        <v>1E-3</v>
      </c>
      <c r="C1193" s="1">
        <v>1E-3</v>
      </c>
      <c r="D1193" s="2" t="s">
        <v>0</v>
      </c>
      <c r="E1193">
        <v>1</v>
      </c>
      <c r="F1193" s="2" t="s">
        <v>2</v>
      </c>
      <c r="G1193">
        <v>1</v>
      </c>
      <c r="H1193">
        <v>4.5</v>
      </c>
      <c r="I1193" s="2" t="s">
        <v>0</v>
      </c>
      <c r="J1193">
        <v>1</v>
      </c>
      <c r="K1193" s="2" t="s">
        <v>2</v>
      </c>
      <c r="L1193">
        <v>0</v>
      </c>
      <c r="M1193">
        <v>5.5</v>
      </c>
      <c r="N1193" s="2" t="s">
        <v>79</v>
      </c>
      <c r="O1193" t="str">
        <f>D1193&amp;"-"&amp;E1193&amp;"-"&amp;F1193&amp;"-"&amp;G1193&amp;"-"&amp;H1193</f>
        <v>X-1-e-1-4.5</v>
      </c>
      <c r="P1193" t="str">
        <f>I1193&amp;"-"&amp;J1193&amp;"-"&amp;K1193&amp;"-"&amp;L1193&amp;"-"&amp;M1193</f>
        <v>X-1-e-0-5.5</v>
      </c>
      <c r="Q1193">
        <f>A1193+R1193</f>
        <v>1244.0517749999999</v>
      </c>
      <c r="R1193">
        <f>_xlfn.IFNA(VLOOKUP(P1193,PGOPHER!A$2:G$181,7,FALSE),_xlfn.IFNA(VLOOKUP(P1193,en!A$2:I$768,7,FALSE),-10000))</f>
        <v>109.190175</v>
      </c>
      <c r="S1193">
        <f>IF(O1193=O1192,Q1192+S1192,Q1193)</f>
        <v>6220.2577710000005</v>
      </c>
      <c r="T1193">
        <f>IF(O1193=O1192,T1192+1,1)</f>
        <v>5</v>
      </c>
      <c r="U1193" t="str">
        <f>IF(O1193=O1194,"",S1193/T1193)</f>
        <v/>
      </c>
      <c r="V1193" t="str">
        <f>IF(U1193="","",IF(ABS(Q1193-U1193)&gt;V$1,"error",""))</f>
        <v/>
      </c>
    </row>
    <row r="1194" spans="1:22" x14ac:dyDescent="0.55000000000000004">
      <c r="A1194">
        <v>1200.2831000000001</v>
      </c>
      <c r="B1194" s="1">
        <v>2.5100000000000001E-2</v>
      </c>
      <c r="C1194" s="1">
        <v>2.5100000000000001E-2</v>
      </c>
      <c r="D1194" s="2" t="s">
        <v>0</v>
      </c>
      <c r="E1194">
        <v>1</v>
      </c>
      <c r="F1194" s="2" t="s">
        <v>2</v>
      </c>
      <c r="G1194">
        <v>1</v>
      </c>
      <c r="H1194">
        <v>4.5</v>
      </c>
      <c r="I1194" s="2" t="s">
        <v>0</v>
      </c>
      <c r="J1194">
        <v>1</v>
      </c>
      <c r="K1194" s="2" t="s">
        <v>2</v>
      </c>
      <c r="L1194">
        <v>0</v>
      </c>
      <c r="M1194">
        <v>3.5</v>
      </c>
      <c r="N1194" s="2" t="s">
        <v>70</v>
      </c>
      <c r="O1194" t="str">
        <f>D1194&amp;"-"&amp;E1194&amp;"-"&amp;F1194&amp;"-"&amp;G1194&amp;"-"&amp;H1194</f>
        <v>X-1-e-1-4.5</v>
      </c>
      <c r="P1194" t="str">
        <f>I1194&amp;"-"&amp;J1194&amp;"-"&amp;K1194&amp;"-"&amp;L1194&amp;"-"&amp;M1194</f>
        <v>X-1-e-0-3.5</v>
      </c>
      <c r="Q1194">
        <f>A1194+R1194</f>
        <v>1244.0508730000001</v>
      </c>
      <c r="R1194">
        <f>_xlfn.IFNA(VLOOKUP(P1194,PGOPHER!A$2:G$181,7,FALSE),_xlfn.IFNA(VLOOKUP(P1194,en!A$2:I$768,7,FALSE),-10000))</f>
        <v>43.767772999999998</v>
      </c>
      <c r="S1194">
        <f>IF(O1194=O1193,Q1193+S1193,Q1194)</f>
        <v>7464.3095460000004</v>
      </c>
      <c r="T1194">
        <f>IF(O1194=O1193,T1193+1,1)</f>
        <v>6</v>
      </c>
      <c r="U1194">
        <f>IF(O1194=O1195,"",S1194/T1194)</f>
        <v>1244.0515910000001</v>
      </c>
      <c r="V1194" t="str">
        <f>IF(U1194="","",IF(ABS(Q1194-U1194)&gt;V$1,"error",""))</f>
        <v/>
      </c>
    </row>
    <row r="1195" spans="1:22" x14ac:dyDescent="0.55000000000000004">
      <c r="A1195">
        <v>1165.4772</v>
      </c>
      <c r="B1195" s="1">
        <v>1E-3</v>
      </c>
      <c r="C1195" s="1">
        <v>1E-3</v>
      </c>
      <c r="D1195" s="2" t="s">
        <v>0</v>
      </c>
      <c r="E1195">
        <v>1</v>
      </c>
      <c r="F1195" s="2" t="s">
        <v>2</v>
      </c>
      <c r="G1195">
        <v>2</v>
      </c>
      <c r="H1195">
        <v>4.5</v>
      </c>
      <c r="I1195" s="2" t="s">
        <v>0</v>
      </c>
      <c r="J1195">
        <v>1</v>
      </c>
      <c r="K1195" s="2" t="s">
        <v>2</v>
      </c>
      <c r="L1195">
        <v>1</v>
      </c>
      <c r="M1195">
        <v>3.5</v>
      </c>
      <c r="N1195" s="2" t="s">
        <v>405</v>
      </c>
      <c r="O1195" t="str">
        <f>D1195&amp;"-"&amp;E1195&amp;"-"&amp;F1195&amp;"-"&amp;G1195&amp;"-"&amp;H1195</f>
        <v>X-1-e-2-4.5</v>
      </c>
      <c r="P1195" t="str">
        <f>I1195&amp;"-"&amp;J1195&amp;"-"&amp;K1195&amp;"-"&amp;L1195&amp;"-"&amp;M1195</f>
        <v>X-1-e-1-3.5</v>
      </c>
      <c r="Q1195">
        <f>A1195+R1195</f>
        <v>2381.0783300000003</v>
      </c>
      <c r="R1195">
        <f>_xlfn.IFNA(VLOOKUP(P1195,PGOPHER!A$2:G$181,7,FALSE),_xlfn.IFNA(VLOOKUP(P1195,en!A$2:I$768,7,FALSE),-10000))</f>
        <v>1215.60113</v>
      </c>
      <c r="S1195">
        <f>IF(O1195=O1194,Q1194+S1194,Q1195)</f>
        <v>2381.0783300000003</v>
      </c>
      <c r="T1195">
        <f>IF(O1195=O1194,T1194+1,1)</f>
        <v>1</v>
      </c>
      <c r="U1195" t="str">
        <f>IF(O1195=O1196,"",S1195/T1195)</f>
        <v/>
      </c>
      <c r="V1195" t="str">
        <f>IF(U1195="","",IF(ABS(Q1195-U1195)&gt;V$1,"error",""))</f>
        <v/>
      </c>
    </row>
    <row r="1196" spans="1:22" x14ac:dyDescent="0.55000000000000004">
      <c r="A1196">
        <v>1101.5041000000001</v>
      </c>
      <c r="B1196" s="1">
        <v>1E-3</v>
      </c>
      <c r="C1196" s="1">
        <v>1E-3</v>
      </c>
      <c r="D1196" s="2" t="s">
        <v>0</v>
      </c>
      <c r="E1196">
        <v>1</v>
      </c>
      <c r="F1196" s="2" t="s">
        <v>2</v>
      </c>
      <c r="G1196">
        <v>2</v>
      </c>
      <c r="H1196">
        <v>4.5</v>
      </c>
      <c r="I1196" s="2" t="s">
        <v>0</v>
      </c>
      <c r="J1196">
        <v>1</v>
      </c>
      <c r="K1196" s="2" t="s">
        <v>2</v>
      </c>
      <c r="L1196">
        <v>1</v>
      </c>
      <c r="M1196">
        <v>5.5</v>
      </c>
      <c r="N1196" s="2" t="s">
        <v>409</v>
      </c>
      <c r="O1196" t="str">
        <f>D1196&amp;"-"&amp;E1196&amp;"-"&amp;F1196&amp;"-"&amp;G1196&amp;"-"&amp;H1196</f>
        <v>X-1-e-2-4.5</v>
      </c>
      <c r="P1196" t="str">
        <f>I1196&amp;"-"&amp;J1196&amp;"-"&amp;K1196&amp;"-"&amp;L1196&amp;"-"&amp;M1196</f>
        <v>X-1-e-1-5.5</v>
      </c>
      <c r="Q1196">
        <f>A1196+R1196</f>
        <v>2381.078665</v>
      </c>
      <c r="R1196">
        <f>_xlfn.IFNA(VLOOKUP(P1196,PGOPHER!A$2:G$181,7,FALSE),_xlfn.IFNA(VLOOKUP(P1196,en!A$2:I$768,7,FALSE),-10000))</f>
        <v>1279.5745649999999</v>
      </c>
      <c r="S1196">
        <f>IF(O1196=O1195,Q1195+S1195,Q1196)</f>
        <v>4762.1566600000006</v>
      </c>
      <c r="T1196">
        <f>IF(O1196=O1195,T1195+1,1)</f>
        <v>2</v>
      </c>
      <c r="U1196" t="str">
        <f>IF(O1196=O1197,"",S1196/T1196)</f>
        <v/>
      </c>
      <c r="V1196" t="str">
        <f>IF(U1196="","",IF(ABS(Q1196-U1196)&gt;V$1,"error",""))</f>
        <v/>
      </c>
    </row>
    <row r="1197" spans="1:22" x14ac:dyDescent="0.55000000000000004">
      <c r="A1197">
        <v>1101.5038</v>
      </c>
      <c r="B1197" s="1">
        <v>1E-3</v>
      </c>
      <c r="C1197" s="1">
        <v>1E-3</v>
      </c>
      <c r="D1197" s="2" t="s">
        <v>0</v>
      </c>
      <c r="E1197">
        <v>1</v>
      </c>
      <c r="F1197" s="2" t="s">
        <v>2</v>
      </c>
      <c r="G1197">
        <v>2</v>
      </c>
      <c r="H1197">
        <v>4.5</v>
      </c>
      <c r="I1197" s="2" t="s">
        <v>0</v>
      </c>
      <c r="J1197">
        <v>1</v>
      </c>
      <c r="K1197" s="2" t="s">
        <v>2</v>
      </c>
      <c r="L1197">
        <v>1</v>
      </c>
      <c r="M1197">
        <v>5.5</v>
      </c>
      <c r="N1197" s="2" t="s">
        <v>410</v>
      </c>
      <c r="O1197" t="str">
        <f>D1197&amp;"-"&amp;E1197&amp;"-"&amp;F1197&amp;"-"&amp;G1197&amp;"-"&amp;H1197</f>
        <v>X-1-e-2-4.5</v>
      </c>
      <c r="P1197" t="str">
        <f>I1197&amp;"-"&amp;J1197&amp;"-"&amp;K1197&amp;"-"&amp;L1197&amp;"-"&amp;M1197</f>
        <v>X-1-e-1-5.5</v>
      </c>
      <c r="Q1197">
        <f>A1197+R1197</f>
        <v>2381.0783649999998</v>
      </c>
      <c r="R1197">
        <f>_xlfn.IFNA(VLOOKUP(P1197,PGOPHER!A$2:G$181,7,FALSE),_xlfn.IFNA(VLOOKUP(P1197,en!A$2:I$768,7,FALSE),-10000))</f>
        <v>1279.5745649999999</v>
      </c>
      <c r="S1197">
        <f>IF(O1197=O1196,Q1196+S1196,Q1197)</f>
        <v>7143.2353250000006</v>
      </c>
      <c r="T1197">
        <f>IF(O1197=O1196,T1196+1,1)</f>
        <v>3</v>
      </c>
      <c r="U1197" t="str">
        <f>IF(O1197=O1198,"",S1197/T1197)</f>
        <v/>
      </c>
      <c r="V1197" t="str">
        <f>IF(U1197="","",IF(ABS(Q1197-U1197)&gt;V$1,"error",""))</f>
        <v/>
      </c>
    </row>
    <row r="1198" spans="1:22" x14ac:dyDescent="0.55000000000000004">
      <c r="A1198">
        <v>1165.4775999999999</v>
      </c>
      <c r="B1198" s="1">
        <v>1E-3</v>
      </c>
      <c r="C1198" s="1">
        <v>1E-3</v>
      </c>
      <c r="D1198" s="2" t="s">
        <v>0</v>
      </c>
      <c r="E1198">
        <v>1</v>
      </c>
      <c r="F1198" s="2" t="s">
        <v>2</v>
      </c>
      <c r="G1198">
        <v>2</v>
      </c>
      <c r="H1198">
        <v>4.5</v>
      </c>
      <c r="I1198" s="2" t="s">
        <v>0</v>
      </c>
      <c r="J1198">
        <v>1</v>
      </c>
      <c r="K1198" s="2" t="s">
        <v>2</v>
      </c>
      <c r="L1198">
        <v>1</v>
      </c>
      <c r="M1198">
        <v>3.5</v>
      </c>
      <c r="N1198" s="2" t="s">
        <v>406</v>
      </c>
      <c r="O1198" t="str">
        <f>D1198&amp;"-"&amp;E1198&amp;"-"&amp;F1198&amp;"-"&amp;G1198&amp;"-"&amp;H1198</f>
        <v>X-1-e-2-4.5</v>
      </c>
      <c r="P1198" t="str">
        <f>I1198&amp;"-"&amp;J1198&amp;"-"&amp;K1198&amp;"-"&amp;L1198&amp;"-"&amp;M1198</f>
        <v>X-1-e-1-3.5</v>
      </c>
      <c r="Q1198">
        <f>A1198+R1198</f>
        <v>2381.0787300000002</v>
      </c>
      <c r="R1198">
        <f>_xlfn.IFNA(VLOOKUP(P1198,PGOPHER!A$2:G$181,7,FALSE),_xlfn.IFNA(VLOOKUP(P1198,en!A$2:I$768,7,FALSE),-10000))</f>
        <v>1215.60113</v>
      </c>
      <c r="S1198">
        <f>IF(O1198=O1197,Q1197+S1197,Q1198)</f>
        <v>9524.3136900000009</v>
      </c>
      <c r="T1198">
        <f>IF(O1198=O1197,T1197+1,1)</f>
        <v>4</v>
      </c>
      <c r="U1198">
        <f>IF(O1198=O1199,"",S1198/T1198)</f>
        <v>2381.0784225000002</v>
      </c>
      <c r="V1198" t="str">
        <f>IF(U1198="","",IF(ABS(Q1198-U1198)&gt;V$1,"error",""))</f>
        <v/>
      </c>
    </row>
    <row r="1199" spans="1:22" x14ac:dyDescent="0.55000000000000004">
      <c r="A1199">
        <v>1068.0748000000001</v>
      </c>
      <c r="B1199" s="1">
        <v>7.4000000000000003E-3</v>
      </c>
      <c r="C1199" s="1">
        <v>7.4000000000000003E-3</v>
      </c>
      <c r="D1199" s="2" t="s">
        <v>0</v>
      </c>
      <c r="E1199">
        <v>1</v>
      </c>
      <c r="F1199" s="2" t="s">
        <v>2</v>
      </c>
      <c r="G1199">
        <v>3</v>
      </c>
      <c r="H1199">
        <v>4.5</v>
      </c>
      <c r="I1199" s="2" t="s">
        <v>0</v>
      </c>
      <c r="J1199">
        <v>1</v>
      </c>
      <c r="K1199" s="2" t="s">
        <v>2</v>
      </c>
      <c r="L1199">
        <v>2</v>
      </c>
      <c r="M1199">
        <v>5.5</v>
      </c>
      <c r="N1199" s="2" t="s">
        <v>532</v>
      </c>
      <c r="O1199" t="str">
        <f>D1199&amp;"-"&amp;E1199&amp;"-"&amp;F1199&amp;"-"&amp;G1199&amp;"-"&amp;H1199</f>
        <v>X-1-e-3-4.5</v>
      </c>
      <c r="P1199" t="str">
        <f>I1199&amp;"-"&amp;J1199&amp;"-"&amp;K1199&amp;"-"&amp;L1199&amp;"-"&amp;M1199</f>
        <v>X-1-e-2-5.5</v>
      </c>
      <c r="Q1199">
        <f>A1199+R1199</f>
        <v>3483.8703270000005</v>
      </c>
      <c r="R1199">
        <f>_xlfn.IFNA(VLOOKUP(P1199,PGOPHER!A$2:G$181,7,FALSE),_xlfn.IFNA(VLOOKUP(P1199,en!A$2:I$768,7,FALSE),-10000))</f>
        <v>2415.7955270000002</v>
      </c>
      <c r="S1199">
        <f>IF(O1199=O1198,Q1198+S1198,Q1199)</f>
        <v>3483.8703270000005</v>
      </c>
      <c r="T1199">
        <f>IF(O1199=O1198,T1198+1,1)</f>
        <v>1</v>
      </c>
      <c r="U1199" t="str">
        <f>IF(O1199=O1200,"",S1199/T1199)</f>
        <v/>
      </c>
      <c r="V1199" t="str">
        <f>IF(U1199="","",IF(ABS(Q1199-U1199)&gt;V$1,"error",""))</f>
        <v/>
      </c>
    </row>
    <row r="1200" spans="1:22" x14ac:dyDescent="0.55000000000000004">
      <c r="A1200">
        <v>1130.5953999999999</v>
      </c>
      <c r="B1200" s="1">
        <v>2.1100000000000001E-2</v>
      </c>
      <c r="C1200" s="1">
        <v>2.1100000000000001E-2</v>
      </c>
      <c r="D1200" s="2" t="s">
        <v>0</v>
      </c>
      <c r="E1200">
        <v>1</v>
      </c>
      <c r="F1200" s="2" t="s">
        <v>2</v>
      </c>
      <c r="G1200">
        <v>3</v>
      </c>
      <c r="H1200">
        <v>4.5</v>
      </c>
      <c r="I1200" s="2" t="s">
        <v>0</v>
      </c>
      <c r="J1200">
        <v>1</v>
      </c>
      <c r="K1200" s="2" t="s">
        <v>2</v>
      </c>
      <c r="L1200">
        <v>2</v>
      </c>
      <c r="M1200">
        <v>3.5</v>
      </c>
      <c r="N1200" s="2" t="s">
        <v>531</v>
      </c>
      <c r="O1200" t="str">
        <f>D1200&amp;"-"&amp;E1200&amp;"-"&amp;F1200&amp;"-"&amp;G1200&amp;"-"&amp;H1200</f>
        <v>X-1-e-3-4.5</v>
      </c>
      <c r="P1200" t="str">
        <f>I1200&amp;"-"&amp;J1200&amp;"-"&amp;K1200&amp;"-"&amp;L1200&amp;"-"&amp;M1200</f>
        <v>X-1-e-2-3.5</v>
      </c>
      <c r="Q1200">
        <f>A1200+R1200</f>
        <v>3483.8710359999995</v>
      </c>
      <c r="R1200">
        <f>_xlfn.IFNA(VLOOKUP(P1200,PGOPHER!A$2:G$181,7,FALSE),_xlfn.IFNA(VLOOKUP(P1200,en!A$2:I$768,7,FALSE),-10000))</f>
        <v>2353.2756359999998</v>
      </c>
      <c r="S1200">
        <f>IF(O1200=O1199,Q1199+S1199,Q1200)</f>
        <v>6967.7406540000011</v>
      </c>
      <c r="T1200">
        <f>IF(O1200=O1199,T1199+1,1)</f>
        <v>2</v>
      </c>
      <c r="U1200" t="str">
        <f>IF(O1200=O1201,"",S1200/T1200)</f>
        <v/>
      </c>
      <c r="V1200" t="str">
        <f>IF(U1200="","",IF(ABS(Q1200-U1200)&gt;V$1,"error",""))</f>
        <v/>
      </c>
    </row>
    <row r="1201" spans="1:22" x14ac:dyDescent="0.55000000000000004">
      <c r="A1201">
        <v>1068.0763999999999</v>
      </c>
      <c r="B1201" s="1">
        <v>5.64E-3</v>
      </c>
      <c r="C1201" s="1">
        <v>5.64E-3</v>
      </c>
      <c r="D1201" s="2" t="s">
        <v>0</v>
      </c>
      <c r="E1201">
        <v>1</v>
      </c>
      <c r="F1201" s="2" t="s">
        <v>2</v>
      </c>
      <c r="G1201">
        <v>3</v>
      </c>
      <c r="H1201">
        <v>4.5</v>
      </c>
      <c r="I1201" s="2" t="s">
        <v>0</v>
      </c>
      <c r="J1201">
        <v>1</v>
      </c>
      <c r="K1201" s="2" t="s">
        <v>2</v>
      </c>
      <c r="L1201">
        <v>2</v>
      </c>
      <c r="M1201">
        <v>5.5</v>
      </c>
      <c r="N1201" s="2" t="s">
        <v>535</v>
      </c>
      <c r="O1201" t="str">
        <f>D1201&amp;"-"&amp;E1201&amp;"-"&amp;F1201&amp;"-"&amp;G1201&amp;"-"&amp;H1201</f>
        <v>X-1-e-3-4.5</v>
      </c>
      <c r="P1201" t="str">
        <f>I1201&amp;"-"&amp;J1201&amp;"-"&amp;K1201&amp;"-"&amp;L1201&amp;"-"&amp;M1201</f>
        <v>X-1-e-2-5.5</v>
      </c>
      <c r="Q1201">
        <f>A1201+R1201</f>
        <v>3483.8719270000001</v>
      </c>
      <c r="R1201">
        <f>_xlfn.IFNA(VLOOKUP(P1201,PGOPHER!A$2:G$181,7,FALSE),_xlfn.IFNA(VLOOKUP(P1201,en!A$2:I$768,7,FALSE),-10000))</f>
        <v>2415.7955270000002</v>
      </c>
      <c r="S1201">
        <f>IF(O1201=O1200,Q1200+S1200,Q1201)</f>
        <v>10451.611690000002</v>
      </c>
      <c r="T1201">
        <f>IF(O1201=O1200,T1200+1,1)</f>
        <v>3</v>
      </c>
      <c r="U1201">
        <f>IF(O1201=O1202,"",S1201/T1201)</f>
        <v>3483.8705633333338</v>
      </c>
      <c r="V1201" t="str">
        <f>IF(U1201="","",IF(ABS(Q1201-U1201)&gt;V$1,"error",""))</f>
        <v/>
      </c>
    </row>
    <row r="1202" spans="1:22" x14ac:dyDescent="0.55000000000000004">
      <c r="A1202">
        <v>1034.4175</v>
      </c>
      <c r="B1202" s="1">
        <v>1E-3</v>
      </c>
      <c r="C1202" s="1">
        <v>1E-3</v>
      </c>
      <c r="D1202" s="2" t="s">
        <v>0</v>
      </c>
      <c r="E1202">
        <v>1</v>
      </c>
      <c r="F1202" s="2" t="s">
        <v>2</v>
      </c>
      <c r="G1202">
        <v>4</v>
      </c>
      <c r="H1202">
        <v>4.5</v>
      </c>
      <c r="I1202" s="2" t="s">
        <v>0</v>
      </c>
      <c r="J1202">
        <v>1</v>
      </c>
      <c r="K1202" s="2" t="s">
        <v>2</v>
      </c>
      <c r="L1202">
        <v>3</v>
      </c>
      <c r="M1202">
        <v>5.5</v>
      </c>
      <c r="N1202" s="2" t="s">
        <v>623</v>
      </c>
      <c r="O1202" t="str">
        <f>D1202&amp;"-"&amp;E1202&amp;"-"&amp;F1202&amp;"-"&amp;G1202&amp;"-"&amp;H1202</f>
        <v>X-1-e-4-4.5</v>
      </c>
      <c r="P1202" t="str">
        <f>I1202&amp;"-"&amp;J1202&amp;"-"&amp;K1202&amp;"-"&amp;L1202&amp;"-"&amp;M1202</f>
        <v>X-1-e-3-5.5</v>
      </c>
      <c r="Q1202">
        <f>A1202+R1202</f>
        <v>4552.1909080000005</v>
      </c>
      <c r="R1202">
        <f>_xlfn.IFNA(VLOOKUP(P1202,PGOPHER!A$2:G$181,7,FALSE),_xlfn.IFNA(VLOOKUP(P1202,en!A$2:I$768,7,FALSE),-10000))</f>
        <v>3517.773408</v>
      </c>
      <c r="S1202">
        <f>IF(O1202=O1201,Q1201+S1201,Q1202)</f>
        <v>4552.1909080000005</v>
      </c>
      <c r="T1202">
        <f>IF(O1202=O1201,T1201+1,1)</f>
        <v>1</v>
      </c>
      <c r="U1202">
        <f>IF(O1202=O1203,"",S1202/T1202)</f>
        <v>4552.1909080000005</v>
      </c>
      <c r="V1202" t="str">
        <f>IF(U1202="","",IF(ABS(Q1202-U1202)&gt;V$1,"error",""))</f>
        <v/>
      </c>
    </row>
    <row r="1203" spans="1:22" x14ac:dyDescent="0.55000000000000004">
      <c r="A1203">
        <v>1126.9835700000001</v>
      </c>
      <c r="B1203" s="1">
        <v>1E-3</v>
      </c>
      <c r="C1203" s="1">
        <v>1E-3</v>
      </c>
      <c r="D1203" s="2" t="s">
        <v>0</v>
      </c>
      <c r="E1203">
        <v>2</v>
      </c>
      <c r="F1203" s="2" t="s">
        <v>1</v>
      </c>
      <c r="G1203">
        <v>1</v>
      </c>
      <c r="H1203">
        <v>4.5</v>
      </c>
      <c r="I1203" s="2" t="s">
        <v>0</v>
      </c>
      <c r="J1203">
        <v>2</v>
      </c>
      <c r="K1203" s="2" t="s">
        <v>1</v>
      </c>
      <c r="L1203">
        <v>0</v>
      </c>
      <c r="M1203">
        <v>5.5</v>
      </c>
      <c r="N1203" s="2" t="s">
        <v>76</v>
      </c>
      <c r="O1203" t="str">
        <f>D1203&amp;"-"&amp;E1203&amp;"-"&amp;F1203&amp;"-"&amp;G1203&amp;"-"&amp;H1203</f>
        <v>X-2-f-1-4.5</v>
      </c>
      <c r="P1203" t="str">
        <f>I1203&amp;"-"&amp;J1203&amp;"-"&amp;K1203&amp;"-"&amp;L1203&amp;"-"&amp;M1203</f>
        <v>X-2-f-0-5.5</v>
      </c>
      <c r="Q1203">
        <f>A1203+R1203</f>
        <v>1278.9171350000001</v>
      </c>
      <c r="R1203">
        <f>_xlfn.IFNA(VLOOKUP(P1203,PGOPHER!A$2:G$181,7,FALSE),_xlfn.IFNA(VLOOKUP(P1203,en!A$2:I$768,7,FALSE),-10000))</f>
        <v>151.93356499999999</v>
      </c>
      <c r="S1203">
        <f>IF(O1203=O1202,Q1202+S1202,Q1203)</f>
        <v>1278.9171350000001</v>
      </c>
      <c r="T1203">
        <f>IF(O1203=O1202,T1202+1,1)</f>
        <v>1</v>
      </c>
      <c r="U1203" t="str">
        <f>IF(O1203=O1204,"",S1203/T1203)</f>
        <v/>
      </c>
      <c r="V1203" t="str">
        <f>IF(U1203="","",IF(ABS(Q1203-U1203)&gt;V$1,"error",""))</f>
        <v/>
      </c>
    </row>
    <row r="1204" spans="1:22" x14ac:dyDescent="0.55000000000000004">
      <c r="A1204">
        <v>1206.61304</v>
      </c>
      <c r="B1204" s="1">
        <v>1E-3</v>
      </c>
      <c r="C1204" s="1">
        <v>1E-3</v>
      </c>
      <c r="D1204" s="2" t="s">
        <v>0</v>
      </c>
      <c r="E1204">
        <v>2</v>
      </c>
      <c r="F1204" s="2" t="s">
        <v>1</v>
      </c>
      <c r="G1204">
        <v>1</v>
      </c>
      <c r="H1204">
        <v>4.5</v>
      </c>
      <c r="I1204" s="2" t="s">
        <v>0</v>
      </c>
      <c r="J1204">
        <v>2</v>
      </c>
      <c r="K1204" s="2" t="s">
        <v>1</v>
      </c>
      <c r="L1204">
        <v>0</v>
      </c>
      <c r="M1204">
        <v>3.5</v>
      </c>
      <c r="N1204" s="2" t="s">
        <v>80</v>
      </c>
      <c r="O1204" t="str">
        <f>D1204&amp;"-"&amp;E1204&amp;"-"&amp;F1204&amp;"-"&amp;G1204&amp;"-"&amp;H1204</f>
        <v>X-2-f-1-4.5</v>
      </c>
      <c r="P1204" t="str">
        <f>I1204&amp;"-"&amp;J1204&amp;"-"&amp;K1204&amp;"-"&amp;L1204&amp;"-"&amp;M1204</f>
        <v>X-2-f-0-3.5</v>
      </c>
      <c r="Q1204">
        <f>A1204+R1204</f>
        <v>1278.917596</v>
      </c>
      <c r="R1204">
        <f>_xlfn.IFNA(VLOOKUP(P1204,PGOPHER!A$2:G$181,7,FALSE),_xlfn.IFNA(VLOOKUP(P1204,en!A$2:I$768,7,FALSE),-10000))</f>
        <v>72.304556000000005</v>
      </c>
      <c r="S1204">
        <f>IF(O1204=O1203,Q1203+S1203,Q1204)</f>
        <v>2557.8342700000003</v>
      </c>
      <c r="T1204">
        <f>IF(O1204=O1203,T1203+1,1)</f>
        <v>2</v>
      </c>
      <c r="U1204" t="str">
        <f>IF(O1204=O1205,"",S1204/T1204)</f>
        <v/>
      </c>
      <c r="V1204" t="str">
        <f>IF(U1204="","",IF(ABS(Q1204-U1204)&gt;V$1,"error",""))</f>
        <v/>
      </c>
    </row>
    <row r="1205" spans="1:22" x14ac:dyDescent="0.55000000000000004">
      <c r="A1205">
        <v>1206.6124400000001</v>
      </c>
      <c r="B1205" s="1">
        <v>1E-3</v>
      </c>
      <c r="C1205" s="1">
        <v>1E-3</v>
      </c>
      <c r="D1205" s="2" t="s">
        <v>0</v>
      </c>
      <c r="E1205">
        <v>2</v>
      </c>
      <c r="F1205" s="2" t="s">
        <v>1</v>
      </c>
      <c r="G1205">
        <v>1</v>
      </c>
      <c r="H1205">
        <v>4.5</v>
      </c>
      <c r="I1205" s="2" t="s">
        <v>0</v>
      </c>
      <c r="J1205">
        <v>2</v>
      </c>
      <c r="K1205" s="2" t="s">
        <v>1</v>
      </c>
      <c r="L1205">
        <v>0</v>
      </c>
      <c r="M1205">
        <v>3.5</v>
      </c>
      <c r="N1205" s="2" t="s">
        <v>77</v>
      </c>
      <c r="O1205" t="str">
        <f>D1205&amp;"-"&amp;E1205&amp;"-"&amp;F1205&amp;"-"&amp;G1205&amp;"-"&amp;H1205</f>
        <v>X-2-f-1-4.5</v>
      </c>
      <c r="P1205" t="str">
        <f>I1205&amp;"-"&amp;J1205&amp;"-"&amp;K1205&amp;"-"&amp;L1205&amp;"-"&amp;M1205</f>
        <v>X-2-f-0-3.5</v>
      </c>
      <c r="Q1205">
        <f>A1205+R1205</f>
        <v>1278.9169960000002</v>
      </c>
      <c r="R1205">
        <f>_xlfn.IFNA(VLOOKUP(P1205,PGOPHER!A$2:G$181,7,FALSE),_xlfn.IFNA(VLOOKUP(P1205,en!A$2:I$768,7,FALSE),-10000))</f>
        <v>72.304556000000005</v>
      </c>
      <c r="S1205">
        <f>IF(O1205=O1204,Q1204+S1204,Q1205)</f>
        <v>3836.7518660000005</v>
      </c>
      <c r="T1205">
        <f>IF(O1205=O1204,T1204+1,1)</f>
        <v>3</v>
      </c>
      <c r="U1205" t="str">
        <f>IF(O1205=O1206,"",S1205/T1205)</f>
        <v/>
      </c>
      <c r="V1205" t="str">
        <f>IF(U1205="","",IF(ABS(Q1205-U1205)&gt;V$1,"error",""))</f>
        <v/>
      </c>
    </row>
    <row r="1206" spans="1:22" x14ac:dyDescent="0.55000000000000004">
      <c r="A1206">
        <v>1126.9847</v>
      </c>
      <c r="B1206" s="1">
        <v>6.7600000000000004E-3</v>
      </c>
      <c r="C1206" s="1">
        <v>6.7600000000000004E-3</v>
      </c>
      <c r="D1206" s="2" t="s">
        <v>0</v>
      </c>
      <c r="E1206">
        <v>2</v>
      </c>
      <c r="F1206" s="2" t="s">
        <v>1</v>
      </c>
      <c r="G1206">
        <v>1</v>
      </c>
      <c r="H1206">
        <v>4.5</v>
      </c>
      <c r="I1206" s="2" t="s">
        <v>0</v>
      </c>
      <c r="J1206">
        <v>2</v>
      </c>
      <c r="K1206" s="2" t="s">
        <v>1</v>
      </c>
      <c r="L1206">
        <v>0</v>
      </c>
      <c r="M1206">
        <v>5.5</v>
      </c>
      <c r="N1206" s="2" t="s">
        <v>73</v>
      </c>
      <c r="O1206" t="str">
        <f>D1206&amp;"-"&amp;E1206&amp;"-"&amp;F1206&amp;"-"&amp;G1206&amp;"-"&amp;H1206</f>
        <v>X-2-f-1-4.5</v>
      </c>
      <c r="P1206" t="str">
        <f>I1206&amp;"-"&amp;J1206&amp;"-"&amp;K1206&amp;"-"&amp;L1206&amp;"-"&amp;M1206</f>
        <v>X-2-f-0-5.5</v>
      </c>
      <c r="Q1206">
        <f>A1206+R1206</f>
        <v>1278.918265</v>
      </c>
      <c r="R1206">
        <f>_xlfn.IFNA(VLOOKUP(P1206,PGOPHER!A$2:G$181,7,FALSE),_xlfn.IFNA(VLOOKUP(P1206,en!A$2:I$768,7,FALSE),-10000))</f>
        <v>151.93356499999999</v>
      </c>
      <c r="S1206">
        <f>IF(O1206=O1205,Q1205+S1205,Q1206)</f>
        <v>5115.6688620000004</v>
      </c>
      <c r="T1206">
        <f>IF(O1206=O1205,T1205+1,1)</f>
        <v>4</v>
      </c>
      <c r="U1206" t="str">
        <f>IF(O1206=O1207,"",S1206/T1206)</f>
        <v/>
      </c>
      <c r="V1206" t="str">
        <f>IF(U1206="","",IF(ABS(Q1206-U1206)&gt;V$1,"error",""))</f>
        <v/>
      </c>
    </row>
    <row r="1207" spans="1:22" x14ac:dyDescent="0.55000000000000004">
      <c r="A1207">
        <v>1206.6130000000001</v>
      </c>
      <c r="B1207" s="1">
        <v>6.5599999999999999E-3</v>
      </c>
      <c r="C1207" s="1">
        <v>6.5599999999999999E-3</v>
      </c>
      <c r="D1207" s="2" t="s">
        <v>0</v>
      </c>
      <c r="E1207">
        <v>2</v>
      </c>
      <c r="F1207" s="2" t="s">
        <v>1</v>
      </c>
      <c r="G1207">
        <v>1</v>
      </c>
      <c r="H1207">
        <v>4.5</v>
      </c>
      <c r="I1207" s="2" t="s">
        <v>0</v>
      </c>
      <c r="J1207">
        <v>2</v>
      </c>
      <c r="K1207" s="2" t="s">
        <v>1</v>
      </c>
      <c r="L1207">
        <v>0</v>
      </c>
      <c r="M1207">
        <v>3.5</v>
      </c>
      <c r="N1207" s="2" t="s">
        <v>71</v>
      </c>
      <c r="O1207" t="str">
        <f>D1207&amp;"-"&amp;E1207&amp;"-"&amp;F1207&amp;"-"&amp;G1207&amp;"-"&amp;H1207</f>
        <v>X-2-f-1-4.5</v>
      </c>
      <c r="P1207" t="str">
        <f>I1207&amp;"-"&amp;J1207&amp;"-"&amp;K1207&amp;"-"&amp;L1207&amp;"-"&amp;M1207</f>
        <v>X-2-f-0-3.5</v>
      </c>
      <c r="Q1207">
        <f>A1207+R1207</f>
        <v>1278.9175560000001</v>
      </c>
      <c r="R1207">
        <f>_xlfn.IFNA(VLOOKUP(P1207,PGOPHER!A$2:G$181,7,FALSE),_xlfn.IFNA(VLOOKUP(P1207,en!A$2:I$768,7,FALSE),-10000))</f>
        <v>72.304556000000005</v>
      </c>
      <c r="S1207">
        <f>IF(O1207=O1206,Q1206+S1206,Q1207)</f>
        <v>6394.5871270000007</v>
      </c>
      <c r="T1207">
        <f>IF(O1207=O1206,T1206+1,1)</f>
        <v>5</v>
      </c>
      <c r="U1207" t="str">
        <f>IF(O1207=O1208,"",S1207/T1207)</f>
        <v/>
      </c>
      <c r="V1207" t="str">
        <f>IF(U1207="","",IF(ABS(Q1207-U1207)&gt;V$1,"error",""))</f>
        <v/>
      </c>
    </row>
    <row r="1208" spans="1:22" x14ac:dyDescent="0.55000000000000004">
      <c r="A1208">
        <v>1126.9847400000001</v>
      </c>
      <c r="B1208" s="1">
        <v>1E-3</v>
      </c>
      <c r="C1208" s="1">
        <v>1E-3</v>
      </c>
      <c r="D1208" s="2" t="s">
        <v>0</v>
      </c>
      <c r="E1208">
        <v>2</v>
      </c>
      <c r="F1208" s="2" t="s">
        <v>1</v>
      </c>
      <c r="G1208">
        <v>1</v>
      </c>
      <c r="H1208">
        <v>4.5</v>
      </c>
      <c r="I1208" s="2" t="s">
        <v>0</v>
      </c>
      <c r="J1208">
        <v>2</v>
      </c>
      <c r="K1208" s="2" t="s">
        <v>1</v>
      </c>
      <c r="L1208">
        <v>0</v>
      </c>
      <c r="M1208">
        <v>5.5</v>
      </c>
      <c r="N1208" s="2" t="s">
        <v>81</v>
      </c>
      <c r="O1208" t="str">
        <f>D1208&amp;"-"&amp;E1208&amp;"-"&amp;F1208&amp;"-"&amp;G1208&amp;"-"&amp;H1208</f>
        <v>X-2-f-1-4.5</v>
      </c>
      <c r="P1208" t="str">
        <f>I1208&amp;"-"&amp;J1208&amp;"-"&amp;K1208&amp;"-"&amp;L1208&amp;"-"&amp;M1208</f>
        <v>X-2-f-0-5.5</v>
      </c>
      <c r="Q1208">
        <f>A1208+R1208</f>
        <v>1278.9183050000001</v>
      </c>
      <c r="R1208">
        <f>_xlfn.IFNA(VLOOKUP(P1208,PGOPHER!A$2:G$181,7,FALSE),_xlfn.IFNA(VLOOKUP(P1208,en!A$2:I$768,7,FALSE),-10000))</f>
        <v>151.93356499999999</v>
      </c>
      <c r="S1208">
        <f>IF(O1208=O1207,Q1207+S1207,Q1208)</f>
        <v>7673.504683000001</v>
      </c>
      <c r="T1208">
        <f>IF(O1208=O1207,T1207+1,1)</f>
        <v>6</v>
      </c>
      <c r="U1208">
        <f>IF(O1208=O1209,"",S1208/T1208)</f>
        <v>1278.9174471666668</v>
      </c>
      <c r="V1208" t="str">
        <f>IF(U1208="","",IF(ABS(Q1208-U1208)&gt;V$1,"error",""))</f>
        <v/>
      </c>
    </row>
    <row r="1209" spans="1:22" x14ac:dyDescent="0.55000000000000004">
      <c r="A1209">
        <v>1171.6477</v>
      </c>
      <c r="B1209" s="1">
        <v>1.2999999999999999E-2</v>
      </c>
      <c r="C1209" s="1">
        <v>1.2999999999999999E-2</v>
      </c>
      <c r="D1209" s="2" t="s">
        <v>0</v>
      </c>
      <c r="E1209">
        <v>2</v>
      </c>
      <c r="F1209" s="2" t="s">
        <v>1</v>
      </c>
      <c r="G1209">
        <v>2</v>
      </c>
      <c r="H1209">
        <v>4.5</v>
      </c>
      <c r="I1209" s="2" t="s">
        <v>0</v>
      </c>
      <c r="J1209">
        <v>2</v>
      </c>
      <c r="K1209" s="2" t="s">
        <v>1</v>
      </c>
      <c r="L1209">
        <v>1</v>
      </c>
      <c r="M1209">
        <v>3.5</v>
      </c>
      <c r="N1209" s="2" t="s">
        <v>408</v>
      </c>
      <c r="O1209" t="str">
        <f>D1209&amp;"-"&amp;E1209&amp;"-"&amp;F1209&amp;"-"&amp;G1209&amp;"-"&amp;H1209</f>
        <v>X-2-f-2-4.5</v>
      </c>
      <c r="P1209" t="str">
        <f>I1209&amp;"-"&amp;J1209&amp;"-"&amp;K1209&amp;"-"&amp;L1209&amp;"-"&amp;M1209</f>
        <v>X-2-f-1-3.5</v>
      </c>
      <c r="Q1209">
        <f>A1209+R1209</f>
        <v>2415.1610470000001</v>
      </c>
      <c r="R1209">
        <f>_xlfn.IFNA(VLOOKUP(P1209,PGOPHER!A$2:G$181,7,FALSE),_xlfn.IFNA(VLOOKUP(P1209,en!A$2:I$768,7,FALSE),-10000))</f>
        <v>1243.5133470000001</v>
      </c>
      <c r="S1209">
        <f>IF(O1209=O1208,Q1208+S1208,Q1209)</f>
        <v>2415.1610470000001</v>
      </c>
      <c r="T1209">
        <f>IF(O1209=O1208,T1208+1,1)</f>
        <v>1</v>
      </c>
      <c r="U1209" t="str">
        <f>IF(O1209=O1210,"",S1209/T1209)</f>
        <v/>
      </c>
      <c r="V1209" t="str">
        <f>IF(U1209="","",IF(ABS(Q1209-U1209)&gt;V$1,"error",""))</f>
        <v/>
      </c>
    </row>
    <row r="1210" spans="1:22" x14ac:dyDescent="0.55000000000000004">
      <c r="A1210">
        <v>1171.6472000000001</v>
      </c>
      <c r="B1210" s="1">
        <v>1.3599999999999999E-2</v>
      </c>
      <c r="C1210" s="1">
        <v>1.3599999999999999E-2</v>
      </c>
      <c r="D1210" s="2" t="s">
        <v>0</v>
      </c>
      <c r="E1210">
        <v>2</v>
      </c>
      <c r="F1210" s="2" t="s">
        <v>1</v>
      </c>
      <c r="G1210">
        <v>2</v>
      </c>
      <c r="H1210">
        <v>4.5</v>
      </c>
      <c r="I1210" s="2" t="s">
        <v>0</v>
      </c>
      <c r="J1210">
        <v>2</v>
      </c>
      <c r="K1210" s="2" t="s">
        <v>1</v>
      </c>
      <c r="L1210">
        <v>1</v>
      </c>
      <c r="M1210">
        <v>3.5</v>
      </c>
      <c r="N1210" s="2" t="s">
        <v>407</v>
      </c>
      <c r="O1210" t="str">
        <f>D1210&amp;"-"&amp;E1210&amp;"-"&amp;F1210&amp;"-"&amp;G1210&amp;"-"&amp;H1210</f>
        <v>X-2-f-2-4.5</v>
      </c>
      <c r="P1210" t="str">
        <f>I1210&amp;"-"&amp;J1210&amp;"-"&amp;K1210&amp;"-"&amp;L1210&amp;"-"&amp;M1210</f>
        <v>X-2-f-1-3.5</v>
      </c>
      <c r="Q1210">
        <f>A1210+R1210</f>
        <v>2415.1605470000004</v>
      </c>
      <c r="R1210">
        <f>_xlfn.IFNA(VLOOKUP(P1210,PGOPHER!A$2:G$181,7,FALSE),_xlfn.IFNA(VLOOKUP(P1210,en!A$2:I$768,7,FALSE),-10000))</f>
        <v>1243.5133470000001</v>
      </c>
      <c r="S1210">
        <f>IF(O1210=O1209,Q1209+S1209,Q1210)</f>
        <v>4830.3220940000001</v>
      </c>
      <c r="T1210">
        <f>IF(O1210=O1209,T1209+1,1)</f>
        <v>2</v>
      </c>
      <c r="U1210" t="str">
        <f>IF(O1210=O1211,"",S1210/T1210)</f>
        <v/>
      </c>
      <c r="V1210" t="str">
        <f>IF(U1210="","",IF(ABS(Q1210-U1210)&gt;V$1,"error",""))</f>
        <v/>
      </c>
    </row>
    <row r="1211" spans="1:22" x14ac:dyDescent="0.55000000000000004">
      <c r="A1211">
        <v>1093.7806</v>
      </c>
      <c r="B1211" s="1">
        <v>1.7500000000000002E-2</v>
      </c>
      <c r="C1211" s="1">
        <v>1.7500000000000002E-2</v>
      </c>
      <c r="D1211" s="2" t="s">
        <v>0</v>
      </c>
      <c r="E1211">
        <v>2</v>
      </c>
      <c r="F1211" s="2" t="s">
        <v>1</v>
      </c>
      <c r="G1211">
        <v>2</v>
      </c>
      <c r="H1211">
        <v>4.5</v>
      </c>
      <c r="I1211" s="2" t="s">
        <v>0</v>
      </c>
      <c r="J1211">
        <v>2</v>
      </c>
      <c r="K1211" s="2" t="s">
        <v>1</v>
      </c>
      <c r="L1211">
        <v>1</v>
      </c>
      <c r="M1211">
        <v>5.5</v>
      </c>
      <c r="N1211" s="2" t="s">
        <v>411</v>
      </c>
      <c r="O1211" t="str">
        <f>D1211&amp;"-"&amp;E1211&amp;"-"&amp;F1211&amp;"-"&amp;G1211&amp;"-"&amp;H1211</f>
        <v>X-2-f-2-4.5</v>
      </c>
      <c r="P1211" t="str">
        <f>I1211&amp;"-"&amp;J1211&amp;"-"&amp;K1211&amp;"-"&amp;L1211&amp;"-"&amp;M1211</f>
        <v>X-2-f-1-5.5</v>
      </c>
      <c r="Q1211">
        <f>A1211+R1211</f>
        <v>2415.1617189999997</v>
      </c>
      <c r="R1211">
        <f>_xlfn.IFNA(VLOOKUP(P1211,PGOPHER!A$2:G$181,7,FALSE),_xlfn.IFNA(VLOOKUP(P1211,en!A$2:I$768,7,FALSE),-10000))</f>
        <v>1321.3811189999999</v>
      </c>
      <c r="S1211">
        <f>IF(O1211=O1210,Q1210+S1210,Q1211)</f>
        <v>7245.4826410000005</v>
      </c>
      <c r="T1211">
        <f>IF(O1211=O1210,T1210+1,1)</f>
        <v>3</v>
      </c>
      <c r="U1211">
        <f>IF(O1211=O1212,"",S1211/T1211)</f>
        <v>2415.1608803333334</v>
      </c>
      <c r="V1211" t="str">
        <f>IF(U1211="","",IF(ABS(Q1211-U1211)&gt;V$1,"error",""))</f>
        <v/>
      </c>
    </row>
    <row r="1212" spans="1:22" x14ac:dyDescent="0.55000000000000004">
      <c r="A1212">
        <v>1136.6017999999999</v>
      </c>
      <c r="B1212" s="1">
        <v>1E-3</v>
      </c>
      <c r="C1212" s="1">
        <v>1E-3</v>
      </c>
      <c r="D1212" s="2" t="s">
        <v>0</v>
      </c>
      <c r="E1212">
        <v>2</v>
      </c>
      <c r="F1212" s="2" t="s">
        <v>1</v>
      </c>
      <c r="G1212">
        <v>3</v>
      </c>
      <c r="H1212">
        <v>4.5</v>
      </c>
      <c r="I1212" s="2" t="s">
        <v>0</v>
      </c>
      <c r="J1212">
        <v>2</v>
      </c>
      <c r="K1212" s="2" t="s">
        <v>1</v>
      </c>
      <c r="L1212">
        <v>2</v>
      </c>
      <c r="M1212">
        <v>3.5</v>
      </c>
      <c r="N1212" s="2" t="s">
        <v>534</v>
      </c>
      <c r="O1212" t="str">
        <f>D1212&amp;"-"&amp;E1212&amp;"-"&amp;F1212&amp;"-"&amp;G1212&amp;"-"&amp;H1212</f>
        <v>X-2-f-3-4.5</v>
      </c>
      <c r="P1212" t="str">
        <f>I1212&amp;"-"&amp;J1212&amp;"-"&amp;K1212&amp;"-"&amp;L1212&amp;"-"&amp;M1212</f>
        <v>X-2-f-2-3.5</v>
      </c>
      <c r="Q1212">
        <f>A1212+R1212</f>
        <v>3517.1603689999997</v>
      </c>
      <c r="R1212">
        <f>_xlfn.IFNA(VLOOKUP(P1212,PGOPHER!A$2:G$181,7,FALSE),_xlfn.IFNA(VLOOKUP(P1212,en!A$2:I$768,7,FALSE),-10000))</f>
        <v>2380.5585689999998</v>
      </c>
      <c r="S1212">
        <f>IF(O1212=O1211,Q1211+S1211,Q1212)</f>
        <v>3517.1603689999997</v>
      </c>
      <c r="T1212">
        <f>IF(O1212=O1211,T1211+1,1)</f>
        <v>1</v>
      </c>
      <c r="U1212" t="str">
        <f>IF(O1212=O1213,"",S1212/T1212)</f>
        <v/>
      </c>
      <c r="V1212" t="str">
        <f>IF(U1212="","",IF(ABS(Q1212-U1212)&gt;V$1,"error",""))</f>
        <v/>
      </c>
    </row>
    <row r="1213" spans="1:22" x14ac:dyDescent="0.55000000000000004">
      <c r="A1213">
        <v>1060.5035</v>
      </c>
      <c r="B1213" s="1">
        <v>8.0499999999999999E-3</v>
      </c>
      <c r="C1213" s="1">
        <v>8.0499999999999999E-3</v>
      </c>
      <c r="D1213" s="2" t="s">
        <v>0</v>
      </c>
      <c r="E1213">
        <v>2</v>
      </c>
      <c r="F1213" s="2" t="s">
        <v>1</v>
      </c>
      <c r="G1213">
        <v>3</v>
      </c>
      <c r="H1213">
        <v>4.5</v>
      </c>
      <c r="I1213" s="2" t="s">
        <v>0</v>
      </c>
      <c r="J1213">
        <v>2</v>
      </c>
      <c r="K1213" s="2" t="s">
        <v>1</v>
      </c>
      <c r="L1213">
        <v>2</v>
      </c>
      <c r="M1213">
        <v>5.5</v>
      </c>
      <c r="N1213" s="2" t="s">
        <v>533</v>
      </c>
      <c r="O1213" t="str">
        <f>D1213&amp;"-"&amp;E1213&amp;"-"&amp;F1213&amp;"-"&amp;G1213&amp;"-"&amp;H1213</f>
        <v>X-2-f-3-4.5</v>
      </c>
      <c r="P1213" t="str">
        <f>I1213&amp;"-"&amp;J1213&amp;"-"&amp;K1213&amp;"-"&amp;L1213&amp;"-"&amp;M1213</f>
        <v>X-2-f-2-5.5</v>
      </c>
      <c r="Q1213">
        <f>A1213+R1213</f>
        <v>3517.1627319999998</v>
      </c>
      <c r="R1213">
        <f>_xlfn.IFNA(VLOOKUP(P1213,PGOPHER!A$2:G$181,7,FALSE),_xlfn.IFNA(VLOOKUP(P1213,en!A$2:I$768,7,FALSE),-10000))</f>
        <v>2456.659232</v>
      </c>
      <c r="S1213">
        <f>IF(O1213=O1212,Q1212+S1212,Q1213)</f>
        <v>7034.3207379999994</v>
      </c>
      <c r="T1213">
        <f>IF(O1213=O1212,T1212+1,1)</f>
        <v>2</v>
      </c>
      <c r="U1213" t="str">
        <f>IF(O1213=O1214,"",S1213/T1213)</f>
        <v/>
      </c>
      <c r="V1213" t="str">
        <f>IF(U1213="","",IF(ABS(Q1213-U1213)&gt;V$1,"error",""))</f>
        <v/>
      </c>
    </row>
    <row r="1214" spans="1:22" x14ac:dyDescent="0.55000000000000004">
      <c r="A1214">
        <v>1060.5003999999999</v>
      </c>
      <c r="B1214" s="1">
        <v>2.0600000000000002E-3</v>
      </c>
      <c r="C1214" s="1">
        <v>2.0600000000000002E-3</v>
      </c>
      <c r="D1214" s="2" t="s">
        <v>0</v>
      </c>
      <c r="E1214">
        <v>2</v>
      </c>
      <c r="F1214" s="2" t="s">
        <v>1</v>
      </c>
      <c r="G1214">
        <v>3</v>
      </c>
      <c r="H1214">
        <v>4.5</v>
      </c>
      <c r="I1214" s="2" t="s">
        <v>0</v>
      </c>
      <c r="J1214">
        <v>2</v>
      </c>
      <c r="K1214" s="2" t="s">
        <v>1</v>
      </c>
      <c r="L1214">
        <v>2</v>
      </c>
      <c r="M1214">
        <v>5.5</v>
      </c>
      <c r="N1214" s="2" t="s">
        <v>536</v>
      </c>
      <c r="O1214" t="str">
        <f>D1214&amp;"-"&amp;E1214&amp;"-"&amp;F1214&amp;"-"&amp;G1214&amp;"-"&amp;H1214</f>
        <v>X-2-f-3-4.5</v>
      </c>
      <c r="P1214" t="str">
        <f>I1214&amp;"-"&amp;J1214&amp;"-"&amp;K1214&amp;"-"&amp;L1214&amp;"-"&amp;M1214</f>
        <v>X-2-f-2-5.5</v>
      </c>
      <c r="Q1214">
        <f>A1214+R1214</f>
        <v>3517.1596319999999</v>
      </c>
      <c r="R1214">
        <f>_xlfn.IFNA(VLOOKUP(P1214,PGOPHER!A$2:G$181,7,FALSE),_xlfn.IFNA(VLOOKUP(P1214,en!A$2:I$768,7,FALSE),-10000))</f>
        <v>2456.659232</v>
      </c>
      <c r="S1214">
        <f>IF(O1214=O1213,Q1213+S1213,Q1214)</f>
        <v>10551.483469999999</v>
      </c>
      <c r="T1214">
        <f>IF(O1214=O1213,T1213+1,1)</f>
        <v>3</v>
      </c>
      <c r="U1214">
        <f>IF(O1214=O1215,"",S1214/T1214)</f>
        <v>3517.1611566666666</v>
      </c>
      <c r="V1214" t="str">
        <f>IF(U1214="","",IF(ABS(Q1214-U1214)&gt;V$1,"error",""))</f>
        <v/>
      </c>
    </row>
    <row r="1215" spans="1:22" x14ac:dyDescent="0.55000000000000004">
      <c r="A1215">
        <v>1101.3140000000001</v>
      </c>
      <c r="B1215" s="1">
        <v>1E-3</v>
      </c>
      <c r="C1215" s="1">
        <v>1E-3</v>
      </c>
      <c r="D1215" s="2" t="s">
        <v>0</v>
      </c>
      <c r="E1215">
        <v>2</v>
      </c>
      <c r="F1215" s="2" t="s">
        <v>1</v>
      </c>
      <c r="G1215">
        <v>4</v>
      </c>
      <c r="H1215">
        <v>4.5</v>
      </c>
      <c r="I1215" s="2" t="s">
        <v>0</v>
      </c>
      <c r="J1215">
        <v>2</v>
      </c>
      <c r="K1215" s="2" t="s">
        <v>1</v>
      </c>
      <c r="L1215">
        <v>3</v>
      </c>
      <c r="M1215">
        <v>3.5</v>
      </c>
      <c r="N1215" s="2" t="s">
        <v>622</v>
      </c>
      <c r="O1215" t="str">
        <f>D1215&amp;"-"&amp;E1215&amp;"-"&amp;F1215&amp;"-"&amp;G1215&amp;"-"&amp;H1215</f>
        <v>X-2-f-4-4.5</v>
      </c>
      <c r="P1215" t="str">
        <f>I1215&amp;"-"&amp;J1215&amp;"-"&amp;K1215&amp;"-"&amp;L1215&amp;"-"&amp;M1215</f>
        <v>X-2-f-3-3.5</v>
      </c>
      <c r="Q1215">
        <f>A1215+R1215</f>
        <v>4584.6829900000002</v>
      </c>
      <c r="R1215">
        <f>_xlfn.IFNA(VLOOKUP(P1215,PGOPHER!A$2:G$181,7,FALSE),_xlfn.IFNA(VLOOKUP(P1215,en!A$2:I$768,7,FALSE),-10000))</f>
        <v>3483.3689899999999</v>
      </c>
      <c r="S1215">
        <f>IF(O1215=O1214,Q1214+S1214,Q1215)</f>
        <v>4584.6829900000002</v>
      </c>
      <c r="T1215">
        <f>IF(O1215=O1214,T1214+1,1)</f>
        <v>1</v>
      </c>
      <c r="U1215">
        <f>IF(O1215=O1216,"",S1215/T1215)</f>
        <v>4584.6829900000002</v>
      </c>
      <c r="V1215" t="str">
        <f>IF(U1215="","",IF(ABS(Q1215-U1215)&gt;V$1,"error",""))</f>
        <v/>
      </c>
    </row>
    <row r="1216" spans="1:22" x14ac:dyDescent="0.55000000000000004">
      <c r="A1216">
        <v>1126.83825</v>
      </c>
      <c r="B1216" s="1">
        <v>1E-3</v>
      </c>
      <c r="C1216" s="1">
        <v>1E-3</v>
      </c>
      <c r="D1216" s="2" t="s">
        <v>0</v>
      </c>
      <c r="E1216">
        <v>1</v>
      </c>
      <c r="F1216" s="2" t="s">
        <v>2</v>
      </c>
      <c r="G1216">
        <v>1</v>
      </c>
      <c r="H1216">
        <v>5.5</v>
      </c>
      <c r="I1216" s="2" t="s">
        <v>0</v>
      </c>
      <c r="J1216">
        <v>1</v>
      </c>
      <c r="K1216" s="2" t="s">
        <v>2</v>
      </c>
      <c r="L1216">
        <v>0</v>
      </c>
      <c r="M1216">
        <v>6.5</v>
      </c>
      <c r="N1216" s="2" t="s">
        <v>88</v>
      </c>
      <c r="O1216" t="str">
        <f>D1216&amp;"-"&amp;E1216&amp;"-"&amp;F1216&amp;"-"&amp;G1216&amp;"-"&amp;H1216</f>
        <v>X-1-e-1-5.5</v>
      </c>
      <c r="P1216" t="str">
        <f>I1216&amp;"-"&amp;J1216&amp;"-"&amp;K1216&amp;"-"&amp;L1216&amp;"-"&amp;M1216</f>
        <v>X-1-e-0-6.5</v>
      </c>
      <c r="Q1216">
        <f>A1216+R1216</f>
        <v>1279.573877</v>
      </c>
      <c r="R1216">
        <f>_xlfn.IFNA(VLOOKUP(P1216,PGOPHER!A$2:G$181,7,FALSE),_xlfn.IFNA(VLOOKUP(P1216,en!A$2:I$768,7,FALSE),-10000))</f>
        <v>152.73562699999999</v>
      </c>
      <c r="S1216">
        <f>IF(O1216=O1215,Q1215+S1215,Q1216)</f>
        <v>1279.573877</v>
      </c>
      <c r="T1216">
        <f>IF(O1216=O1215,T1215+1,1)</f>
        <v>1</v>
      </c>
      <c r="U1216" t="str">
        <f>IF(O1216=O1217,"",S1216/T1216)</f>
        <v/>
      </c>
      <c r="V1216" t="str">
        <f>IF(U1216="","",IF(ABS(Q1216-U1216)&gt;V$1,"error",""))</f>
        <v/>
      </c>
    </row>
    <row r="1217" spans="1:22" x14ac:dyDescent="0.55000000000000004">
      <c r="A1217">
        <v>1206.71336</v>
      </c>
      <c r="B1217" s="1">
        <v>1E-3</v>
      </c>
      <c r="C1217" s="1">
        <v>1E-3</v>
      </c>
      <c r="D1217" s="2" t="s">
        <v>0</v>
      </c>
      <c r="E1217">
        <v>1</v>
      </c>
      <c r="F1217" s="2" t="s">
        <v>2</v>
      </c>
      <c r="G1217">
        <v>1</v>
      </c>
      <c r="H1217">
        <v>5.5</v>
      </c>
      <c r="I1217" s="2" t="s">
        <v>0</v>
      </c>
      <c r="J1217">
        <v>1</v>
      </c>
      <c r="K1217" s="2" t="s">
        <v>2</v>
      </c>
      <c r="L1217">
        <v>0</v>
      </c>
      <c r="M1217">
        <v>4.5</v>
      </c>
      <c r="N1217" s="2" t="s">
        <v>92</v>
      </c>
      <c r="O1217" t="str">
        <f>D1217&amp;"-"&amp;E1217&amp;"-"&amp;F1217&amp;"-"&amp;G1217&amp;"-"&amp;H1217</f>
        <v>X-1-e-1-5.5</v>
      </c>
      <c r="P1217" t="str">
        <f>I1217&amp;"-"&amp;J1217&amp;"-"&amp;K1217&amp;"-"&amp;L1217&amp;"-"&amp;M1217</f>
        <v>X-1-e-0-4.5</v>
      </c>
      <c r="Q1217">
        <f>A1217+R1217</f>
        <v>1279.5748639999999</v>
      </c>
      <c r="R1217">
        <f>_xlfn.IFNA(VLOOKUP(P1217,PGOPHER!A$2:G$181,7,FALSE),_xlfn.IFNA(VLOOKUP(P1217,en!A$2:I$768,7,FALSE),-10000))</f>
        <v>72.861503999999996</v>
      </c>
      <c r="S1217">
        <f>IF(O1217=O1216,Q1216+S1216,Q1217)</f>
        <v>2559.1477540000001</v>
      </c>
      <c r="T1217">
        <f>IF(O1217=O1216,T1216+1,1)</f>
        <v>2</v>
      </c>
      <c r="U1217" t="str">
        <f>IF(O1217=O1218,"",S1217/T1217)</f>
        <v/>
      </c>
      <c r="V1217" t="str">
        <f>IF(U1217="","",IF(ABS(Q1217-U1217)&gt;V$1,"error",""))</f>
        <v/>
      </c>
    </row>
    <row r="1218" spans="1:22" x14ac:dyDescent="0.55000000000000004">
      <c r="A1218">
        <v>1206.7126000000001</v>
      </c>
      <c r="B1218" s="1">
        <v>1E-3</v>
      </c>
      <c r="C1218" s="1">
        <v>1E-3</v>
      </c>
      <c r="D1218" s="2" t="s">
        <v>0</v>
      </c>
      <c r="E1218">
        <v>1</v>
      </c>
      <c r="F1218" s="2" t="s">
        <v>2</v>
      </c>
      <c r="G1218">
        <v>1</v>
      </c>
      <c r="H1218">
        <v>5.5</v>
      </c>
      <c r="I1218" s="2" t="s">
        <v>0</v>
      </c>
      <c r="J1218">
        <v>1</v>
      </c>
      <c r="K1218" s="2" t="s">
        <v>2</v>
      </c>
      <c r="L1218">
        <v>0</v>
      </c>
      <c r="M1218">
        <v>4.5</v>
      </c>
      <c r="N1218" s="2" t="s">
        <v>89</v>
      </c>
      <c r="O1218" t="str">
        <f>D1218&amp;"-"&amp;E1218&amp;"-"&amp;F1218&amp;"-"&amp;G1218&amp;"-"&amp;H1218</f>
        <v>X-1-e-1-5.5</v>
      </c>
      <c r="P1218" t="str">
        <f>I1218&amp;"-"&amp;J1218&amp;"-"&amp;K1218&amp;"-"&amp;L1218&amp;"-"&amp;M1218</f>
        <v>X-1-e-0-4.5</v>
      </c>
      <c r="Q1218">
        <f>A1218+R1218</f>
        <v>1279.574104</v>
      </c>
      <c r="R1218">
        <f>_xlfn.IFNA(VLOOKUP(P1218,PGOPHER!A$2:G$181,7,FALSE),_xlfn.IFNA(VLOOKUP(P1218,en!A$2:I$768,7,FALSE),-10000))</f>
        <v>72.861503999999996</v>
      </c>
      <c r="S1218">
        <f>IF(O1218=O1217,Q1217+S1217,Q1218)</f>
        <v>3838.7226179999998</v>
      </c>
      <c r="T1218">
        <f>IF(O1218=O1217,T1217+1,1)</f>
        <v>3</v>
      </c>
      <c r="U1218" t="str">
        <f>IF(O1218=O1219,"",S1218/T1218)</f>
        <v/>
      </c>
      <c r="V1218" t="str">
        <f>IF(U1218="","",IF(ABS(Q1218-U1218)&gt;V$1,"error",""))</f>
        <v/>
      </c>
    </row>
    <row r="1219" spans="1:22" x14ac:dyDescent="0.55000000000000004">
      <c r="A1219">
        <v>1126.8398</v>
      </c>
      <c r="B1219" s="1">
        <v>5.4099999999999999E-3</v>
      </c>
      <c r="C1219" s="1">
        <v>5.4099999999999999E-3</v>
      </c>
      <c r="D1219" s="2" t="s">
        <v>0</v>
      </c>
      <c r="E1219">
        <v>1</v>
      </c>
      <c r="F1219" s="2" t="s">
        <v>2</v>
      </c>
      <c r="G1219">
        <v>1</v>
      </c>
      <c r="H1219">
        <v>5.5</v>
      </c>
      <c r="I1219" s="2" t="s">
        <v>0</v>
      </c>
      <c r="J1219">
        <v>1</v>
      </c>
      <c r="K1219" s="2" t="s">
        <v>2</v>
      </c>
      <c r="L1219">
        <v>0</v>
      </c>
      <c r="M1219">
        <v>6.5</v>
      </c>
      <c r="N1219" s="2" t="s">
        <v>86</v>
      </c>
      <c r="O1219" t="str">
        <f>D1219&amp;"-"&amp;E1219&amp;"-"&amp;F1219&amp;"-"&amp;G1219&amp;"-"&amp;H1219</f>
        <v>X-1-e-1-5.5</v>
      </c>
      <c r="P1219" t="str">
        <f>I1219&amp;"-"&amp;J1219&amp;"-"&amp;K1219&amp;"-"&amp;L1219&amp;"-"&amp;M1219</f>
        <v>X-1-e-0-6.5</v>
      </c>
      <c r="Q1219">
        <f>A1219+R1219</f>
        <v>1279.575427</v>
      </c>
      <c r="R1219">
        <f>_xlfn.IFNA(VLOOKUP(P1219,PGOPHER!A$2:G$181,7,FALSE),_xlfn.IFNA(VLOOKUP(P1219,en!A$2:I$768,7,FALSE),-10000))</f>
        <v>152.73562699999999</v>
      </c>
      <c r="S1219">
        <f>IF(O1219=O1218,Q1218+S1218,Q1219)</f>
        <v>5118.296722</v>
      </c>
      <c r="T1219">
        <f>IF(O1219=O1218,T1218+1,1)</f>
        <v>4</v>
      </c>
      <c r="U1219" t="str">
        <f>IF(O1219=O1220,"",S1219/T1219)</f>
        <v/>
      </c>
      <c r="V1219" t="str">
        <f>IF(U1219="","",IF(ABS(Q1219-U1219)&gt;V$1,"error",""))</f>
        <v/>
      </c>
    </row>
    <row r="1220" spans="1:22" x14ac:dyDescent="0.55000000000000004">
      <c r="A1220">
        <v>1126.83977</v>
      </c>
      <c r="B1220" s="1">
        <v>1E-3</v>
      </c>
      <c r="C1220" s="1">
        <v>1E-3</v>
      </c>
      <c r="D1220" s="2" t="s">
        <v>0</v>
      </c>
      <c r="E1220">
        <v>1</v>
      </c>
      <c r="F1220" s="2" t="s">
        <v>2</v>
      </c>
      <c r="G1220">
        <v>1</v>
      </c>
      <c r="H1220">
        <v>5.5</v>
      </c>
      <c r="I1220" s="2" t="s">
        <v>0</v>
      </c>
      <c r="J1220">
        <v>1</v>
      </c>
      <c r="K1220" s="2" t="s">
        <v>2</v>
      </c>
      <c r="L1220">
        <v>0</v>
      </c>
      <c r="M1220">
        <v>6.5</v>
      </c>
      <c r="N1220" s="2" t="s">
        <v>93</v>
      </c>
      <c r="O1220" t="str">
        <f>D1220&amp;"-"&amp;E1220&amp;"-"&amp;F1220&amp;"-"&amp;G1220&amp;"-"&amp;H1220</f>
        <v>X-1-e-1-5.5</v>
      </c>
      <c r="P1220" t="str">
        <f>I1220&amp;"-"&amp;J1220&amp;"-"&amp;K1220&amp;"-"&amp;L1220&amp;"-"&amp;M1220</f>
        <v>X-1-e-0-6.5</v>
      </c>
      <c r="Q1220">
        <f>A1220+R1220</f>
        <v>1279.5753970000001</v>
      </c>
      <c r="R1220">
        <f>_xlfn.IFNA(VLOOKUP(P1220,PGOPHER!A$2:G$181,7,FALSE),_xlfn.IFNA(VLOOKUP(P1220,en!A$2:I$768,7,FALSE),-10000))</f>
        <v>152.73562699999999</v>
      </c>
      <c r="S1220">
        <f>IF(O1220=O1219,Q1219+S1219,Q1220)</f>
        <v>6397.8721489999998</v>
      </c>
      <c r="T1220">
        <f>IF(O1220=O1219,T1219+1,1)</f>
        <v>5</v>
      </c>
      <c r="U1220" t="str">
        <f>IF(O1220=O1221,"",S1220/T1220)</f>
        <v/>
      </c>
      <c r="V1220" t="str">
        <f>IF(U1220="","",IF(ABS(Q1220-U1220)&gt;V$1,"error",""))</f>
        <v/>
      </c>
    </row>
    <row r="1221" spans="1:22" x14ac:dyDescent="0.55000000000000004">
      <c r="A1221">
        <v>1206.7134000000001</v>
      </c>
      <c r="B1221" s="1">
        <v>5.5999999999999999E-3</v>
      </c>
      <c r="C1221" s="1">
        <v>5.5999999999999999E-3</v>
      </c>
      <c r="D1221" s="2" t="s">
        <v>0</v>
      </c>
      <c r="E1221">
        <v>1</v>
      </c>
      <c r="F1221" s="2" t="s">
        <v>2</v>
      </c>
      <c r="G1221">
        <v>1</v>
      </c>
      <c r="H1221">
        <v>5.5</v>
      </c>
      <c r="I1221" s="2" t="s">
        <v>0</v>
      </c>
      <c r="J1221">
        <v>1</v>
      </c>
      <c r="K1221" s="2" t="s">
        <v>2</v>
      </c>
      <c r="L1221">
        <v>0</v>
      </c>
      <c r="M1221">
        <v>4.5</v>
      </c>
      <c r="N1221" s="2" t="s">
        <v>82</v>
      </c>
      <c r="O1221" t="str">
        <f>D1221&amp;"-"&amp;E1221&amp;"-"&amp;F1221&amp;"-"&amp;G1221&amp;"-"&amp;H1221</f>
        <v>X-1-e-1-5.5</v>
      </c>
      <c r="P1221" t="str">
        <f>I1221&amp;"-"&amp;J1221&amp;"-"&amp;K1221&amp;"-"&amp;L1221&amp;"-"&amp;M1221</f>
        <v>X-1-e-0-4.5</v>
      </c>
      <c r="Q1221">
        <f>A1221+R1221</f>
        <v>1279.5749040000001</v>
      </c>
      <c r="R1221">
        <f>_xlfn.IFNA(VLOOKUP(P1221,PGOPHER!A$2:G$181,7,FALSE),_xlfn.IFNA(VLOOKUP(P1221,en!A$2:I$768,7,FALSE),-10000))</f>
        <v>72.861503999999996</v>
      </c>
      <c r="S1221">
        <f>IF(O1221=O1220,Q1220+S1220,Q1221)</f>
        <v>7677.4475459999994</v>
      </c>
      <c r="T1221">
        <f>IF(O1221=O1220,T1220+1,1)</f>
        <v>6</v>
      </c>
      <c r="U1221">
        <f>IF(O1221=O1222,"",S1221/T1221)</f>
        <v>1279.5745909999998</v>
      </c>
      <c r="V1221" t="str">
        <f>IF(U1221="","",IF(ABS(Q1221-U1221)&gt;V$1,"error",""))</f>
        <v/>
      </c>
    </row>
    <row r="1222" spans="1:22" x14ac:dyDescent="0.55000000000000004">
      <c r="A1222">
        <v>1171.7443000000001</v>
      </c>
      <c r="B1222" s="1">
        <v>1.2500000000000001E-2</v>
      </c>
      <c r="C1222" s="1">
        <v>1.2500000000000001E-2</v>
      </c>
      <c r="D1222" s="2" t="s">
        <v>0</v>
      </c>
      <c r="E1222">
        <v>1</v>
      </c>
      <c r="F1222" s="2" t="s">
        <v>2</v>
      </c>
      <c r="G1222">
        <v>2</v>
      </c>
      <c r="H1222">
        <v>5.5</v>
      </c>
      <c r="I1222" s="2" t="s">
        <v>0</v>
      </c>
      <c r="J1222">
        <v>1</v>
      </c>
      <c r="K1222" s="2" t="s">
        <v>2</v>
      </c>
      <c r="L1222">
        <v>1</v>
      </c>
      <c r="M1222">
        <v>4.5</v>
      </c>
      <c r="N1222" s="2" t="s">
        <v>413</v>
      </c>
      <c r="O1222" t="str">
        <f>D1222&amp;"-"&amp;E1222&amp;"-"&amp;F1222&amp;"-"&amp;G1222&amp;"-"&amp;H1222</f>
        <v>X-1-e-2-5.5</v>
      </c>
      <c r="P1222" t="str">
        <f>I1222&amp;"-"&amp;J1222&amp;"-"&amp;K1222&amp;"-"&amp;L1222&amp;"-"&amp;M1222</f>
        <v>X-1-e-1-4.5</v>
      </c>
      <c r="Q1222">
        <f>A1222+R1222</f>
        <v>2415.7958349999999</v>
      </c>
      <c r="R1222">
        <f>_xlfn.IFNA(VLOOKUP(P1222,PGOPHER!A$2:G$181,7,FALSE),_xlfn.IFNA(VLOOKUP(P1222,en!A$2:I$768,7,FALSE),-10000))</f>
        <v>1244.0515350000001</v>
      </c>
      <c r="S1222">
        <f>IF(O1222=O1221,Q1221+S1221,Q1222)</f>
        <v>2415.7958349999999</v>
      </c>
      <c r="T1222">
        <f>IF(O1222=O1221,T1221+1,1)</f>
        <v>1</v>
      </c>
      <c r="U1222" t="str">
        <f>IF(O1222=O1223,"",S1222/T1222)</f>
        <v/>
      </c>
      <c r="V1222" t="str">
        <f>IF(U1222="","",IF(ABS(Q1222-U1222)&gt;V$1,"error",""))</f>
        <v/>
      </c>
    </row>
    <row r="1223" spans="1:22" x14ac:dyDescent="0.55000000000000004">
      <c r="A1223">
        <v>1171.7442000000001</v>
      </c>
      <c r="B1223" s="1">
        <v>1.24E-2</v>
      </c>
      <c r="C1223" s="1">
        <v>1.24E-2</v>
      </c>
      <c r="D1223" s="2" t="s">
        <v>0</v>
      </c>
      <c r="E1223">
        <v>1</v>
      </c>
      <c r="F1223" s="2" t="s">
        <v>2</v>
      </c>
      <c r="G1223">
        <v>2</v>
      </c>
      <c r="H1223">
        <v>5.5</v>
      </c>
      <c r="I1223" s="2" t="s">
        <v>0</v>
      </c>
      <c r="J1223">
        <v>1</v>
      </c>
      <c r="K1223" s="2" t="s">
        <v>2</v>
      </c>
      <c r="L1223">
        <v>1</v>
      </c>
      <c r="M1223">
        <v>4.5</v>
      </c>
      <c r="N1223" s="2" t="s">
        <v>412</v>
      </c>
      <c r="O1223" t="str">
        <f>D1223&amp;"-"&amp;E1223&amp;"-"&amp;F1223&amp;"-"&amp;G1223&amp;"-"&amp;H1223</f>
        <v>X-1-e-2-5.5</v>
      </c>
      <c r="P1223" t="str">
        <f>I1223&amp;"-"&amp;J1223&amp;"-"&amp;K1223&amp;"-"&amp;L1223&amp;"-"&amp;M1223</f>
        <v>X-1-e-1-4.5</v>
      </c>
      <c r="Q1223">
        <f>A1223+R1223</f>
        <v>2415.7957350000001</v>
      </c>
      <c r="R1223">
        <f>_xlfn.IFNA(VLOOKUP(P1223,PGOPHER!A$2:G$181,7,FALSE),_xlfn.IFNA(VLOOKUP(P1223,en!A$2:I$768,7,FALSE),-10000))</f>
        <v>1244.0515350000001</v>
      </c>
      <c r="S1223">
        <f>IF(O1223=O1222,Q1222+S1222,Q1223)</f>
        <v>4831.5916699999998</v>
      </c>
      <c r="T1223">
        <f>IF(O1223=O1222,T1222+1,1)</f>
        <v>2</v>
      </c>
      <c r="U1223" t="str">
        <f>IF(O1223=O1224,"",S1223/T1223)</f>
        <v/>
      </c>
      <c r="V1223" t="str">
        <f>IF(U1223="","",IF(ABS(Q1223-U1223)&gt;V$1,"error",""))</f>
        <v/>
      </c>
    </row>
    <row r="1224" spans="1:22" x14ac:dyDescent="0.55000000000000004">
      <c r="A1224">
        <v>1093.6393</v>
      </c>
      <c r="B1224" s="1">
        <v>1.54E-2</v>
      </c>
      <c r="C1224" s="1">
        <v>1.54E-2</v>
      </c>
      <c r="D1224" s="2" t="s">
        <v>0</v>
      </c>
      <c r="E1224">
        <v>1</v>
      </c>
      <c r="F1224" s="2" t="s">
        <v>2</v>
      </c>
      <c r="G1224">
        <v>2</v>
      </c>
      <c r="H1224">
        <v>5.5</v>
      </c>
      <c r="I1224" s="2" t="s">
        <v>0</v>
      </c>
      <c r="J1224">
        <v>1</v>
      </c>
      <c r="K1224" s="2" t="s">
        <v>2</v>
      </c>
      <c r="L1224">
        <v>1</v>
      </c>
      <c r="M1224">
        <v>6.5</v>
      </c>
      <c r="N1224" s="2" t="s">
        <v>415</v>
      </c>
      <c r="O1224" t="str">
        <f>D1224&amp;"-"&amp;E1224&amp;"-"&amp;F1224&amp;"-"&amp;G1224&amp;"-"&amp;H1224</f>
        <v>X-1-e-2-5.5</v>
      </c>
      <c r="P1224" t="str">
        <f>I1224&amp;"-"&amp;J1224&amp;"-"&amp;K1224&amp;"-"&amp;L1224&amp;"-"&amp;M1224</f>
        <v>X-1-e-1-6.5</v>
      </c>
      <c r="Q1224">
        <f>A1224+R1224</f>
        <v>2415.7951170000001</v>
      </c>
      <c r="R1224">
        <f>_xlfn.IFNA(VLOOKUP(P1224,PGOPHER!A$2:G$181,7,FALSE),_xlfn.IFNA(VLOOKUP(P1224,en!A$2:I$768,7,FALSE),-10000))</f>
        <v>1322.1558170000001</v>
      </c>
      <c r="S1224">
        <f>IF(O1224=O1223,Q1223+S1223,Q1224)</f>
        <v>7247.3874049999995</v>
      </c>
      <c r="T1224">
        <f>IF(O1224=O1223,T1223+1,1)</f>
        <v>3</v>
      </c>
      <c r="U1224">
        <f>IF(O1224=O1225,"",S1224/T1224)</f>
        <v>2415.7958016666666</v>
      </c>
      <c r="V1224" t="str">
        <f>IF(U1224="","",IF(ABS(Q1224-U1224)&gt;V$1,"error",""))</f>
        <v/>
      </c>
    </row>
    <row r="1225" spans="1:22" x14ac:dyDescent="0.55000000000000004">
      <c r="A1225">
        <v>1060.3634</v>
      </c>
      <c r="B1225" s="1">
        <v>5.6600000000000001E-3</v>
      </c>
      <c r="C1225" s="1">
        <v>5.6600000000000001E-3</v>
      </c>
      <c r="D1225" s="2" t="s">
        <v>0</v>
      </c>
      <c r="E1225">
        <v>1</v>
      </c>
      <c r="F1225" s="2" t="s">
        <v>2</v>
      </c>
      <c r="G1225">
        <v>3</v>
      </c>
      <c r="H1225">
        <v>5.5</v>
      </c>
      <c r="I1225" s="2" t="s">
        <v>0</v>
      </c>
      <c r="J1225">
        <v>1</v>
      </c>
      <c r="K1225" s="2" t="s">
        <v>2</v>
      </c>
      <c r="L1225">
        <v>2</v>
      </c>
      <c r="M1225">
        <v>6.5</v>
      </c>
      <c r="N1225" s="2" t="s">
        <v>538</v>
      </c>
      <c r="O1225" t="str">
        <f>D1225&amp;"-"&amp;E1225&amp;"-"&amp;F1225&amp;"-"&amp;G1225&amp;"-"&amp;H1225</f>
        <v>X-1-e-3-5.5</v>
      </c>
      <c r="P1225" t="str">
        <f>I1225&amp;"-"&amp;J1225&amp;"-"&amp;K1225&amp;"-"&amp;L1225&amp;"-"&amp;M1225</f>
        <v>X-1-e-2-6.5</v>
      </c>
      <c r="Q1225">
        <f>A1225+R1225</f>
        <v>3517.7708919999995</v>
      </c>
      <c r="R1225">
        <f>_xlfn.IFNA(VLOOKUP(P1225,PGOPHER!A$2:G$181,7,FALSE),_xlfn.IFNA(VLOOKUP(P1225,en!A$2:I$768,7,FALSE),-10000))</f>
        <v>2457.4074919999998</v>
      </c>
      <c r="S1225">
        <f>IF(O1225=O1224,Q1224+S1224,Q1225)</f>
        <v>3517.7708919999995</v>
      </c>
      <c r="T1225">
        <f>IF(O1225=O1224,T1224+1,1)</f>
        <v>1</v>
      </c>
      <c r="U1225" t="str">
        <f>IF(O1225=O1226,"",S1225/T1225)</f>
        <v/>
      </c>
      <c r="V1225" t="str">
        <f>IF(U1225="","",IF(ABS(Q1225-U1225)&gt;V$1,"error",""))</f>
        <v/>
      </c>
    </row>
    <row r="1226" spans="1:22" x14ac:dyDescent="0.55000000000000004">
      <c r="A1226">
        <v>1136.6946</v>
      </c>
      <c r="B1226" s="1">
        <v>6.9300000000000004E-3</v>
      </c>
      <c r="C1226" s="1">
        <v>6.9300000000000004E-3</v>
      </c>
      <c r="D1226" s="2" t="s">
        <v>0</v>
      </c>
      <c r="E1226">
        <v>1</v>
      </c>
      <c r="F1226" s="2" t="s">
        <v>2</v>
      </c>
      <c r="G1226">
        <v>3</v>
      </c>
      <c r="H1226">
        <v>5.5</v>
      </c>
      <c r="I1226" s="2" t="s">
        <v>0</v>
      </c>
      <c r="J1226">
        <v>1</v>
      </c>
      <c r="K1226" s="2" t="s">
        <v>2</v>
      </c>
      <c r="L1226">
        <v>2</v>
      </c>
      <c r="M1226">
        <v>4.5</v>
      </c>
      <c r="N1226" s="2" t="s">
        <v>537</v>
      </c>
      <c r="O1226" t="str">
        <f>D1226&amp;"-"&amp;E1226&amp;"-"&amp;F1226&amp;"-"&amp;G1226&amp;"-"&amp;H1226</f>
        <v>X-1-e-3-5.5</v>
      </c>
      <c r="P1226" t="str">
        <f>I1226&amp;"-"&amp;J1226&amp;"-"&amp;K1226&amp;"-"&amp;L1226&amp;"-"&amp;M1226</f>
        <v>X-1-e-2-4.5</v>
      </c>
      <c r="Q1226">
        <f>A1226+R1226</f>
        <v>3517.7732400000004</v>
      </c>
      <c r="R1226">
        <f>_xlfn.IFNA(VLOOKUP(P1226,PGOPHER!A$2:G$181,7,FALSE),_xlfn.IFNA(VLOOKUP(P1226,en!A$2:I$768,7,FALSE),-10000))</f>
        <v>2381.0786400000002</v>
      </c>
      <c r="S1226">
        <f>IF(O1226=O1225,Q1225+S1225,Q1226)</f>
        <v>7035.5417839999991</v>
      </c>
      <c r="T1226">
        <f>IF(O1226=O1225,T1225+1,1)</f>
        <v>2</v>
      </c>
      <c r="U1226" t="str">
        <f>IF(O1226=O1227,"",S1226/T1226)</f>
        <v/>
      </c>
      <c r="V1226" t="str">
        <f>IF(U1226="","",IF(ABS(Q1226-U1226)&gt;V$1,"error",""))</f>
        <v/>
      </c>
    </row>
    <row r="1227" spans="1:22" x14ac:dyDescent="0.55000000000000004">
      <c r="A1227">
        <v>1060.3661</v>
      </c>
      <c r="B1227" s="1">
        <v>1E-3</v>
      </c>
      <c r="C1227" s="1">
        <v>1E-3</v>
      </c>
      <c r="D1227" s="2" t="s">
        <v>0</v>
      </c>
      <c r="E1227">
        <v>1</v>
      </c>
      <c r="F1227" s="2" t="s">
        <v>2</v>
      </c>
      <c r="G1227">
        <v>3</v>
      </c>
      <c r="H1227">
        <v>5.5</v>
      </c>
      <c r="I1227" s="2" t="s">
        <v>0</v>
      </c>
      <c r="J1227">
        <v>1</v>
      </c>
      <c r="K1227" s="2" t="s">
        <v>2</v>
      </c>
      <c r="L1227">
        <v>2</v>
      </c>
      <c r="M1227">
        <v>6.5</v>
      </c>
      <c r="N1227" s="2" t="s">
        <v>542</v>
      </c>
      <c r="O1227" t="str">
        <f>D1227&amp;"-"&amp;E1227&amp;"-"&amp;F1227&amp;"-"&amp;G1227&amp;"-"&amp;H1227</f>
        <v>X-1-e-3-5.5</v>
      </c>
      <c r="P1227" t="str">
        <f>I1227&amp;"-"&amp;J1227&amp;"-"&amp;K1227&amp;"-"&amp;L1227&amp;"-"&amp;M1227</f>
        <v>X-1-e-2-6.5</v>
      </c>
      <c r="Q1227">
        <f>A1227+R1227</f>
        <v>3517.7735919999996</v>
      </c>
      <c r="R1227">
        <f>_xlfn.IFNA(VLOOKUP(P1227,PGOPHER!A$2:G$181,7,FALSE),_xlfn.IFNA(VLOOKUP(P1227,en!A$2:I$768,7,FALSE),-10000))</f>
        <v>2457.4074919999998</v>
      </c>
      <c r="S1227">
        <f>IF(O1227=O1226,Q1226+S1226,Q1227)</f>
        <v>10553.315024</v>
      </c>
      <c r="T1227">
        <f>IF(O1227=O1226,T1226+1,1)</f>
        <v>3</v>
      </c>
      <c r="U1227">
        <f>IF(O1227=O1228,"",S1227/T1227)</f>
        <v>3517.7716746666665</v>
      </c>
      <c r="V1227" t="str">
        <f>IF(U1227="","",IF(ABS(Q1227-U1227)&gt;V$1,"error",""))</f>
        <v/>
      </c>
    </row>
    <row r="1228" spans="1:22" x14ac:dyDescent="0.55000000000000004">
      <c r="A1228">
        <v>1026.8625999999999</v>
      </c>
      <c r="B1228" s="1">
        <v>1.0699999999999999E-2</v>
      </c>
      <c r="C1228" s="1">
        <v>1.0699999999999999E-2</v>
      </c>
      <c r="D1228" s="2" t="s">
        <v>0</v>
      </c>
      <c r="E1228">
        <v>1</v>
      </c>
      <c r="F1228" s="2" t="s">
        <v>2</v>
      </c>
      <c r="G1228">
        <v>4</v>
      </c>
      <c r="H1228">
        <v>5.5</v>
      </c>
      <c r="I1228" s="2" t="s">
        <v>0</v>
      </c>
      <c r="J1228">
        <v>1</v>
      </c>
      <c r="K1228" s="2" t="s">
        <v>2</v>
      </c>
      <c r="L1228">
        <v>3</v>
      </c>
      <c r="M1228">
        <v>6.5</v>
      </c>
      <c r="N1228" s="2" t="s">
        <v>625</v>
      </c>
      <c r="O1228" t="str">
        <f>D1228&amp;"-"&amp;E1228&amp;"-"&amp;F1228&amp;"-"&amp;G1228&amp;"-"&amp;H1228</f>
        <v>X-1-e-4-5.5</v>
      </c>
      <c r="P1228" t="str">
        <f>I1228&amp;"-"&amp;J1228&amp;"-"&amp;K1228&amp;"-"&amp;L1228&amp;"-"&amp;M1228</f>
        <v>X-1-e-3-6.5</v>
      </c>
      <c r="Q1228">
        <f>A1228+R1228</f>
        <v>4585.274461</v>
      </c>
      <c r="R1228">
        <f>_xlfn.IFNA(VLOOKUP(P1228,PGOPHER!A$2:G$181,7,FALSE),_xlfn.IFNA(VLOOKUP(P1228,en!A$2:I$768,7,FALSE),-10000))</f>
        <v>3558.411861</v>
      </c>
      <c r="S1228">
        <f>IF(O1228=O1227,Q1227+S1227,Q1228)</f>
        <v>4585.274461</v>
      </c>
      <c r="T1228">
        <f>IF(O1228=O1227,T1227+1,1)</f>
        <v>1</v>
      </c>
      <c r="U1228" t="str">
        <f>IF(O1228=O1229,"",S1228/T1228)</f>
        <v/>
      </c>
      <c r="V1228" t="str">
        <f>IF(U1228="","",IF(ABS(Q1228-U1228)&gt;V$1,"error",""))</f>
        <v/>
      </c>
    </row>
    <row r="1229" spans="1:22" x14ac:dyDescent="0.55000000000000004">
      <c r="A1229">
        <v>1101.4050999999999</v>
      </c>
      <c r="B1229" s="1">
        <v>1.0699999999999999E-2</v>
      </c>
      <c r="C1229" s="1">
        <v>1.0699999999999999E-2</v>
      </c>
      <c r="D1229" s="2" t="s">
        <v>0</v>
      </c>
      <c r="E1229">
        <v>1</v>
      </c>
      <c r="F1229" s="2" t="s">
        <v>2</v>
      </c>
      <c r="G1229">
        <v>4</v>
      </c>
      <c r="H1229">
        <v>5.5</v>
      </c>
      <c r="I1229" s="2" t="s">
        <v>0</v>
      </c>
      <c r="J1229">
        <v>1</v>
      </c>
      <c r="K1229" s="2" t="s">
        <v>2</v>
      </c>
      <c r="L1229">
        <v>3</v>
      </c>
      <c r="M1229">
        <v>4.5</v>
      </c>
      <c r="N1229" s="2" t="s">
        <v>624</v>
      </c>
      <c r="O1229" t="str">
        <f>D1229&amp;"-"&amp;E1229&amp;"-"&amp;F1229&amp;"-"&amp;G1229&amp;"-"&amp;H1229</f>
        <v>X-1-e-4-5.5</v>
      </c>
      <c r="P1229" t="str">
        <f>I1229&amp;"-"&amp;J1229&amp;"-"&amp;K1229&amp;"-"&amp;L1229&amp;"-"&amp;M1229</f>
        <v>X-1-e-3-4.5</v>
      </c>
      <c r="Q1229">
        <f>A1229+R1229</f>
        <v>4585.2762729999995</v>
      </c>
      <c r="R1229">
        <f>_xlfn.IFNA(VLOOKUP(P1229,PGOPHER!A$2:G$181,7,FALSE),_xlfn.IFNA(VLOOKUP(P1229,en!A$2:I$768,7,FALSE),-10000))</f>
        <v>3483.871173</v>
      </c>
      <c r="S1229">
        <f>IF(O1229=O1228,Q1228+S1228,Q1229)</f>
        <v>9170.5489219999999</v>
      </c>
      <c r="T1229">
        <f>IF(O1229=O1228,T1228+1,1)</f>
        <v>2</v>
      </c>
      <c r="U1229">
        <f>IF(O1229=O1230,"",S1229/T1229)</f>
        <v>4585.274461</v>
      </c>
      <c r="V1229" t="str">
        <f>IF(U1229="","",IF(ABS(Q1229-U1229)&gt;V$1,"error",""))</f>
        <v/>
      </c>
    </row>
    <row r="1230" spans="1:22" x14ac:dyDescent="0.55000000000000004">
      <c r="A1230">
        <v>1118.82592</v>
      </c>
      <c r="B1230" s="1">
        <v>1E-3</v>
      </c>
      <c r="C1230" s="1">
        <v>1E-3</v>
      </c>
      <c r="D1230" s="2" t="s">
        <v>0</v>
      </c>
      <c r="E1230">
        <v>2</v>
      </c>
      <c r="F1230" s="2" t="s">
        <v>1</v>
      </c>
      <c r="G1230">
        <v>1</v>
      </c>
      <c r="H1230">
        <v>5.5</v>
      </c>
      <c r="I1230" s="2" t="s">
        <v>0</v>
      </c>
      <c r="J1230">
        <v>2</v>
      </c>
      <c r="K1230" s="2" t="s">
        <v>1</v>
      </c>
      <c r="L1230">
        <v>0</v>
      </c>
      <c r="M1230">
        <v>6.5</v>
      </c>
      <c r="N1230" s="2" t="s">
        <v>95</v>
      </c>
      <c r="O1230" t="str">
        <f>D1230&amp;"-"&amp;E1230&amp;"-"&amp;F1230&amp;"-"&amp;G1230&amp;"-"&amp;H1230</f>
        <v>X-2-f-1-5.5</v>
      </c>
      <c r="P1230" t="str">
        <f>I1230&amp;"-"&amp;J1230&amp;"-"&amp;K1230&amp;"-"&amp;L1230&amp;"-"&amp;M1230</f>
        <v>X-2-f-0-6.5</v>
      </c>
      <c r="Q1230">
        <f>A1230+R1230</f>
        <v>1321.381531</v>
      </c>
      <c r="R1230">
        <f>_xlfn.IFNA(VLOOKUP(P1230,PGOPHER!A$2:G$181,7,FALSE),_xlfn.IFNA(VLOOKUP(P1230,en!A$2:I$768,7,FALSE),-10000))</f>
        <v>202.555611</v>
      </c>
      <c r="S1230">
        <f>IF(O1230=O1229,Q1229+S1229,Q1230)</f>
        <v>1321.381531</v>
      </c>
      <c r="T1230">
        <f>IF(O1230=O1229,T1229+1,1)</f>
        <v>1</v>
      </c>
      <c r="U1230" t="str">
        <f>IF(O1230=O1231,"",S1230/T1230)</f>
        <v/>
      </c>
      <c r="V1230" t="str">
        <f>IF(U1230="","",IF(ABS(Q1230-U1230)&gt;V$1,"error",""))</f>
        <v/>
      </c>
    </row>
    <row r="1231" spans="1:22" x14ac:dyDescent="0.55000000000000004">
      <c r="A1231">
        <v>1212.8697999999999</v>
      </c>
      <c r="B1231" s="1">
        <v>1E-3</v>
      </c>
      <c r="C1231" s="1">
        <v>1E-3</v>
      </c>
      <c r="D1231" s="2" t="s">
        <v>0</v>
      </c>
      <c r="E1231">
        <v>2</v>
      </c>
      <c r="F1231" s="2" t="s">
        <v>1</v>
      </c>
      <c r="G1231">
        <v>1</v>
      </c>
      <c r="H1231">
        <v>5.5</v>
      </c>
      <c r="I1231" s="2" t="s">
        <v>0</v>
      </c>
      <c r="J1231">
        <v>2</v>
      </c>
      <c r="K1231" s="2" t="s">
        <v>1</v>
      </c>
      <c r="L1231">
        <v>0</v>
      </c>
      <c r="M1231">
        <v>4.5</v>
      </c>
      <c r="N1231" s="2" t="s">
        <v>96</v>
      </c>
      <c r="O1231" t="str">
        <f>D1231&amp;"-"&amp;E1231&amp;"-"&amp;F1231&amp;"-"&amp;G1231&amp;"-"&amp;H1231</f>
        <v>X-2-f-1-5.5</v>
      </c>
      <c r="P1231" t="str">
        <f>I1231&amp;"-"&amp;J1231&amp;"-"&amp;K1231&amp;"-"&amp;L1231&amp;"-"&amp;M1231</f>
        <v>X-2-f-0-4.5</v>
      </c>
      <c r="Q1231">
        <f>A1231+R1231</f>
        <v>1321.3808819999999</v>
      </c>
      <c r="R1231">
        <f>_xlfn.IFNA(VLOOKUP(P1231,PGOPHER!A$2:G$181,7,FALSE),_xlfn.IFNA(VLOOKUP(P1231,en!A$2:I$768,7,FALSE),-10000))</f>
        <v>108.511082</v>
      </c>
      <c r="S1231">
        <f>IF(O1231=O1230,Q1230+S1230,Q1231)</f>
        <v>2642.763062</v>
      </c>
      <c r="T1231">
        <f>IF(O1231=O1230,T1230+1,1)</f>
        <v>2</v>
      </c>
      <c r="U1231" t="str">
        <f>IF(O1231=O1232,"",S1231/T1231)</f>
        <v/>
      </c>
      <c r="V1231" t="str">
        <f>IF(U1231="","",IF(ABS(Q1231-U1231)&gt;V$1,"error",""))</f>
        <v/>
      </c>
    </row>
    <row r="1232" spans="1:22" x14ac:dyDescent="0.55000000000000004">
      <c r="A1232">
        <v>1212.8703499999999</v>
      </c>
      <c r="B1232" s="1">
        <v>1E-3</v>
      </c>
      <c r="C1232" s="1">
        <v>1E-3</v>
      </c>
      <c r="D1232" s="2" t="s">
        <v>0</v>
      </c>
      <c r="E1232">
        <v>2</v>
      </c>
      <c r="F1232" s="2" t="s">
        <v>1</v>
      </c>
      <c r="G1232">
        <v>1</v>
      </c>
      <c r="H1232">
        <v>5.5</v>
      </c>
      <c r="I1232" s="2" t="s">
        <v>0</v>
      </c>
      <c r="J1232">
        <v>2</v>
      </c>
      <c r="K1232" s="2" t="s">
        <v>1</v>
      </c>
      <c r="L1232">
        <v>0</v>
      </c>
      <c r="M1232">
        <v>4.5</v>
      </c>
      <c r="N1232" s="2" t="s">
        <v>91</v>
      </c>
      <c r="O1232" t="str">
        <f>D1232&amp;"-"&amp;E1232&amp;"-"&amp;F1232&amp;"-"&amp;G1232&amp;"-"&amp;H1232</f>
        <v>X-2-f-1-5.5</v>
      </c>
      <c r="P1232" t="str">
        <f>I1232&amp;"-"&amp;J1232&amp;"-"&amp;K1232&amp;"-"&amp;L1232&amp;"-"&amp;M1232</f>
        <v>X-2-f-0-4.5</v>
      </c>
      <c r="Q1232">
        <f>A1232+R1232</f>
        <v>1321.3814319999999</v>
      </c>
      <c r="R1232">
        <f>_xlfn.IFNA(VLOOKUP(P1232,PGOPHER!A$2:G$181,7,FALSE),_xlfn.IFNA(VLOOKUP(P1232,en!A$2:I$768,7,FALSE),-10000))</f>
        <v>108.511082</v>
      </c>
      <c r="S1232">
        <f>IF(O1232=O1231,Q1231+S1231,Q1232)</f>
        <v>3964.1439439999999</v>
      </c>
      <c r="T1232">
        <f>IF(O1232=O1231,T1231+1,1)</f>
        <v>3</v>
      </c>
      <c r="U1232" t="str">
        <f>IF(O1232=O1233,"",S1232/T1232)</f>
        <v/>
      </c>
      <c r="V1232" t="str">
        <f>IF(U1232="","",IF(ABS(Q1232-U1232)&gt;V$1,"error",""))</f>
        <v/>
      </c>
    </row>
    <row r="1233" spans="1:22" x14ac:dyDescent="0.55000000000000004">
      <c r="A1233">
        <v>1118.8259</v>
      </c>
      <c r="B1233" s="1">
        <v>7.7999999999999996E-3</v>
      </c>
      <c r="C1233" s="1">
        <v>7.7999999999999996E-3</v>
      </c>
      <c r="D1233" s="2" t="s">
        <v>0</v>
      </c>
      <c r="E1233">
        <v>2</v>
      </c>
      <c r="F1233" s="2" t="s">
        <v>1</v>
      </c>
      <c r="G1233">
        <v>1</v>
      </c>
      <c r="H1233">
        <v>5.5</v>
      </c>
      <c r="I1233" s="2" t="s">
        <v>0</v>
      </c>
      <c r="J1233">
        <v>2</v>
      </c>
      <c r="K1233" s="2" t="s">
        <v>1</v>
      </c>
      <c r="L1233">
        <v>0</v>
      </c>
      <c r="M1233">
        <v>6.5</v>
      </c>
      <c r="N1233" s="2" t="s">
        <v>87</v>
      </c>
      <c r="O1233" t="str">
        <f>D1233&amp;"-"&amp;E1233&amp;"-"&amp;F1233&amp;"-"&amp;G1233&amp;"-"&amp;H1233</f>
        <v>X-2-f-1-5.5</v>
      </c>
      <c r="P1233" t="str">
        <f>I1233&amp;"-"&amp;J1233&amp;"-"&amp;K1233&amp;"-"&amp;L1233&amp;"-"&amp;M1233</f>
        <v>X-2-f-0-6.5</v>
      </c>
      <c r="Q1233">
        <f>A1233+R1233</f>
        <v>1321.381511</v>
      </c>
      <c r="R1233">
        <f>_xlfn.IFNA(VLOOKUP(P1233,PGOPHER!A$2:G$181,7,FALSE),_xlfn.IFNA(VLOOKUP(P1233,en!A$2:I$768,7,FALSE),-10000))</f>
        <v>202.555611</v>
      </c>
      <c r="S1233">
        <f>IF(O1233=O1232,Q1232+S1232,Q1233)</f>
        <v>5285.5253759999996</v>
      </c>
      <c r="T1233">
        <f>IF(O1233=O1232,T1232+1,1)</f>
        <v>4</v>
      </c>
      <c r="U1233" t="str">
        <f>IF(O1233=O1234,"",S1233/T1233)</f>
        <v/>
      </c>
      <c r="V1233" t="str">
        <f>IF(U1233="","",IF(ABS(Q1233-U1233)&gt;V$1,"error",""))</f>
        <v/>
      </c>
    </row>
    <row r="1234" spans="1:22" x14ac:dyDescent="0.55000000000000004">
      <c r="A1234">
        <v>1118.8257000000001</v>
      </c>
      <c r="B1234" s="1">
        <v>1E-3</v>
      </c>
      <c r="C1234" s="1">
        <v>1E-3</v>
      </c>
      <c r="D1234" s="2" t="s">
        <v>0</v>
      </c>
      <c r="E1234">
        <v>2</v>
      </c>
      <c r="F1234" s="2" t="s">
        <v>1</v>
      </c>
      <c r="G1234">
        <v>1</v>
      </c>
      <c r="H1234">
        <v>5.5</v>
      </c>
      <c r="I1234" s="2" t="s">
        <v>0</v>
      </c>
      <c r="J1234">
        <v>2</v>
      </c>
      <c r="K1234" s="2" t="s">
        <v>1</v>
      </c>
      <c r="L1234">
        <v>0</v>
      </c>
      <c r="M1234">
        <v>6.5</v>
      </c>
      <c r="N1234" s="2" t="s">
        <v>97</v>
      </c>
      <c r="O1234" t="str">
        <f>D1234&amp;"-"&amp;E1234&amp;"-"&amp;F1234&amp;"-"&amp;G1234&amp;"-"&amp;H1234</f>
        <v>X-2-f-1-5.5</v>
      </c>
      <c r="P1234" t="str">
        <f>I1234&amp;"-"&amp;J1234&amp;"-"&amp;K1234&amp;"-"&amp;L1234&amp;"-"&amp;M1234</f>
        <v>X-2-f-0-6.5</v>
      </c>
      <c r="Q1234">
        <f>A1234+R1234</f>
        <v>1321.3813110000001</v>
      </c>
      <c r="R1234">
        <f>_xlfn.IFNA(VLOOKUP(P1234,PGOPHER!A$2:G$181,7,FALSE),_xlfn.IFNA(VLOOKUP(P1234,en!A$2:I$768,7,FALSE),-10000))</f>
        <v>202.555611</v>
      </c>
      <c r="S1234">
        <f>IF(O1234=O1233,Q1233+S1233,Q1234)</f>
        <v>6606.9068869999992</v>
      </c>
      <c r="T1234">
        <f>IF(O1234=O1233,T1233+1,1)</f>
        <v>5</v>
      </c>
      <c r="U1234" t="str">
        <f>IF(O1234=O1235,"",S1234/T1234)</f>
        <v/>
      </c>
      <c r="V1234" t="str">
        <f>IF(U1234="","",IF(ABS(Q1234-U1234)&gt;V$1,"error",""))</f>
        <v/>
      </c>
    </row>
    <row r="1235" spans="1:22" x14ac:dyDescent="0.55000000000000004">
      <c r="A1235">
        <v>1118.8257000000001</v>
      </c>
      <c r="B1235" s="1">
        <v>7.5799999999999999E-3</v>
      </c>
      <c r="C1235" s="1">
        <v>7.5799999999999999E-3</v>
      </c>
      <c r="D1235" s="2" t="s">
        <v>0</v>
      </c>
      <c r="E1235">
        <v>2</v>
      </c>
      <c r="F1235" s="2" t="s">
        <v>1</v>
      </c>
      <c r="G1235">
        <v>1</v>
      </c>
      <c r="H1235">
        <v>5.5</v>
      </c>
      <c r="I1235" s="2" t="s">
        <v>0</v>
      </c>
      <c r="J1235">
        <v>2</v>
      </c>
      <c r="K1235" s="2" t="s">
        <v>1</v>
      </c>
      <c r="L1235">
        <v>0</v>
      </c>
      <c r="M1235">
        <v>6.5</v>
      </c>
      <c r="N1235" s="2" t="s">
        <v>85</v>
      </c>
      <c r="O1235" t="str">
        <f>D1235&amp;"-"&amp;E1235&amp;"-"&amp;F1235&amp;"-"&amp;G1235&amp;"-"&amp;H1235</f>
        <v>X-2-f-1-5.5</v>
      </c>
      <c r="P1235" t="str">
        <f>I1235&amp;"-"&amp;J1235&amp;"-"&amp;K1235&amp;"-"&amp;L1235&amp;"-"&amp;M1235</f>
        <v>X-2-f-0-6.5</v>
      </c>
      <c r="Q1235">
        <f>A1235+R1235</f>
        <v>1321.3813110000001</v>
      </c>
      <c r="R1235">
        <f>_xlfn.IFNA(VLOOKUP(P1235,PGOPHER!A$2:G$181,7,FALSE),_xlfn.IFNA(VLOOKUP(P1235,en!A$2:I$768,7,FALSE),-10000))</f>
        <v>202.555611</v>
      </c>
      <c r="S1235">
        <f>IF(O1235=O1234,Q1234+S1234,Q1235)</f>
        <v>7928.2881979999993</v>
      </c>
      <c r="T1235">
        <f>IF(O1235=O1234,T1234+1,1)</f>
        <v>6</v>
      </c>
      <c r="U1235" t="str">
        <f>IF(O1235=O1236,"",S1235/T1235)</f>
        <v/>
      </c>
      <c r="V1235" t="str">
        <f>IF(U1235="","",IF(ABS(Q1235-U1235)&gt;V$1,"error",""))</f>
        <v/>
      </c>
    </row>
    <row r="1236" spans="1:22" x14ac:dyDescent="0.55000000000000004">
      <c r="A1236">
        <v>1212.8701000000001</v>
      </c>
      <c r="B1236" s="1">
        <v>1.11E-2</v>
      </c>
      <c r="C1236" s="1">
        <v>1.11E-2</v>
      </c>
      <c r="D1236" s="2" t="s">
        <v>0</v>
      </c>
      <c r="E1236">
        <v>2</v>
      </c>
      <c r="F1236" s="2" t="s">
        <v>1</v>
      </c>
      <c r="G1236">
        <v>1</v>
      </c>
      <c r="H1236">
        <v>5.5</v>
      </c>
      <c r="I1236" s="2" t="s">
        <v>0</v>
      </c>
      <c r="J1236">
        <v>2</v>
      </c>
      <c r="K1236" s="2" t="s">
        <v>1</v>
      </c>
      <c r="L1236">
        <v>0</v>
      </c>
      <c r="M1236">
        <v>4.5</v>
      </c>
      <c r="N1236" s="2" t="s">
        <v>83</v>
      </c>
      <c r="O1236" t="str">
        <f>D1236&amp;"-"&amp;E1236&amp;"-"&amp;F1236&amp;"-"&amp;G1236&amp;"-"&amp;H1236</f>
        <v>X-2-f-1-5.5</v>
      </c>
      <c r="P1236" t="str">
        <f>I1236&amp;"-"&amp;J1236&amp;"-"&amp;K1236&amp;"-"&amp;L1236&amp;"-"&amp;M1236</f>
        <v>X-2-f-0-4.5</v>
      </c>
      <c r="Q1236">
        <f>A1236+R1236</f>
        <v>1321.3811820000001</v>
      </c>
      <c r="R1236">
        <f>_xlfn.IFNA(VLOOKUP(P1236,PGOPHER!A$2:G$181,7,FALSE),_xlfn.IFNA(VLOOKUP(P1236,en!A$2:I$768,7,FALSE),-10000))</f>
        <v>108.511082</v>
      </c>
      <c r="S1236">
        <f>IF(O1236=O1235,Q1235+S1235,Q1236)</f>
        <v>9249.6695089999994</v>
      </c>
      <c r="T1236">
        <f>IF(O1236=O1235,T1235+1,1)</f>
        <v>7</v>
      </c>
      <c r="U1236" t="str">
        <f>IF(O1236=O1237,"",S1236/T1236)</f>
        <v/>
      </c>
      <c r="V1236" t="str">
        <f>IF(U1236="","",IF(ABS(Q1236-U1236)&gt;V$1,"error",""))</f>
        <v/>
      </c>
    </row>
    <row r="1237" spans="1:22" x14ac:dyDescent="0.55000000000000004">
      <c r="A1237">
        <v>1212.8697999999999</v>
      </c>
      <c r="B1237" s="1">
        <v>1.14E-2</v>
      </c>
      <c r="C1237" s="1">
        <v>1.14E-2</v>
      </c>
      <c r="D1237" s="2" t="s">
        <v>0</v>
      </c>
      <c r="E1237">
        <v>2</v>
      </c>
      <c r="F1237" s="2" t="s">
        <v>1</v>
      </c>
      <c r="G1237">
        <v>1</v>
      </c>
      <c r="H1237">
        <v>5.5</v>
      </c>
      <c r="I1237" s="2" t="s">
        <v>0</v>
      </c>
      <c r="J1237">
        <v>2</v>
      </c>
      <c r="K1237" s="2" t="s">
        <v>1</v>
      </c>
      <c r="L1237">
        <v>0</v>
      </c>
      <c r="M1237">
        <v>4.5</v>
      </c>
      <c r="N1237" s="2" t="s">
        <v>84</v>
      </c>
      <c r="O1237" t="str">
        <f>D1237&amp;"-"&amp;E1237&amp;"-"&amp;F1237&amp;"-"&amp;G1237&amp;"-"&amp;H1237</f>
        <v>X-2-f-1-5.5</v>
      </c>
      <c r="P1237" t="str">
        <f>I1237&amp;"-"&amp;J1237&amp;"-"&amp;K1237&amp;"-"&amp;L1237&amp;"-"&amp;M1237</f>
        <v>X-2-f-0-4.5</v>
      </c>
      <c r="Q1237">
        <f>A1237+R1237</f>
        <v>1321.3808819999999</v>
      </c>
      <c r="R1237">
        <f>_xlfn.IFNA(VLOOKUP(P1237,PGOPHER!A$2:G$181,7,FALSE),_xlfn.IFNA(VLOOKUP(P1237,en!A$2:I$768,7,FALSE),-10000))</f>
        <v>108.511082</v>
      </c>
      <c r="S1237">
        <f>IF(O1237=O1236,Q1236+S1236,Q1237)</f>
        <v>10571.050691</v>
      </c>
      <c r="T1237">
        <f>IF(O1237=O1236,T1236+1,1)</f>
        <v>8</v>
      </c>
      <c r="U1237" t="str">
        <f>IF(O1237=O1238,"",S1237/T1237)</f>
        <v/>
      </c>
      <c r="V1237" t="str">
        <f>IF(U1237="","",IF(ABS(Q1237-U1237)&gt;V$1,"error",""))</f>
        <v/>
      </c>
    </row>
    <row r="1238" spans="1:22" x14ac:dyDescent="0.55000000000000004">
      <c r="A1238">
        <v>1118.8250499999999</v>
      </c>
      <c r="B1238" s="1">
        <v>1E-3</v>
      </c>
      <c r="C1238" s="1">
        <v>1E-3</v>
      </c>
      <c r="D1238" s="2" t="s">
        <v>0</v>
      </c>
      <c r="E1238">
        <v>2</v>
      </c>
      <c r="F1238" s="2" t="s">
        <v>1</v>
      </c>
      <c r="G1238">
        <v>1</v>
      </c>
      <c r="H1238">
        <v>5.5</v>
      </c>
      <c r="I1238" s="2" t="s">
        <v>0</v>
      </c>
      <c r="J1238">
        <v>2</v>
      </c>
      <c r="K1238" s="2" t="s">
        <v>1</v>
      </c>
      <c r="L1238">
        <v>0</v>
      </c>
      <c r="M1238">
        <v>6.5</v>
      </c>
      <c r="N1238" s="2" t="s">
        <v>90</v>
      </c>
      <c r="O1238" t="str">
        <f>D1238&amp;"-"&amp;E1238&amp;"-"&amp;F1238&amp;"-"&amp;G1238&amp;"-"&amp;H1238</f>
        <v>X-2-f-1-5.5</v>
      </c>
      <c r="P1238" t="str">
        <f>I1238&amp;"-"&amp;J1238&amp;"-"&amp;K1238&amp;"-"&amp;L1238&amp;"-"&amp;M1238</f>
        <v>X-2-f-0-6.5</v>
      </c>
      <c r="Q1238">
        <f>A1238+R1238</f>
        <v>1321.3806609999999</v>
      </c>
      <c r="R1238">
        <f>_xlfn.IFNA(VLOOKUP(P1238,PGOPHER!A$2:G$181,7,FALSE),_xlfn.IFNA(VLOOKUP(P1238,en!A$2:I$768,7,FALSE),-10000))</f>
        <v>202.555611</v>
      </c>
      <c r="S1238">
        <f>IF(O1238=O1237,Q1237+S1237,Q1238)</f>
        <v>11892.431573</v>
      </c>
      <c r="T1238">
        <f>IF(O1238=O1237,T1237+1,1)</f>
        <v>9</v>
      </c>
      <c r="U1238" t="str">
        <f>IF(O1238=O1239,"",S1238/T1238)</f>
        <v/>
      </c>
      <c r="V1238" t="str">
        <f>IF(U1238="","",IF(ABS(Q1238-U1238)&gt;V$1,"error",""))</f>
        <v/>
      </c>
    </row>
    <row r="1239" spans="1:22" x14ac:dyDescent="0.55000000000000004">
      <c r="A1239">
        <v>1212.87005</v>
      </c>
      <c r="B1239" s="1">
        <v>1E-3</v>
      </c>
      <c r="C1239" s="1">
        <v>1E-3</v>
      </c>
      <c r="D1239" s="2" t="s">
        <v>0</v>
      </c>
      <c r="E1239">
        <v>2</v>
      </c>
      <c r="F1239" s="2" t="s">
        <v>1</v>
      </c>
      <c r="G1239">
        <v>1</v>
      </c>
      <c r="H1239">
        <v>5.5</v>
      </c>
      <c r="I1239" s="2" t="s">
        <v>0</v>
      </c>
      <c r="J1239">
        <v>2</v>
      </c>
      <c r="K1239" s="2" t="s">
        <v>1</v>
      </c>
      <c r="L1239">
        <v>0</v>
      </c>
      <c r="M1239">
        <v>4.5</v>
      </c>
      <c r="N1239" s="2" t="s">
        <v>94</v>
      </c>
      <c r="O1239" t="str">
        <f>D1239&amp;"-"&amp;E1239&amp;"-"&amp;F1239&amp;"-"&amp;G1239&amp;"-"&amp;H1239</f>
        <v>X-2-f-1-5.5</v>
      </c>
      <c r="P1239" t="str">
        <f>I1239&amp;"-"&amp;J1239&amp;"-"&amp;K1239&amp;"-"&amp;L1239&amp;"-"&amp;M1239</f>
        <v>X-2-f-0-4.5</v>
      </c>
      <c r="Q1239">
        <f>A1239+R1239</f>
        <v>1321.381132</v>
      </c>
      <c r="R1239">
        <f>_xlfn.IFNA(VLOOKUP(P1239,PGOPHER!A$2:G$181,7,FALSE),_xlfn.IFNA(VLOOKUP(P1239,en!A$2:I$768,7,FALSE),-10000))</f>
        <v>108.511082</v>
      </c>
      <c r="S1239">
        <f>IF(O1239=O1238,Q1238+S1238,Q1239)</f>
        <v>13213.812233999999</v>
      </c>
      <c r="T1239">
        <f>IF(O1239=O1238,T1238+1,1)</f>
        <v>10</v>
      </c>
      <c r="U1239">
        <f>IF(O1239=O1240,"",S1239/T1239)</f>
        <v>1321.3812234</v>
      </c>
      <c r="V1239" t="str">
        <f>IF(U1239="","",IF(ABS(Q1239-U1239)&gt;V$1,"error",""))</f>
        <v/>
      </c>
    </row>
    <row r="1240" spans="1:22" x14ac:dyDescent="0.55000000000000004">
      <c r="A1240">
        <v>1085.7786000000001</v>
      </c>
      <c r="B1240" s="1">
        <v>1E-3</v>
      </c>
      <c r="C1240" s="1">
        <v>1E-3</v>
      </c>
      <c r="D1240" s="2" t="s">
        <v>0</v>
      </c>
      <c r="E1240">
        <v>2</v>
      </c>
      <c r="F1240" s="2" t="s">
        <v>1</v>
      </c>
      <c r="G1240">
        <v>2</v>
      </c>
      <c r="H1240">
        <v>5.5</v>
      </c>
      <c r="I1240" s="2" t="s">
        <v>0</v>
      </c>
      <c r="J1240">
        <v>2</v>
      </c>
      <c r="K1240" s="2" t="s">
        <v>1</v>
      </c>
      <c r="L1240">
        <v>1</v>
      </c>
      <c r="M1240">
        <v>6.5</v>
      </c>
      <c r="N1240" s="2" t="s">
        <v>416</v>
      </c>
      <c r="O1240" t="str">
        <f>D1240&amp;"-"&amp;E1240&amp;"-"&amp;F1240&amp;"-"&amp;G1240&amp;"-"&amp;H1240</f>
        <v>X-2-f-2-5.5</v>
      </c>
      <c r="P1240" t="str">
        <f>I1240&amp;"-"&amp;J1240&amp;"-"&amp;K1240&amp;"-"&amp;L1240&amp;"-"&amp;M1240</f>
        <v>X-2-f-1-6.5</v>
      </c>
      <c r="Q1240">
        <f>A1240+R1240</f>
        <v>2456.6591210000001</v>
      </c>
      <c r="R1240">
        <f>_xlfn.IFNA(VLOOKUP(P1240,PGOPHER!A$2:G$181,7,FALSE),_xlfn.IFNA(VLOOKUP(P1240,en!A$2:I$768,7,FALSE),-10000))</f>
        <v>1370.880521</v>
      </c>
      <c r="S1240">
        <f>IF(O1240=O1239,Q1239+S1239,Q1240)</f>
        <v>2456.6591210000001</v>
      </c>
      <c r="T1240">
        <f>IF(O1240=O1239,T1239+1,1)</f>
        <v>1</v>
      </c>
      <c r="U1240" t="str">
        <f>IF(O1240=O1241,"",S1240/T1240)</f>
        <v/>
      </c>
      <c r="V1240" t="str">
        <f>IF(U1240="","",IF(ABS(Q1240-U1240)&gt;V$1,"error",""))</f>
        <v/>
      </c>
    </row>
    <row r="1241" spans="1:22" x14ac:dyDescent="0.55000000000000004">
      <c r="A1241">
        <v>1177.7403999999999</v>
      </c>
      <c r="B1241" s="1">
        <v>7.43E-3</v>
      </c>
      <c r="C1241" s="1">
        <v>7.43E-3</v>
      </c>
      <c r="D1241" s="2" t="s">
        <v>0</v>
      </c>
      <c r="E1241">
        <v>2</v>
      </c>
      <c r="F1241" s="2" t="s">
        <v>1</v>
      </c>
      <c r="G1241">
        <v>2</v>
      </c>
      <c r="H1241">
        <v>5.5</v>
      </c>
      <c r="I1241" s="2" t="s">
        <v>0</v>
      </c>
      <c r="J1241">
        <v>2</v>
      </c>
      <c r="K1241" s="2" t="s">
        <v>1</v>
      </c>
      <c r="L1241">
        <v>1</v>
      </c>
      <c r="M1241">
        <v>4.5</v>
      </c>
      <c r="N1241" s="2" t="s">
        <v>414</v>
      </c>
      <c r="O1241" t="str">
        <f>D1241&amp;"-"&amp;E1241&amp;"-"&amp;F1241&amp;"-"&amp;G1241&amp;"-"&amp;H1241</f>
        <v>X-2-f-2-5.5</v>
      </c>
      <c r="P1241" t="str">
        <f>I1241&amp;"-"&amp;J1241&amp;"-"&amp;K1241&amp;"-"&amp;L1241&amp;"-"&amp;M1241</f>
        <v>X-2-f-1-4.5</v>
      </c>
      <c r="Q1241">
        <f>A1241+R1241</f>
        <v>2456.657866</v>
      </c>
      <c r="R1241">
        <f>_xlfn.IFNA(VLOOKUP(P1241,PGOPHER!A$2:G$181,7,FALSE),_xlfn.IFNA(VLOOKUP(P1241,en!A$2:I$768,7,FALSE),-10000))</f>
        <v>1278.9174660000001</v>
      </c>
      <c r="S1241">
        <f>IF(O1241=O1240,Q1240+S1240,Q1241)</f>
        <v>4913.3182420000003</v>
      </c>
      <c r="T1241">
        <f>IF(O1241=O1240,T1240+1,1)</f>
        <v>2</v>
      </c>
      <c r="U1241">
        <f>IF(O1241=O1242,"",S1241/T1241)</f>
        <v>2456.6591210000001</v>
      </c>
      <c r="V1241" t="str">
        <f>IF(U1241="","",IF(ABS(Q1241-U1241)&gt;V$1,"error",""))</f>
        <v/>
      </c>
    </row>
    <row r="1242" spans="1:22" x14ac:dyDescent="0.55000000000000004">
      <c r="A1242">
        <v>1052.6550999999999</v>
      </c>
      <c r="B1242" s="1">
        <v>1.1599999999999999E-2</v>
      </c>
      <c r="C1242" s="1">
        <v>1.1599999999999999E-2</v>
      </c>
      <c r="D1242" s="2" t="s">
        <v>0</v>
      </c>
      <c r="E1242">
        <v>2</v>
      </c>
      <c r="F1242" s="2" t="s">
        <v>1</v>
      </c>
      <c r="G1242">
        <v>3</v>
      </c>
      <c r="H1242">
        <v>5.5</v>
      </c>
      <c r="I1242" s="2" t="s">
        <v>0</v>
      </c>
      <c r="J1242">
        <v>2</v>
      </c>
      <c r="K1242" s="2" t="s">
        <v>1</v>
      </c>
      <c r="L1242">
        <v>2</v>
      </c>
      <c r="M1242">
        <v>6.5</v>
      </c>
      <c r="N1242" s="2" t="s">
        <v>539</v>
      </c>
      <c r="O1242" t="str">
        <f>D1242&amp;"-"&amp;E1242&amp;"-"&amp;F1242&amp;"-"&amp;G1242&amp;"-"&amp;H1242</f>
        <v>X-2-f-3-5.5</v>
      </c>
      <c r="P1242" t="str">
        <f>I1242&amp;"-"&amp;J1242&amp;"-"&amp;K1242&amp;"-"&amp;L1242&amp;"-"&amp;M1242</f>
        <v>X-2-f-2-6.5</v>
      </c>
      <c r="Q1242">
        <f>A1242+R1242</f>
        <v>3557.6887619999998</v>
      </c>
      <c r="R1242">
        <f>_xlfn.IFNA(VLOOKUP(P1242,PGOPHER!A$2:G$181,7,FALSE),_xlfn.IFNA(VLOOKUP(P1242,en!A$2:I$768,7,FALSE),-10000))</f>
        <v>2505.0336619999998</v>
      </c>
      <c r="S1242">
        <f>IF(O1242=O1241,Q1241+S1241,Q1242)</f>
        <v>3557.6887619999998</v>
      </c>
      <c r="T1242">
        <f>IF(O1242=O1241,T1241+1,1)</f>
        <v>1</v>
      </c>
      <c r="U1242" t="str">
        <f>IF(O1242=O1243,"",S1242/T1242)</f>
        <v/>
      </c>
      <c r="V1242" t="str">
        <f>IF(U1242="","",IF(ABS(Q1242-U1242)&gt;V$1,"error",""))</f>
        <v/>
      </c>
    </row>
    <row r="1243" spans="1:22" x14ac:dyDescent="0.55000000000000004">
      <c r="A1243">
        <v>1142.5266999999999</v>
      </c>
      <c r="B1243" s="1">
        <v>1.8499999999999999E-2</v>
      </c>
      <c r="C1243" s="1">
        <v>1.8499999999999999E-2</v>
      </c>
      <c r="D1243" s="2" t="s">
        <v>0</v>
      </c>
      <c r="E1243">
        <v>2</v>
      </c>
      <c r="F1243" s="2" t="s">
        <v>1</v>
      </c>
      <c r="G1243">
        <v>3</v>
      </c>
      <c r="H1243">
        <v>5.5</v>
      </c>
      <c r="I1243" s="2" t="s">
        <v>0</v>
      </c>
      <c r="J1243">
        <v>2</v>
      </c>
      <c r="K1243" s="2" t="s">
        <v>1</v>
      </c>
      <c r="L1243">
        <v>2</v>
      </c>
      <c r="M1243">
        <v>4.5</v>
      </c>
      <c r="N1243" s="2" t="s">
        <v>540</v>
      </c>
      <c r="O1243" t="str">
        <f>D1243&amp;"-"&amp;E1243&amp;"-"&amp;F1243&amp;"-"&amp;G1243&amp;"-"&amp;H1243</f>
        <v>X-2-f-3-5.5</v>
      </c>
      <c r="P1243" t="str">
        <f>I1243&amp;"-"&amp;J1243&amp;"-"&amp;K1243&amp;"-"&amp;L1243&amp;"-"&amp;M1243</f>
        <v>X-2-f-2-4.5</v>
      </c>
      <c r="Q1243">
        <f>A1243+R1243</f>
        <v>3557.6875620000001</v>
      </c>
      <c r="R1243">
        <f>_xlfn.IFNA(VLOOKUP(P1243,PGOPHER!A$2:G$181,7,FALSE),_xlfn.IFNA(VLOOKUP(P1243,en!A$2:I$768,7,FALSE),-10000))</f>
        <v>2415.1608620000002</v>
      </c>
      <c r="S1243">
        <f>IF(O1243=O1242,Q1242+S1242,Q1243)</f>
        <v>7115.3775239999995</v>
      </c>
      <c r="T1243">
        <f>IF(O1243=O1242,T1242+1,1)</f>
        <v>2</v>
      </c>
      <c r="U1243" t="str">
        <f>IF(O1243=O1244,"",S1243/T1243)</f>
        <v/>
      </c>
      <c r="V1243" t="str">
        <f>IF(U1243="","",IF(ABS(Q1243-U1243)&gt;V$1,"error",""))</f>
        <v/>
      </c>
    </row>
    <row r="1244" spans="1:22" x14ac:dyDescent="0.55000000000000004">
      <c r="A1244">
        <v>1142.5284999999999</v>
      </c>
      <c r="B1244" s="1">
        <v>1.6500000000000001E-2</v>
      </c>
      <c r="C1244" s="1">
        <v>1.6500000000000001E-2</v>
      </c>
      <c r="D1244" s="2" t="s">
        <v>0</v>
      </c>
      <c r="E1244">
        <v>2</v>
      </c>
      <c r="F1244" s="2" t="s">
        <v>1</v>
      </c>
      <c r="G1244">
        <v>3</v>
      </c>
      <c r="H1244">
        <v>5.5</v>
      </c>
      <c r="I1244" s="2" t="s">
        <v>0</v>
      </c>
      <c r="J1244">
        <v>2</v>
      </c>
      <c r="K1244" s="2" t="s">
        <v>1</v>
      </c>
      <c r="L1244">
        <v>2</v>
      </c>
      <c r="M1244">
        <v>4.5</v>
      </c>
      <c r="N1244" s="2" t="s">
        <v>541</v>
      </c>
      <c r="O1244" t="str">
        <f>D1244&amp;"-"&amp;E1244&amp;"-"&amp;F1244&amp;"-"&amp;G1244&amp;"-"&amp;H1244</f>
        <v>X-2-f-3-5.5</v>
      </c>
      <c r="P1244" t="str">
        <f>I1244&amp;"-"&amp;J1244&amp;"-"&amp;K1244&amp;"-"&amp;L1244&amp;"-"&amp;M1244</f>
        <v>X-2-f-2-4.5</v>
      </c>
      <c r="Q1244">
        <f>A1244+R1244</f>
        <v>3557.6893620000001</v>
      </c>
      <c r="R1244">
        <f>_xlfn.IFNA(VLOOKUP(P1244,PGOPHER!A$2:G$181,7,FALSE),_xlfn.IFNA(VLOOKUP(P1244,en!A$2:I$768,7,FALSE),-10000))</f>
        <v>2415.1608620000002</v>
      </c>
      <c r="S1244">
        <f>IF(O1244=O1243,Q1243+S1243,Q1244)</f>
        <v>10673.065085999999</v>
      </c>
      <c r="T1244">
        <f>IF(O1244=O1243,T1243+1,1)</f>
        <v>3</v>
      </c>
      <c r="U1244">
        <f>IF(O1244=O1245,"",S1244/T1244)</f>
        <v>3557.6883619999994</v>
      </c>
      <c r="V1244" t="str">
        <f>IF(U1244="","",IF(ABS(Q1244-U1244)&gt;V$1,"error",""))</f>
        <v/>
      </c>
    </row>
    <row r="1245" spans="1:22" x14ac:dyDescent="0.55000000000000004">
      <c r="A1245">
        <v>1019.2977</v>
      </c>
      <c r="B1245" s="1">
        <v>1E-3</v>
      </c>
      <c r="C1245" s="1">
        <v>1E-3</v>
      </c>
      <c r="D1245" s="2" t="s">
        <v>0</v>
      </c>
      <c r="E1245">
        <v>2</v>
      </c>
      <c r="F1245" s="2" t="s">
        <v>1</v>
      </c>
      <c r="G1245">
        <v>4</v>
      </c>
      <c r="H1245">
        <v>5.5</v>
      </c>
      <c r="I1245" s="2" t="s">
        <v>0</v>
      </c>
      <c r="J1245">
        <v>2</v>
      </c>
      <c r="K1245" s="2" t="s">
        <v>1</v>
      </c>
      <c r="L1245">
        <v>3</v>
      </c>
      <c r="M1245">
        <v>6.5</v>
      </c>
      <c r="N1245" s="2" t="s">
        <v>626</v>
      </c>
      <c r="O1245" t="str">
        <f>D1245&amp;"-"&amp;E1245&amp;"-"&amp;F1245&amp;"-"&amp;G1245&amp;"-"&amp;H1245</f>
        <v>X-2-f-4-5.5</v>
      </c>
      <c r="P1245" t="str">
        <f>I1245&amp;"-"&amp;J1245&amp;"-"&amp;K1245&amp;"-"&amp;L1245&amp;"-"&amp;M1245</f>
        <v>X-2-f-3-6.5</v>
      </c>
      <c r="Q1245">
        <f>A1245+R1245</f>
        <v>4624.2272849999999</v>
      </c>
      <c r="R1245">
        <f>_xlfn.IFNA(VLOOKUP(P1245,PGOPHER!A$2:G$181,7,FALSE),_xlfn.IFNA(VLOOKUP(P1245,en!A$2:I$768,7,FALSE),-10000))</f>
        <v>3604.9295849999999</v>
      </c>
      <c r="S1245">
        <f>IF(O1245=O1244,Q1244+S1244,Q1245)</f>
        <v>4624.2272849999999</v>
      </c>
      <c r="T1245">
        <f>IF(O1245=O1244,T1244+1,1)</f>
        <v>1</v>
      </c>
      <c r="U1245">
        <f>IF(O1245=O1246,"",S1245/T1245)</f>
        <v>4624.2272849999999</v>
      </c>
      <c r="V1245" t="str">
        <f>IF(U1245="","",IF(ABS(Q1245-U1245)&gt;V$1,"error",""))</f>
        <v/>
      </c>
    </row>
    <row r="1246" spans="1:22" x14ac:dyDescent="0.55000000000000004">
      <c r="A1246">
        <v>1212.9657199999999</v>
      </c>
      <c r="B1246" s="1">
        <v>1E-3</v>
      </c>
      <c r="C1246" s="1">
        <v>1E-3</v>
      </c>
      <c r="D1246" s="2" t="s">
        <v>0</v>
      </c>
      <c r="E1246">
        <v>1</v>
      </c>
      <c r="F1246" s="2" t="s">
        <v>2</v>
      </c>
      <c r="G1246">
        <v>1</v>
      </c>
      <c r="H1246">
        <v>6.5</v>
      </c>
      <c r="I1246" s="2" t="s">
        <v>0</v>
      </c>
      <c r="J1246">
        <v>1</v>
      </c>
      <c r="K1246" s="2" t="s">
        <v>2</v>
      </c>
      <c r="L1246">
        <v>0</v>
      </c>
      <c r="M1246">
        <v>5.5</v>
      </c>
      <c r="N1246" s="2" t="s">
        <v>110</v>
      </c>
      <c r="O1246" t="str">
        <f>D1246&amp;"-"&amp;E1246&amp;"-"&amp;F1246&amp;"-"&amp;G1246&amp;"-"&amp;H1246</f>
        <v>X-1-e-1-6.5</v>
      </c>
      <c r="P1246" t="str">
        <f>I1246&amp;"-"&amp;J1246&amp;"-"&amp;K1246&amp;"-"&amp;L1246&amp;"-"&amp;M1246</f>
        <v>X-1-e-0-5.5</v>
      </c>
      <c r="Q1246">
        <f>A1246+R1246</f>
        <v>1322.1558949999999</v>
      </c>
      <c r="R1246">
        <f>_xlfn.IFNA(VLOOKUP(P1246,PGOPHER!A$2:G$181,7,FALSE),_xlfn.IFNA(VLOOKUP(P1246,en!A$2:I$768,7,FALSE),-10000))</f>
        <v>109.190175</v>
      </c>
      <c r="S1246">
        <f>IF(O1246=O1245,Q1245+S1245,Q1246)</f>
        <v>1322.1558949999999</v>
      </c>
      <c r="T1246">
        <f>IF(O1246=O1245,T1245+1,1)</f>
        <v>1</v>
      </c>
      <c r="U1246" t="str">
        <f>IF(O1246=O1247,"",S1246/T1246)</f>
        <v/>
      </c>
      <c r="V1246" t="str">
        <f>IF(U1246="","",IF(ABS(Q1246-U1246)&gt;V$1,"error",""))</f>
        <v/>
      </c>
    </row>
    <row r="1247" spans="1:22" x14ac:dyDescent="0.55000000000000004">
      <c r="A1247">
        <v>1212.9656</v>
      </c>
      <c r="B1247" s="1">
        <v>1E-3</v>
      </c>
      <c r="C1247" s="1">
        <v>1E-3</v>
      </c>
      <c r="D1247" s="2" t="s">
        <v>0</v>
      </c>
      <c r="E1247">
        <v>1</v>
      </c>
      <c r="F1247" s="2" t="s">
        <v>2</v>
      </c>
      <c r="G1247">
        <v>1</v>
      </c>
      <c r="H1247">
        <v>6.5</v>
      </c>
      <c r="I1247" s="2" t="s">
        <v>0</v>
      </c>
      <c r="J1247">
        <v>1</v>
      </c>
      <c r="K1247" s="2" t="s">
        <v>2</v>
      </c>
      <c r="L1247">
        <v>0</v>
      </c>
      <c r="M1247">
        <v>5.5</v>
      </c>
      <c r="N1247" s="2" t="s">
        <v>114</v>
      </c>
      <c r="O1247" t="str">
        <f>D1247&amp;"-"&amp;E1247&amp;"-"&amp;F1247&amp;"-"&amp;G1247&amp;"-"&amp;H1247</f>
        <v>X-1-e-1-6.5</v>
      </c>
      <c r="P1247" t="str">
        <f>I1247&amp;"-"&amp;J1247&amp;"-"&amp;K1247&amp;"-"&amp;L1247&amp;"-"&amp;M1247</f>
        <v>X-1-e-0-5.5</v>
      </c>
      <c r="Q1247">
        <f>A1247+R1247</f>
        <v>1322.1557749999999</v>
      </c>
      <c r="R1247">
        <f>_xlfn.IFNA(VLOOKUP(P1247,PGOPHER!A$2:G$181,7,FALSE),_xlfn.IFNA(VLOOKUP(P1247,en!A$2:I$768,7,FALSE),-10000))</f>
        <v>109.190175</v>
      </c>
      <c r="S1247">
        <f>IF(O1247=O1246,Q1246+S1246,Q1247)</f>
        <v>2644.3117899999997</v>
      </c>
      <c r="T1247">
        <f>IF(O1247=O1246,T1246+1,1)</f>
        <v>2</v>
      </c>
      <c r="U1247" t="str">
        <f>IF(O1247=O1248,"",S1247/T1247)</f>
        <v/>
      </c>
      <c r="V1247" t="str">
        <f>IF(U1247="","",IF(ABS(Q1247-U1247)&gt;V$1,"error",""))</f>
        <v/>
      </c>
    </row>
    <row r="1248" spans="1:22" x14ac:dyDescent="0.55000000000000004">
      <c r="A1248">
        <v>1212.96381</v>
      </c>
      <c r="B1248" s="1">
        <v>2.2889999999999998E-3</v>
      </c>
      <c r="C1248" s="1">
        <v>2.2889999999999998E-3</v>
      </c>
      <c r="D1248" s="2" t="s">
        <v>0</v>
      </c>
      <c r="E1248">
        <v>1</v>
      </c>
      <c r="F1248" s="2" t="s">
        <v>2</v>
      </c>
      <c r="G1248">
        <v>1</v>
      </c>
      <c r="H1248">
        <v>6.5</v>
      </c>
      <c r="I1248" s="2" t="s">
        <v>0</v>
      </c>
      <c r="J1248">
        <v>1</v>
      </c>
      <c r="K1248" s="2" t="s">
        <v>2</v>
      </c>
      <c r="L1248">
        <v>0</v>
      </c>
      <c r="M1248">
        <v>5.5</v>
      </c>
      <c r="N1248" s="2" t="s">
        <v>107</v>
      </c>
      <c r="O1248" t="str">
        <f>D1248&amp;"-"&amp;E1248&amp;"-"&amp;F1248&amp;"-"&amp;G1248&amp;"-"&amp;H1248</f>
        <v>X-1-e-1-6.5</v>
      </c>
      <c r="P1248" t="str">
        <f>I1248&amp;"-"&amp;J1248&amp;"-"&amp;K1248&amp;"-"&amp;L1248&amp;"-"&amp;M1248</f>
        <v>X-1-e-0-5.5</v>
      </c>
      <c r="Q1248">
        <f>A1248+R1248</f>
        <v>1322.1539849999999</v>
      </c>
      <c r="R1248">
        <f>_xlfn.IFNA(VLOOKUP(P1248,PGOPHER!A$2:G$181,7,FALSE),_xlfn.IFNA(VLOOKUP(P1248,en!A$2:I$768,7,FALSE),-10000))</f>
        <v>109.190175</v>
      </c>
      <c r="S1248">
        <f>IF(O1248=O1247,Q1247+S1247,Q1248)</f>
        <v>3966.4675649999999</v>
      </c>
      <c r="T1248">
        <f>IF(O1248=O1247,T1247+1,1)</f>
        <v>3</v>
      </c>
      <c r="U1248" t="str">
        <f>IF(O1248=O1249,"",S1248/T1248)</f>
        <v/>
      </c>
      <c r="V1248" t="str">
        <f>IF(U1248="","",IF(ABS(Q1248-U1248)&gt;V$1,"error",""))</f>
        <v/>
      </c>
    </row>
    <row r="1249" spans="1:22" x14ac:dyDescent="0.55000000000000004">
      <c r="A1249">
        <v>1118.6767</v>
      </c>
      <c r="B1249" s="1">
        <v>6.7600000000000004E-3</v>
      </c>
      <c r="C1249" s="1">
        <v>6.7600000000000004E-3</v>
      </c>
      <c r="D1249" s="2" t="s">
        <v>0</v>
      </c>
      <c r="E1249">
        <v>1</v>
      </c>
      <c r="F1249" s="2" t="s">
        <v>2</v>
      </c>
      <c r="G1249">
        <v>1</v>
      </c>
      <c r="H1249">
        <v>6.5</v>
      </c>
      <c r="I1249" s="2" t="s">
        <v>0</v>
      </c>
      <c r="J1249">
        <v>1</v>
      </c>
      <c r="K1249" s="2" t="s">
        <v>2</v>
      </c>
      <c r="L1249">
        <v>0</v>
      </c>
      <c r="M1249">
        <v>7.5</v>
      </c>
      <c r="N1249" s="2" t="s">
        <v>103</v>
      </c>
      <c r="O1249" t="str">
        <f>D1249&amp;"-"&amp;E1249&amp;"-"&amp;F1249&amp;"-"&amp;G1249&amp;"-"&amp;H1249</f>
        <v>X-1-e-1-6.5</v>
      </c>
      <c r="P1249" t="str">
        <f>I1249&amp;"-"&amp;J1249&amp;"-"&amp;K1249&amp;"-"&amp;L1249&amp;"-"&amp;M1249</f>
        <v>X-1-e-0-7.5</v>
      </c>
      <c r="Q1249">
        <f>A1249+R1249</f>
        <v>1322.156223</v>
      </c>
      <c r="R1249">
        <f>_xlfn.IFNA(VLOOKUP(P1249,PGOPHER!A$2:G$181,7,FALSE),_xlfn.IFNA(VLOOKUP(P1249,en!A$2:I$768,7,FALSE),-10000))</f>
        <v>203.479523</v>
      </c>
      <c r="S1249">
        <f>IF(O1249=O1248,Q1248+S1248,Q1249)</f>
        <v>5288.6215499999998</v>
      </c>
      <c r="T1249">
        <f>IF(O1249=O1248,T1248+1,1)</f>
        <v>4</v>
      </c>
      <c r="U1249" t="str">
        <f>IF(O1249=O1250,"",S1249/T1249)</f>
        <v/>
      </c>
      <c r="V1249" t="str">
        <f>IF(U1249="","",IF(ABS(Q1249-U1249)&gt;V$1,"error",""))</f>
        <v/>
      </c>
    </row>
    <row r="1250" spans="1:22" x14ac:dyDescent="0.55000000000000004">
      <c r="A1250">
        <v>1118.6767</v>
      </c>
      <c r="B1250" s="1">
        <v>1E-3</v>
      </c>
      <c r="C1250" s="1">
        <v>1E-3</v>
      </c>
      <c r="D1250" s="2" t="s">
        <v>0</v>
      </c>
      <c r="E1250">
        <v>1</v>
      </c>
      <c r="F1250" s="2" t="s">
        <v>2</v>
      </c>
      <c r="G1250">
        <v>1</v>
      </c>
      <c r="H1250">
        <v>6.5</v>
      </c>
      <c r="I1250" s="2" t="s">
        <v>0</v>
      </c>
      <c r="J1250">
        <v>1</v>
      </c>
      <c r="K1250" s="2" t="s">
        <v>2</v>
      </c>
      <c r="L1250">
        <v>0</v>
      </c>
      <c r="M1250">
        <v>7.5</v>
      </c>
      <c r="N1250" s="2" t="s">
        <v>115</v>
      </c>
      <c r="O1250" t="str">
        <f>D1250&amp;"-"&amp;E1250&amp;"-"&amp;F1250&amp;"-"&amp;G1250&amp;"-"&amp;H1250</f>
        <v>X-1-e-1-6.5</v>
      </c>
      <c r="P1250" t="str">
        <f>I1250&amp;"-"&amp;J1250&amp;"-"&amp;K1250&amp;"-"&amp;L1250&amp;"-"&amp;M1250</f>
        <v>X-1-e-0-7.5</v>
      </c>
      <c r="Q1250">
        <f>A1250+R1250</f>
        <v>1322.156223</v>
      </c>
      <c r="R1250">
        <f>_xlfn.IFNA(VLOOKUP(P1250,PGOPHER!A$2:G$181,7,FALSE),_xlfn.IFNA(VLOOKUP(P1250,en!A$2:I$768,7,FALSE),-10000))</f>
        <v>203.479523</v>
      </c>
      <c r="S1250">
        <f>IF(O1250=O1249,Q1249+S1249,Q1250)</f>
        <v>6610.7777729999998</v>
      </c>
      <c r="T1250">
        <f>IF(O1250=O1249,T1249+1,1)</f>
        <v>5</v>
      </c>
      <c r="U1250" t="str">
        <f>IF(O1250=O1251,"",S1250/T1250)</f>
        <v/>
      </c>
      <c r="V1250" t="str">
        <f>IF(U1250="","",IF(ABS(Q1250-U1250)&gt;V$1,"error",""))</f>
        <v/>
      </c>
    </row>
    <row r="1251" spans="1:22" x14ac:dyDescent="0.55000000000000004">
      <c r="A1251">
        <v>1212.9656</v>
      </c>
      <c r="B1251" s="1">
        <v>1.0500000000000001E-2</v>
      </c>
      <c r="C1251" s="1">
        <v>1.0500000000000001E-2</v>
      </c>
      <c r="D1251" s="2" t="s">
        <v>0</v>
      </c>
      <c r="E1251">
        <v>1</v>
      </c>
      <c r="F1251" s="2" t="s">
        <v>2</v>
      </c>
      <c r="G1251">
        <v>1</v>
      </c>
      <c r="H1251">
        <v>6.5</v>
      </c>
      <c r="I1251" s="2" t="s">
        <v>0</v>
      </c>
      <c r="J1251">
        <v>1</v>
      </c>
      <c r="K1251" s="2" t="s">
        <v>2</v>
      </c>
      <c r="L1251">
        <v>0</v>
      </c>
      <c r="M1251">
        <v>5.5</v>
      </c>
      <c r="N1251" s="2" t="s">
        <v>99</v>
      </c>
      <c r="O1251" t="str">
        <f>D1251&amp;"-"&amp;E1251&amp;"-"&amp;F1251&amp;"-"&amp;G1251&amp;"-"&amp;H1251</f>
        <v>X-1-e-1-6.5</v>
      </c>
      <c r="P1251" t="str">
        <f>I1251&amp;"-"&amp;J1251&amp;"-"&amp;K1251&amp;"-"&amp;L1251&amp;"-"&amp;M1251</f>
        <v>X-1-e-0-5.5</v>
      </c>
      <c r="Q1251">
        <f>A1251+R1251</f>
        <v>1322.1557749999999</v>
      </c>
      <c r="R1251">
        <f>_xlfn.IFNA(VLOOKUP(P1251,PGOPHER!A$2:G$181,7,FALSE),_xlfn.IFNA(VLOOKUP(P1251,en!A$2:I$768,7,FALSE),-10000))</f>
        <v>109.190175</v>
      </c>
      <c r="S1251">
        <f>IF(O1251=O1250,Q1250+S1250,Q1251)</f>
        <v>7932.9339959999998</v>
      </c>
      <c r="T1251">
        <f>IF(O1251=O1250,T1250+1,1)</f>
        <v>6</v>
      </c>
      <c r="U1251" t="str">
        <f>IF(O1251=O1252,"",S1251/T1251)</f>
        <v/>
      </c>
      <c r="V1251" t="str">
        <f>IF(U1251="","",IF(ABS(Q1251-U1251)&gt;V$1,"error",""))</f>
        <v/>
      </c>
    </row>
    <row r="1252" spans="1:22" x14ac:dyDescent="0.55000000000000004">
      <c r="A1252">
        <v>1118.6766600000001</v>
      </c>
      <c r="B1252" s="1">
        <v>1E-3</v>
      </c>
      <c r="C1252" s="1">
        <v>1E-3</v>
      </c>
      <c r="D1252" s="2" t="s">
        <v>0</v>
      </c>
      <c r="E1252">
        <v>1</v>
      </c>
      <c r="F1252" s="2" t="s">
        <v>2</v>
      </c>
      <c r="G1252">
        <v>1</v>
      </c>
      <c r="H1252">
        <v>6.5</v>
      </c>
      <c r="I1252" s="2" t="s">
        <v>0</v>
      </c>
      <c r="J1252">
        <v>1</v>
      </c>
      <c r="K1252" s="2" t="s">
        <v>2</v>
      </c>
      <c r="L1252">
        <v>0</v>
      </c>
      <c r="M1252">
        <v>7.5</v>
      </c>
      <c r="N1252" s="2" t="s">
        <v>111</v>
      </c>
      <c r="O1252" t="str">
        <f>D1252&amp;"-"&amp;E1252&amp;"-"&amp;F1252&amp;"-"&amp;G1252&amp;"-"&amp;H1252</f>
        <v>X-1-e-1-6.5</v>
      </c>
      <c r="P1252" t="str">
        <f>I1252&amp;"-"&amp;J1252&amp;"-"&amp;K1252&amp;"-"&amp;L1252&amp;"-"&amp;M1252</f>
        <v>X-1-e-0-7.5</v>
      </c>
      <c r="Q1252">
        <f>A1252+R1252</f>
        <v>1322.1561830000001</v>
      </c>
      <c r="R1252">
        <f>_xlfn.IFNA(VLOOKUP(P1252,PGOPHER!A$2:G$181,7,FALSE),_xlfn.IFNA(VLOOKUP(P1252,en!A$2:I$768,7,FALSE),-10000))</f>
        <v>203.479523</v>
      </c>
      <c r="S1252">
        <f>IF(O1252=O1251,Q1251+S1251,Q1252)</f>
        <v>9255.089770999999</v>
      </c>
      <c r="T1252">
        <f>IF(O1252=O1251,T1251+1,1)</f>
        <v>7</v>
      </c>
      <c r="U1252" t="str">
        <f>IF(O1252=O1253,"",S1252/T1252)</f>
        <v/>
      </c>
      <c r="V1252" t="str">
        <f>IF(U1252="","",IF(ABS(Q1252-U1252)&gt;V$1,"error",""))</f>
        <v/>
      </c>
    </row>
    <row r="1253" spans="1:22" x14ac:dyDescent="0.55000000000000004">
      <c r="A1253">
        <v>1212.9657</v>
      </c>
      <c r="B1253" s="1">
        <v>1.06E-2</v>
      </c>
      <c r="C1253" s="1">
        <v>1.06E-2</v>
      </c>
      <c r="D1253" s="2" t="s">
        <v>0</v>
      </c>
      <c r="E1253">
        <v>1</v>
      </c>
      <c r="F1253" s="2" t="s">
        <v>2</v>
      </c>
      <c r="G1253">
        <v>1</v>
      </c>
      <c r="H1253">
        <v>6.5</v>
      </c>
      <c r="I1253" s="2" t="s">
        <v>0</v>
      </c>
      <c r="J1253">
        <v>1</v>
      </c>
      <c r="K1253" s="2" t="s">
        <v>2</v>
      </c>
      <c r="L1253">
        <v>0</v>
      </c>
      <c r="M1253">
        <v>5.5</v>
      </c>
      <c r="N1253" s="2" t="s">
        <v>98</v>
      </c>
      <c r="O1253" t="str">
        <f>D1253&amp;"-"&amp;E1253&amp;"-"&amp;F1253&amp;"-"&amp;G1253&amp;"-"&amp;H1253</f>
        <v>X-1-e-1-6.5</v>
      </c>
      <c r="P1253" t="str">
        <f>I1253&amp;"-"&amp;J1253&amp;"-"&amp;K1253&amp;"-"&amp;L1253&amp;"-"&amp;M1253</f>
        <v>X-1-e-0-5.5</v>
      </c>
      <c r="Q1253">
        <f>A1253+R1253</f>
        <v>1322.1558749999999</v>
      </c>
      <c r="R1253">
        <f>_xlfn.IFNA(VLOOKUP(P1253,PGOPHER!A$2:G$181,7,FALSE),_xlfn.IFNA(VLOOKUP(P1253,en!A$2:I$768,7,FALSE),-10000))</f>
        <v>109.190175</v>
      </c>
      <c r="S1253">
        <f>IF(O1253=O1252,Q1252+S1252,Q1253)</f>
        <v>10577.245953999998</v>
      </c>
      <c r="T1253">
        <f>IF(O1253=O1252,T1252+1,1)</f>
        <v>8</v>
      </c>
      <c r="U1253" t="str">
        <f>IF(O1253=O1254,"",S1253/T1253)</f>
        <v/>
      </c>
      <c r="V1253" t="str">
        <f>IF(U1253="","",IF(ABS(Q1253-U1253)&gt;V$1,"error",""))</f>
        <v/>
      </c>
    </row>
    <row r="1254" spans="1:22" x14ac:dyDescent="0.55000000000000004">
      <c r="A1254">
        <v>1118.6767</v>
      </c>
      <c r="B1254" s="1">
        <v>6.7600000000000004E-3</v>
      </c>
      <c r="C1254" s="1">
        <v>6.7600000000000004E-3</v>
      </c>
      <c r="D1254" s="2" t="s">
        <v>0</v>
      </c>
      <c r="E1254">
        <v>1</v>
      </c>
      <c r="F1254" s="2" t="s">
        <v>2</v>
      </c>
      <c r="G1254">
        <v>1</v>
      </c>
      <c r="H1254">
        <v>6.5</v>
      </c>
      <c r="I1254" s="2" t="s">
        <v>0</v>
      </c>
      <c r="J1254">
        <v>1</v>
      </c>
      <c r="K1254" s="2" t="s">
        <v>2</v>
      </c>
      <c r="L1254">
        <v>0</v>
      </c>
      <c r="M1254">
        <v>7.5</v>
      </c>
      <c r="N1254" s="2" t="s">
        <v>102</v>
      </c>
      <c r="O1254" t="str">
        <f>D1254&amp;"-"&amp;E1254&amp;"-"&amp;F1254&amp;"-"&amp;G1254&amp;"-"&amp;H1254</f>
        <v>X-1-e-1-6.5</v>
      </c>
      <c r="P1254" t="str">
        <f>I1254&amp;"-"&amp;J1254&amp;"-"&amp;K1254&amp;"-"&amp;L1254&amp;"-"&amp;M1254</f>
        <v>X-1-e-0-7.5</v>
      </c>
      <c r="Q1254">
        <f>A1254+R1254</f>
        <v>1322.156223</v>
      </c>
      <c r="R1254">
        <f>_xlfn.IFNA(VLOOKUP(P1254,PGOPHER!A$2:G$181,7,FALSE),_xlfn.IFNA(VLOOKUP(P1254,en!A$2:I$768,7,FALSE),-10000))</f>
        <v>203.479523</v>
      </c>
      <c r="S1254">
        <f>IF(O1254=O1253,Q1253+S1253,Q1254)</f>
        <v>11899.401828999999</v>
      </c>
      <c r="T1254">
        <f>IF(O1254=O1253,T1253+1,1)</f>
        <v>9</v>
      </c>
      <c r="U1254" t="str">
        <f>IF(O1254=O1255,"",S1254/T1254)</f>
        <v/>
      </c>
      <c r="V1254" t="str">
        <f>IF(U1254="","",IF(ABS(Q1254-U1254)&gt;V$1,"error",""))</f>
        <v/>
      </c>
    </row>
    <row r="1255" spans="1:22" x14ac:dyDescent="0.55000000000000004">
      <c r="A1255">
        <v>1118.67489</v>
      </c>
      <c r="B1255" s="1">
        <v>1.49E-3</v>
      </c>
      <c r="C1255" s="1">
        <v>1.49E-3</v>
      </c>
      <c r="D1255" s="2" t="s">
        <v>0</v>
      </c>
      <c r="E1255">
        <v>1</v>
      </c>
      <c r="F1255" s="2" t="s">
        <v>2</v>
      </c>
      <c r="G1255">
        <v>1</v>
      </c>
      <c r="H1255">
        <v>6.5</v>
      </c>
      <c r="I1255" s="2" t="s">
        <v>0</v>
      </c>
      <c r="J1255">
        <v>1</v>
      </c>
      <c r="K1255" s="2" t="s">
        <v>2</v>
      </c>
      <c r="L1255">
        <v>0</v>
      </c>
      <c r="M1255">
        <v>7.5</v>
      </c>
      <c r="N1255" s="2" t="s">
        <v>106</v>
      </c>
      <c r="O1255" t="str">
        <f>D1255&amp;"-"&amp;E1255&amp;"-"&amp;F1255&amp;"-"&amp;G1255&amp;"-"&amp;H1255</f>
        <v>X-1-e-1-6.5</v>
      </c>
      <c r="P1255" t="str">
        <f>I1255&amp;"-"&amp;J1255&amp;"-"&amp;K1255&amp;"-"&amp;L1255&amp;"-"&amp;M1255</f>
        <v>X-1-e-0-7.5</v>
      </c>
      <c r="Q1255">
        <f>A1255+R1255</f>
        <v>1322.154413</v>
      </c>
      <c r="R1255">
        <f>_xlfn.IFNA(VLOOKUP(P1255,PGOPHER!A$2:G$181,7,FALSE),_xlfn.IFNA(VLOOKUP(P1255,en!A$2:I$768,7,FALSE),-10000))</f>
        <v>203.479523</v>
      </c>
      <c r="S1255">
        <f>IF(O1255=O1254,Q1254+S1254,Q1255)</f>
        <v>13221.558051999998</v>
      </c>
      <c r="T1255">
        <f>IF(O1255=O1254,T1254+1,1)</f>
        <v>10</v>
      </c>
      <c r="U1255">
        <f>IF(O1255=O1256,"",S1255/T1255)</f>
        <v>1322.1558051999998</v>
      </c>
      <c r="V1255" t="str">
        <f>IF(U1255="","",IF(ABS(Q1255-U1255)&gt;V$1,"error",""))</f>
        <v/>
      </c>
    </row>
    <row r="1256" spans="1:22" x14ac:dyDescent="0.55000000000000004">
      <c r="A1256">
        <v>1085.6333</v>
      </c>
      <c r="B1256" s="1">
        <v>1E-3</v>
      </c>
      <c r="C1256" s="1">
        <v>1E-3</v>
      </c>
      <c r="D1256" s="2" t="s">
        <v>0</v>
      </c>
      <c r="E1256">
        <v>1</v>
      </c>
      <c r="F1256" s="2" t="s">
        <v>2</v>
      </c>
      <c r="G1256">
        <v>2</v>
      </c>
      <c r="H1256">
        <v>6.5</v>
      </c>
      <c r="I1256" s="2" t="s">
        <v>0</v>
      </c>
      <c r="J1256">
        <v>1</v>
      </c>
      <c r="K1256" s="2" t="s">
        <v>2</v>
      </c>
      <c r="L1256">
        <v>1</v>
      </c>
      <c r="M1256">
        <v>7.5</v>
      </c>
      <c r="N1256" s="2" t="s">
        <v>420</v>
      </c>
      <c r="O1256" t="str">
        <f>D1256&amp;"-"&amp;E1256&amp;"-"&amp;F1256&amp;"-"&amp;G1256&amp;"-"&amp;H1256</f>
        <v>X-1-e-2-6.5</v>
      </c>
      <c r="P1256" t="str">
        <f>I1256&amp;"-"&amp;J1256&amp;"-"&amp;K1256&amp;"-"&amp;L1256&amp;"-"&amp;M1256</f>
        <v>X-1-e-1-7.5</v>
      </c>
      <c r="Q1256">
        <f>A1256+R1256</f>
        <v>2457.4073960000001</v>
      </c>
      <c r="R1256">
        <f>_xlfn.IFNA(VLOOKUP(P1256,PGOPHER!A$2:G$181,7,FALSE),_xlfn.IFNA(VLOOKUP(P1256,en!A$2:I$768,7,FALSE),-10000))</f>
        <v>1371.7740960000001</v>
      </c>
      <c r="S1256">
        <f>IF(O1256=O1255,Q1255+S1255,Q1256)</f>
        <v>2457.4073960000001</v>
      </c>
      <c r="T1256">
        <f>IF(O1256=O1255,T1255+1,1)</f>
        <v>1</v>
      </c>
      <c r="U1256" t="str">
        <f>IF(O1256=O1257,"",S1256/T1256)</f>
        <v/>
      </c>
      <c r="V1256" t="str">
        <f>IF(U1256="","",IF(ABS(Q1256-U1256)&gt;V$1,"error",""))</f>
        <v/>
      </c>
    </row>
    <row r="1257" spans="1:22" x14ac:dyDescent="0.55000000000000004">
      <c r="A1257">
        <v>1177.8322000000001</v>
      </c>
      <c r="B1257" s="1">
        <v>6.2899999999999996E-3</v>
      </c>
      <c r="C1257" s="1">
        <v>6.2899999999999996E-3</v>
      </c>
      <c r="D1257" s="2" t="s">
        <v>0</v>
      </c>
      <c r="E1257">
        <v>1</v>
      </c>
      <c r="F1257" s="2" t="s">
        <v>2</v>
      </c>
      <c r="G1257">
        <v>2</v>
      </c>
      <c r="H1257">
        <v>6.5</v>
      </c>
      <c r="I1257" s="2" t="s">
        <v>0</v>
      </c>
      <c r="J1257">
        <v>1</v>
      </c>
      <c r="K1257" s="2" t="s">
        <v>2</v>
      </c>
      <c r="L1257">
        <v>1</v>
      </c>
      <c r="M1257">
        <v>5.5</v>
      </c>
      <c r="N1257" s="2" t="s">
        <v>417</v>
      </c>
      <c r="O1257" t="str">
        <f>D1257&amp;"-"&amp;E1257&amp;"-"&amp;F1257&amp;"-"&amp;G1257&amp;"-"&amp;H1257</f>
        <v>X-1-e-2-6.5</v>
      </c>
      <c r="P1257" t="str">
        <f>I1257&amp;"-"&amp;J1257&amp;"-"&amp;K1257&amp;"-"&amp;L1257&amp;"-"&amp;M1257</f>
        <v>X-1-e-1-5.5</v>
      </c>
      <c r="Q1257">
        <f>A1257+R1257</f>
        <v>2457.4067649999997</v>
      </c>
      <c r="R1257">
        <f>_xlfn.IFNA(VLOOKUP(P1257,PGOPHER!A$2:G$181,7,FALSE),_xlfn.IFNA(VLOOKUP(P1257,en!A$2:I$768,7,FALSE),-10000))</f>
        <v>1279.5745649999999</v>
      </c>
      <c r="S1257">
        <f>IF(O1257=O1256,Q1256+S1256,Q1257)</f>
        <v>4914.8147920000001</v>
      </c>
      <c r="T1257">
        <f>IF(O1257=O1256,T1256+1,1)</f>
        <v>2</v>
      </c>
      <c r="U1257">
        <f>IF(O1257=O1258,"",S1257/T1257)</f>
        <v>2457.4073960000001</v>
      </c>
      <c r="V1257" t="str">
        <f>IF(U1257="","",IF(ABS(Q1257-U1257)&gt;V$1,"error",""))</f>
        <v/>
      </c>
    </row>
    <row r="1258" spans="1:22" x14ac:dyDescent="0.55000000000000004">
      <c r="A1258">
        <v>1142.6168</v>
      </c>
      <c r="B1258" s="1">
        <v>1.35E-2</v>
      </c>
      <c r="C1258" s="1">
        <v>1.35E-2</v>
      </c>
      <c r="D1258" s="2" t="s">
        <v>0</v>
      </c>
      <c r="E1258">
        <v>1</v>
      </c>
      <c r="F1258" s="2" t="s">
        <v>2</v>
      </c>
      <c r="G1258">
        <v>3</v>
      </c>
      <c r="H1258">
        <v>6.5</v>
      </c>
      <c r="I1258" s="2" t="s">
        <v>0</v>
      </c>
      <c r="J1258">
        <v>1</v>
      </c>
      <c r="K1258" s="2" t="s">
        <v>2</v>
      </c>
      <c r="L1258">
        <v>2</v>
      </c>
      <c r="M1258">
        <v>5.5</v>
      </c>
      <c r="N1258" s="2" t="s">
        <v>544</v>
      </c>
      <c r="O1258" t="str">
        <f>D1258&amp;"-"&amp;E1258&amp;"-"&amp;F1258&amp;"-"&amp;G1258&amp;"-"&amp;H1258</f>
        <v>X-1-e-3-6.5</v>
      </c>
      <c r="P1258" t="str">
        <f>I1258&amp;"-"&amp;J1258&amp;"-"&amp;K1258&amp;"-"&amp;L1258&amp;"-"&amp;M1258</f>
        <v>X-1-e-2-5.5</v>
      </c>
      <c r="Q1258">
        <f>A1258+R1258</f>
        <v>3558.412327</v>
      </c>
      <c r="R1258">
        <f>_xlfn.IFNA(VLOOKUP(P1258,PGOPHER!A$2:G$181,7,FALSE),_xlfn.IFNA(VLOOKUP(P1258,en!A$2:I$768,7,FALSE),-10000))</f>
        <v>2415.7955270000002</v>
      </c>
      <c r="S1258">
        <f>IF(O1258=O1257,Q1257+S1257,Q1258)</f>
        <v>3558.412327</v>
      </c>
      <c r="T1258">
        <f>IF(O1258=O1257,T1257+1,1)</f>
        <v>1</v>
      </c>
      <c r="U1258" t="str">
        <f>IF(O1258=O1259,"",S1258/T1258)</f>
        <v/>
      </c>
      <c r="V1258" t="str">
        <f>IF(U1258="","",IF(ABS(Q1258-U1258)&gt;V$1,"error",""))</f>
        <v/>
      </c>
    </row>
    <row r="1259" spans="1:22" x14ac:dyDescent="0.55000000000000004">
      <c r="A1259">
        <v>1142.6151</v>
      </c>
      <c r="B1259" s="1">
        <v>1.1599999999999999E-2</v>
      </c>
      <c r="C1259" s="1">
        <v>1.1599999999999999E-2</v>
      </c>
      <c r="D1259" s="2" t="s">
        <v>0</v>
      </c>
      <c r="E1259">
        <v>1</v>
      </c>
      <c r="F1259" s="2" t="s">
        <v>2</v>
      </c>
      <c r="G1259">
        <v>3</v>
      </c>
      <c r="H1259">
        <v>6.5</v>
      </c>
      <c r="I1259" s="2" t="s">
        <v>0</v>
      </c>
      <c r="J1259">
        <v>1</v>
      </c>
      <c r="K1259" s="2" t="s">
        <v>2</v>
      </c>
      <c r="L1259">
        <v>2</v>
      </c>
      <c r="M1259">
        <v>5.5</v>
      </c>
      <c r="N1259" s="2" t="s">
        <v>543</v>
      </c>
      <c r="O1259" t="str">
        <f>D1259&amp;"-"&amp;E1259&amp;"-"&amp;F1259&amp;"-"&amp;G1259&amp;"-"&amp;H1259</f>
        <v>X-1-e-3-6.5</v>
      </c>
      <c r="P1259" t="str">
        <f>I1259&amp;"-"&amp;J1259&amp;"-"&amp;K1259&amp;"-"&amp;L1259&amp;"-"&amp;M1259</f>
        <v>X-1-e-2-5.5</v>
      </c>
      <c r="Q1259">
        <f>A1259+R1259</f>
        <v>3558.4106270000002</v>
      </c>
      <c r="R1259">
        <f>_xlfn.IFNA(VLOOKUP(P1259,PGOPHER!A$2:G$181,7,FALSE),_xlfn.IFNA(VLOOKUP(P1259,en!A$2:I$768,7,FALSE),-10000))</f>
        <v>2415.7955270000002</v>
      </c>
      <c r="S1259">
        <f>IF(O1259=O1258,Q1258+S1258,Q1259)</f>
        <v>7116.824654</v>
      </c>
      <c r="T1259">
        <f>IF(O1259=O1258,T1258+1,1)</f>
        <v>2</v>
      </c>
      <c r="U1259" t="str">
        <f>IF(O1259=O1260,"",S1259/T1259)</f>
        <v/>
      </c>
      <c r="V1259" t="str">
        <f>IF(U1259="","",IF(ABS(Q1259-U1259)&gt;V$1,"error",""))</f>
        <v/>
      </c>
    </row>
    <row r="1260" spans="1:22" x14ac:dyDescent="0.55000000000000004">
      <c r="A1260">
        <v>1052.5148999999999</v>
      </c>
      <c r="B1260" s="1">
        <v>1.4E-2</v>
      </c>
      <c r="C1260" s="1">
        <v>1.4E-2</v>
      </c>
      <c r="D1260" s="2" t="s">
        <v>0</v>
      </c>
      <c r="E1260">
        <v>1</v>
      </c>
      <c r="F1260" s="2" t="s">
        <v>2</v>
      </c>
      <c r="G1260">
        <v>3</v>
      </c>
      <c r="H1260">
        <v>6.5</v>
      </c>
      <c r="I1260" s="2" t="s">
        <v>0</v>
      </c>
      <c r="J1260">
        <v>1</v>
      </c>
      <c r="K1260" s="2" t="s">
        <v>2</v>
      </c>
      <c r="L1260">
        <v>2</v>
      </c>
      <c r="M1260">
        <v>7.5</v>
      </c>
      <c r="N1260" s="2" t="s">
        <v>548</v>
      </c>
      <c r="O1260" t="str">
        <f>D1260&amp;"-"&amp;E1260&amp;"-"&amp;F1260&amp;"-"&amp;G1260&amp;"-"&amp;H1260</f>
        <v>X-1-e-3-6.5</v>
      </c>
      <c r="P1260" t="str">
        <f>I1260&amp;"-"&amp;J1260&amp;"-"&amp;K1260&amp;"-"&amp;L1260&amp;"-"&amp;M1260</f>
        <v>X-1-e-2-7.5</v>
      </c>
      <c r="Q1260">
        <f>A1260+R1260</f>
        <v>3558.4115629999997</v>
      </c>
      <c r="R1260">
        <f>_xlfn.IFNA(VLOOKUP(P1260,PGOPHER!A$2:G$181,7,FALSE),_xlfn.IFNA(VLOOKUP(P1260,en!A$2:I$768,7,FALSE),-10000))</f>
        <v>2505.896663</v>
      </c>
      <c r="S1260">
        <f>IF(O1260=O1259,Q1259+S1259,Q1260)</f>
        <v>10675.235281000001</v>
      </c>
      <c r="T1260">
        <f>IF(O1260=O1259,T1259+1,1)</f>
        <v>3</v>
      </c>
      <c r="U1260">
        <f>IF(O1260=O1261,"",S1260/T1260)</f>
        <v>3558.4117603333339</v>
      </c>
      <c r="V1260" t="str">
        <f>IF(U1260="","",IF(ABS(Q1260-U1260)&gt;V$1,"error",""))</f>
        <v/>
      </c>
    </row>
    <row r="1261" spans="1:22" x14ac:dyDescent="0.55000000000000004">
      <c r="A1261">
        <v>1019.1634</v>
      </c>
      <c r="B1261" s="1">
        <v>1E-3</v>
      </c>
      <c r="C1261" s="1">
        <v>1E-3</v>
      </c>
      <c r="D1261" s="2" t="s">
        <v>0</v>
      </c>
      <c r="E1261">
        <v>1</v>
      </c>
      <c r="F1261" s="2" t="s">
        <v>2</v>
      </c>
      <c r="G1261">
        <v>4</v>
      </c>
      <c r="H1261">
        <v>6.5</v>
      </c>
      <c r="I1261" s="2" t="s">
        <v>0</v>
      </c>
      <c r="J1261">
        <v>1</v>
      </c>
      <c r="K1261" s="2" t="s">
        <v>2</v>
      </c>
      <c r="L1261">
        <v>3</v>
      </c>
      <c r="M1261">
        <v>7.5</v>
      </c>
      <c r="N1261" s="2" t="s">
        <v>629</v>
      </c>
      <c r="O1261" t="str">
        <f>D1261&amp;"-"&amp;E1261&amp;"-"&amp;F1261&amp;"-"&amp;G1261&amp;"-"&amp;H1261</f>
        <v>X-1-e-4-6.5</v>
      </c>
      <c r="P1261" t="str">
        <f>I1261&amp;"-"&amp;J1261&amp;"-"&amp;K1261&amp;"-"&amp;L1261&amp;"-"&amp;M1261</f>
        <v>X-1-e-3-7.5</v>
      </c>
      <c r="Q1261">
        <f>A1261+R1261</f>
        <v>4624.9251020000002</v>
      </c>
      <c r="R1261">
        <f>_xlfn.IFNA(VLOOKUP(P1261,PGOPHER!A$2:G$181,7,FALSE),_xlfn.IFNA(VLOOKUP(P1261,en!A$2:I$768,7,FALSE),-10000))</f>
        <v>3605.7617019999998</v>
      </c>
      <c r="S1261">
        <f>IF(O1261=O1260,Q1260+S1260,Q1261)</f>
        <v>4624.9251020000002</v>
      </c>
      <c r="T1261">
        <f>IF(O1261=O1260,T1260+1,1)</f>
        <v>1</v>
      </c>
      <c r="U1261" t="str">
        <f>IF(O1261=O1262,"",S1261/T1261)</f>
        <v/>
      </c>
      <c r="V1261" t="str">
        <f>IF(U1261="","",IF(ABS(Q1261-U1261)&gt;V$1,"error",""))</f>
        <v/>
      </c>
    </row>
    <row r="1262" spans="1:22" x14ac:dyDescent="0.55000000000000004">
      <c r="A1262">
        <v>1107.1519000000001</v>
      </c>
      <c r="B1262" s="1">
        <v>1E-3</v>
      </c>
      <c r="C1262" s="1">
        <v>1E-3</v>
      </c>
      <c r="D1262" s="2" t="s">
        <v>0</v>
      </c>
      <c r="E1262">
        <v>1</v>
      </c>
      <c r="F1262" s="2" t="s">
        <v>2</v>
      </c>
      <c r="G1262">
        <v>4</v>
      </c>
      <c r="H1262">
        <v>6.5</v>
      </c>
      <c r="I1262" s="2" t="s">
        <v>0</v>
      </c>
      <c r="J1262">
        <v>1</v>
      </c>
      <c r="K1262" s="2" t="s">
        <v>2</v>
      </c>
      <c r="L1262">
        <v>3</v>
      </c>
      <c r="M1262">
        <v>5.5</v>
      </c>
      <c r="N1262" s="2" t="s">
        <v>627</v>
      </c>
      <c r="O1262" t="str">
        <f>D1262&amp;"-"&amp;E1262&amp;"-"&amp;F1262&amp;"-"&amp;G1262&amp;"-"&amp;H1262</f>
        <v>X-1-e-4-6.5</v>
      </c>
      <c r="P1262" t="str">
        <f>I1262&amp;"-"&amp;J1262&amp;"-"&amp;K1262&amp;"-"&amp;L1262&amp;"-"&amp;M1262</f>
        <v>X-1-e-3-5.5</v>
      </c>
      <c r="Q1262">
        <f>A1262+R1262</f>
        <v>4624.9253079999999</v>
      </c>
      <c r="R1262">
        <f>_xlfn.IFNA(VLOOKUP(P1262,PGOPHER!A$2:G$181,7,FALSE),_xlfn.IFNA(VLOOKUP(P1262,en!A$2:I$768,7,FALSE),-10000))</f>
        <v>3517.773408</v>
      </c>
      <c r="S1262">
        <f>IF(O1262=O1261,Q1261+S1261,Q1262)</f>
        <v>9249.8502040000003</v>
      </c>
      <c r="T1262">
        <f>IF(O1262=O1261,T1261+1,1)</f>
        <v>2</v>
      </c>
      <c r="U1262">
        <f>IF(O1262=O1263,"",S1262/T1262)</f>
        <v>4624.9251020000002</v>
      </c>
      <c r="V1262" t="str">
        <f>IF(U1262="","",IF(ABS(Q1262-U1262)&gt;V$1,"error",""))</f>
        <v/>
      </c>
    </row>
    <row r="1263" spans="1:22" x14ac:dyDescent="0.55000000000000004">
      <c r="A1263">
        <v>1218.94704</v>
      </c>
      <c r="B1263" s="1">
        <v>1E-3</v>
      </c>
      <c r="C1263" s="1">
        <v>1E-3</v>
      </c>
      <c r="D1263" s="2" t="s">
        <v>0</v>
      </c>
      <c r="E1263">
        <v>2</v>
      </c>
      <c r="F1263" s="2" t="s">
        <v>1</v>
      </c>
      <c r="G1263">
        <v>1</v>
      </c>
      <c r="H1263">
        <v>6.5</v>
      </c>
      <c r="I1263" s="2" t="s">
        <v>0</v>
      </c>
      <c r="J1263">
        <v>2</v>
      </c>
      <c r="K1263" s="2" t="s">
        <v>1</v>
      </c>
      <c r="L1263">
        <v>0</v>
      </c>
      <c r="M1263">
        <v>5.5</v>
      </c>
      <c r="N1263" s="2" t="s">
        <v>112</v>
      </c>
      <c r="O1263" t="str">
        <f>D1263&amp;"-"&amp;E1263&amp;"-"&amp;F1263&amp;"-"&amp;G1263&amp;"-"&amp;H1263</f>
        <v>X-2-f-1-6.5</v>
      </c>
      <c r="P1263" t="str">
        <f>I1263&amp;"-"&amp;J1263&amp;"-"&amp;K1263&amp;"-"&amp;L1263&amp;"-"&amp;M1263</f>
        <v>X-2-f-0-5.5</v>
      </c>
      <c r="Q1263">
        <f>A1263+R1263</f>
        <v>1370.8806050000001</v>
      </c>
      <c r="R1263">
        <f>_xlfn.IFNA(VLOOKUP(P1263,PGOPHER!A$2:G$181,7,FALSE),_xlfn.IFNA(VLOOKUP(P1263,en!A$2:I$768,7,FALSE),-10000))</f>
        <v>151.93356499999999</v>
      </c>
      <c r="S1263">
        <f>IF(O1263=O1262,Q1262+S1262,Q1263)</f>
        <v>1370.8806050000001</v>
      </c>
      <c r="T1263">
        <f>IF(O1263=O1262,T1262+1,1)</f>
        <v>1</v>
      </c>
      <c r="U1263" t="str">
        <f>IF(O1263=O1264,"",S1263/T1263)</f>
        <v/>
      </c>
      <c r="V1263" t="str">
        <f>IF(U1263="","",IF(ABS(Q1263-U1263)&gt;V$1,"error",""))</f>
        <v/>
      </c>
    </row>
    <row r="1264" spans="1:22" x14ac:dyDescent="0.55000000000000004">
      <c r="A1264">
        <v>1218.9468999999999</v>
      </c>
      <c r="B1264" s="1">
        <v>1E-3</v>
      </c>
      <c r="C1264" s="1">
        <v>1E-3</v>
      </c>
      <c r="D1264" s="2" t="s">
        <v>0</v>
      </c>
      <c r="E1264">
        <v>2</v>
      </c>
      <c r="F1264" s="2" t="s">
        <v>1</v>
      </c>
      <c r="G1264">
        <v>1</v>
      </c>
      <c r="H1264">
        <v>6.5</v>
      </c>
      <c r="I1264" s="2" t="s">
        <v>0</v>
      </c>
      <c r="J1264">
        <v>2</v>
      </c>
      <c r="K1264" s="2" t="s">
        <v>1</v>
      </c>
      <c r="L1264">
        <v>0</v>
      </c>
      <c r="M1264">
        <v>5.5</v>
      </c>
      <c r="N1264" s="2" t="s">
        <v>116</v>
      </c>
      <c r="O1264" t="str">
        <f>D1264&amp;"-"&amp;E1264&amp;"-"&amp;F1264&amp;"-"&amp;G1264&amp;"-"&amp;H1264</f>
        <v>X-2-f-1-6.5</v>
      </c>
      <c r="P1264" t="str">
        <f>I1264&amp;"-"&amp;J1264&amp;"-"&amp;K1264&amp;"-"&amp;L1264&amp;"-"&amp;M1264</f>
        <v>X-2-f-0-5.5</v>
      </c>
      <c r="Q1264">
        <f>A1264+R1264</f>
        <v>1370.880465</v>
      </c>
      <c r="R1264">
        <f>_xlfn.IFNA(VLOOKUP(P1264,PGOPHER!A$2:G$181,7,FALSE),_xlfn.IFNA(VLOOKUP(P1264,en!A$2:I$768,7,FALSE),-10000))</f>
        <v>151.93356499999999</v>
      </c>
      <c r="S1264">
        <f>IF(O1264=O1263,Q1263+S1263,Q1264)</f>
        <v>2741.7612100000001</v>
      </c>
      <c r="T1264">
        <f>IF(O1264=O1263,T1263+1,1)</f>
        <v>2</v>
      </c>
      <c r="U1264" t="str">
        <f>IF(O1264=O1265,"",S1264/T1264)</f>
        <v/>
      </c>
      <c r="V1264" t="str">
        <f>IF(U1264="","",IF(ABS(Q1264-U1264)&gt;V$1,"error",""))</f>
        <v/>
      </c>
    </row>
    <row r="1265" spans="1:22" x14ac:dyDescent="0.55000000000000004">
      <c r="A1265">
        <v>1218.9452799999999</v>
      </c>
      <c r="B1265" s="1">
        <v>1.9009999999999999E-3</v>
      </c>
      <c r="C1265" s="1">
        <v>1.9009999999999999E-3</v>
      </c>
      <c r="D1265" s="2" t="s">
        <v>0</v>
      </c>
      <c r="E1265">
        <v>2</v>
      </c>
      <c r="F1265" s="2" t="s">
        <v>1</v>
      </c>
      <c r="G1265">
        <v>1</v>
      </c>
      <c r="H1265">
        <v>6.5</v>
      </c>
      <c r="I1265" s="2" t="s">
        <v>0</v>
      </c>
      <c r="J1265">
        <v>2</v>
      </c>
      <c r="K1265" s="2" t="s">
        <v>1</v>
      </c>
      <c r="L1265">
        <v>0</v>
      </c>
      <c r="M1265">
        <v>5.5</v>
      </c>
      <c r="N1265" s="2" t="s">
        <v>109</v>
      </c>
      <c r="O1265" t="str">
        <f>D1265&amp;"-"&amp;E1265&amp;"-"&amp;F1265&amp;"-"&amp;G1265&amp;"-"&amp;H1265</f>
        <v>X-2-f-1-6.5</v>
      </c>
      <c r="P1265" t="str">
        <f>I1265&amp;"-"&amp;J1265&amp;"-"&amp;K1265&amp;"-"&amp;L1265&amp;"-"&amp;M1265</f>
        <v>X-2-f-0-5.5</v>
      </c>
      <c r="Q1265">
        <f>A1265+R1265</f>
        <v>1370.878845</v>
      </c>
      <c r="R1265">
        <f>_xlfn.IFNA(VLOOKUP(P1265,PGOPHER!A$2:G$181,7,FALSE),_xlfn.IFNA(VLOOKUP(P1265,en!A$2:I$768,7,FALSE),-10000))</f>
        <v>151.93356499999999</v>
      </c>
      <c r="S1265">
        <f>IF(O1265=O1264,Q1264+S1264,Q1265)</f>
        <v>4112.6416749999999</v>
      </c>
      <c r="T1265">
        <f>IF(O1265=O1264,T1264+1,1)</f>
        <v>3</v>
      </c>
      <c r="U1265" t="str">
        <f>IF(O1265=O1266,"",S1265/T1265)</f>
        <v/>
      </c>
      <c r="V1265" t="str">
        <f>IF(U1265="","",IF(ABS(Q1265-U1265)&gt;V$1,"error",""))</f>
        <v/>
      </c>
    </row>
    <row r="1266" spans="1:22" x14ac:dyDescent="0.55000000000000004">
      <c r="A1266">
        <v>1110.5282999999999</v>
      </c>
      <c r="B1266" s="1">
        <v>1E-3</v>
      </c>
      <c r="C1266" s="1">
        <v>1E-3</v>
      </c>
      <c r="D1266" s="2" t="s">
        <v>0</v>
      </c>
      <c r="E1266">
        <v>2</v>
      </c>
      <c r="F1266" s="2" t="s">
        <v>1</v>
      </c>
      <c r="G1266">
        <v>1</v>
      </c>
      <c r="H1266">
        <v>6.5</v>
      </c>
      <c r="I1266" s="2" t="s">
        <v>0</v>
      </c>
      <c r="J1266">
        <v>2</v>
      </c>
      <c r="K1266" s="2" t="s">
        <v>1</v>
      </c>
      <c r="L1266">
        <v>0</v>
      </c>
      <c r="M1266">
        <v>7.5</v>
      </c>
      <c r="N1266" s="2" t="s">
        <v>105</v>
      </c>
      <c r="O1266" t="str">
        <f>D1266&amp;"-"&amp;E1266&amp;"-"&amp;F1266&amp;"-"&amp;G1266&amp;"-"&amp;H1266</f>
        <v>X-2-f-1-6.5</v>
      </c>
      <c r="P1266" t="str">
        <f>I1266&amp;"-"&amp;J1266&amp;"-"&amp;K1266&amp;"-"&amp;L1266&amp;"-"&amp;M1266</f>
        <v>X-2-f-0-7.5</v>
      </c>
      <c r="Q1266">
        <f>A1266+R1266</f>
        <v>1370.880431</v>
      </c>
      <c r="R1266">
        <f>_xlfn.IFNA(VLOOKUP(P1266,PGOPHER!A$2:G$181,7,FALSE),_xlfn.IFNA(VLOOKUP(P1266,en!A$2:I$768,7,FALSE),-10000))</f>
        <v>260.35213099999999</v>
      </c>
      <c r="S1266">
        <f>IF(O1266=O1265,Q1265+S1265,Q1266)</f>
        <v>5483.52052</v>
      </c>
      <c r="T1266">
        <f>IF(O1266=O1265,T1265+1,1)</f>
        <v>4</v>
      </c>
      <c r="U1266" t="str">
        <f>IF(O1266=O1267,"",S1266/T1266)</f>
        <v/>
      </c>
      <c r="V1266" t="str">
        <f>IF(U1266="","",IF(ABS(Q1266-U1266)&gt;V$1,"error",""))</f>
        <v/>
      </c>
    </row>
    <row r="1267" spans="1:22" x14ac:dyDescent="0.55000000000000004">
      <c r="A1267">
        <v>1110.5286000000001</v>
      </c>
      <c r="B1267" s="1">
        <v>1E-3</v>
      </c>
      <c r="C1267" s="1">
        <v>1E-3</v>
      </c>
      <c r="D1267" s="2" t="s">
        <v>0</v>
      </c>
      <c r="E1267">
        <v>2</v>
      </c>
      <c r="F1267" s="2" t="s">
        <v>1</v>
      </c>
      <c r="G1267">
        <v>1</v>
      </c>
      <c r="H1267">
        <v>6.5</v>
      </c>
      <c r="I1267" s="2" t="s">
        <v>0</v>
      </c>
      <c r="J1267">
        <v>2</v>
      </c>
      <c r="K1267" s="2" t="s">
        <v>1</v>
      </c>
      <c r="L1267">
        <v>0</v>
      </c>
      <c r="M1267">
        <v>7.5</v>
      </c>
      <c r="N1267" s="2" t="s">
        <v>117</v>
      </c>
      <c r="O1267" t="str">
        <f>D1267&amp;"-"&amp;E1267&amp;"-"&amp;F1267&amp;"-"&amp;G1267&amp;"-"&amp;H1267</f>
        <v>X-2-f-1-6.5</v>
      </c>
      <c r="P1267" t="str">
        <f>I1267&amp;"-"&amp;J1267&amp;"-"&amp;K1267&amp;"-"&amp;L1267&amp;"-"&amp;M1267</f>
        <v>X-2-f-0-7.5</v>
      </c>
      <c r="Q1267">
        <f>A1267+R1267</f>
        <v>1370.8807310000002</v>
      </c>
      <c r="R1267">
        <f>_xlfn.IFNA(VLOOKUP(P1267,PGOPHER!A$2:G$181,7,FALSE),_xlfn.IFNA(VLOOKUP(P1267,en!A$2:I$768,7,FALSE),-10000))</f>
        <v>260.35213099999999</v>
      </c>
      <c r="S1267">
        <f>IF(O1267=O1266,Q1266+S1266,Q1267)</f>
        <v>6854.4009509999996</v>
      </c>
      <c r="T1267">
        <f>IF(O1267=O1266,T1266+1,1)</f>
        <v>5</v>
      </c>
      <c r="U1267" t="str">
        <f>IF(O1267=O1268,"",S1267/T1267)</f>
        <v/>
      </c>
      <c r="V1267" t="str">
        <f>IF(U1267="","",IF(ABS(Q1267-U1267)&gt;V$1,"error",""))</f>
        <v/>
      </c>
    </row>
    <row r="1268" spans="1:22" x14ac:dyDescent="0.55000000000000004">
      <c r="A1268">
        <v>1218.9468999999999</v>
      </c>
      <c r="B1268" s="1">
        <v>1E-3</v>
      </c>
      <c r="C1268" s="1">
        <v>1E-3</v>
      </c>
      <c r="D1268" s="2" t="s">
        <v>0</v>
      </c>
      <c r="E1268">
        <v>2</v>
      </c>
      <c r="F1268" s="2" t="s">
        <v>1</v>
      </c>
      <c r="G1268">
        <v>1</v>
      </c>
      <c r="H1268">
        <v>6.5</v>
      </c>
      <c r="I1268" s="2" t="s">
        <v>0</v>
      </c>
      <c r="J1268">
        <v>2</v>
      </c>
      <c r="K1268" s="2" t="s">
        <v>1</v>
      </c>
      <c r="L1268">
        <v>0</v>
      </c>
      <c r="M1268">
        <v>5.5</v>
      </c>
      <c r="N1268" s="2" t="s">
        <v>101</v>
      </c>
      <c r="O1268" t="str">
        <f>D1268&amp;"-"&amp;E1268&amp;"-"&amp;F1268&amp;"-"&amp;G1268&amp;"-"&amp;H1268</f>
        <v>X-2-f-1-6.5</v>
      </c>
      <c r="P1268" t="str">
        <f>I1268&amp;"-"&amp;J1268&amp;"-"&amp;K1268&amp;"-"&amp;L1268&amp;"-"&amp;M1268</f>
        <v>X-2-f-0-5.5</v>
      </c>
      <c r="Q1268">
        <f>A1268+R1268</f>
        <v>1370.880465</v>
      </c>
      <c r="R1268">
        <f>_xlfn.IFNA(VLOOKUP(P1268,PGOPHER!A$2:G$181,7,FALSE),_xlfn.IFNA(VLOOKUP(P1268,en!A$2:I$768,7,FALSE),-10000))</f>
        <v>151.93356499999999</v>
      </c>
      <c r="S1268">
        <f>IF(O1268=O1267,Q1267+S1267,Q1268)</f>
        <v>8225.2816820000007</v>
      </c>
      <c r="T1268">
        <f>IF(O1268=O1267,T1267+1,1)</f>
        <v>6</v>
      </c>
      <c r="U1268" t="str">
        <f>IF(O1268=O1269,"",S1268/T1268)</f>
        <v/>
      </c>
      <c r="V1268" t="str">
        <f>IF(U1268="","",IF(ABS(Q1268-U1268)&gt;V$1,"error",""))</f>
        <v/>
      </c>
    </row>
    <row r="1269" spans="1:22" x14ac:dyDescent="0.55000000000000004">
      <c r="A1269">
        <v>1110.5283300000001</v>
      </c>
      <c r="B1269" s="1">
        <v>1E-3</v>
      </c>
      <c r="C1269" s="1">
        <v>1E-3</v>
      </c>
      <c r="D1269" s="2" t="s">
        <v>0</v>
      </c>
      <c r="E1269">
        <v>2</v>
      </c>
      <c r="F1269" s="2" t="s">
        <v>1</v>
      </c>
      <c r="G1269">
        <v>1</v>
      </c>
      <c r="H1269">
        <v>6.5</v>
      </c>
      <c r="I1269" s="2" t="s">
        <v>0</v>
      </c>
      <c r="J1269">
        <v>2</v>
      </c>
      <c r="K1269" s="2" t="s">
        <v>1</v>
      </c>
      <c r="L1269">
        <v>0</v>
      </c>
      <c r="M1269">
        <v>7.5</v>
      </c>
      <c r="N1269" s="2" t="s">
        <v>113</v>
      </c>
      <c r="O1269" t="str">
        <f>D1269&amp;"-"&amp;E1269&amp;"-"&amp;F1269&amp;"-"&amp;G1269&amp;"-"&amp;H1269</f>
        <v>X-2-f-1-6.5</v>
      </c>
      <c r="P1269" t="str">
        <f>I1269&amp;"-"&amp;J1269&amp;"-"&amp;K1269&amp;"-"&amp;L1269&amp;"-"&amp;M1269</f>
        <v>X-2-f-0-7.5</v>
      </c>
      <c r="Q1269">
        <f>A1269+R1269</f>
        <v>1370.8804610000002</v>
      </c>
      <c r="R1269">
        <f>_xlfn.IFNA(VLOOKUP(P1269,PGOPHER!A$2:G$181,7,FALSE),_xlfn.IFNA(VLOOKUP(P1269,en!A$2:I$768,7,FALSE),-10000))</f>
        <v>260.35213099999999</v>
      </c>
      <c r="S1269">
        <f>IF(O1269=O1268,Q1268+S1268,Q1269)</f>
        <v>9596.1621470000009</v>
      </c>
      <c r="T1269">
        <f>IF(O1269=O1268,T1268+1,1)</f>
        <v>7</v>
      </c>
      <c r="U1269" t="str">
        <f>IF(O1269=O1270,"",S1269/T1269)</f>
        <v/>
      </c>
      <c r="V1269" t="str">
        <f>IF(U1269="","",IF(ABS(Q1269-U1269)&gt;V$1,"error",""))</f>
        <v/>
      </c>
    </row>
    <row r="1270" spans="1:22" x14ac:dyDescent="0.55000000000000004">
      <c r="A1270">
        <v>1218.9469999999999</v>
      </c>
      <c r="B1270" s="1">
        <v>1E-3</v>
      </c>
      <c r="C1270" s="1">
        <v>1E-3</v>
      </c>
      <c r="D1270" s="2" t="s">
        <v>0</v>
      </c>
      <c r="E1270">
        <v>2</v>
      </c>
      <c r="F1270" s="2" t="s">
        <v>1</v>
      </c>
      <c r="G1270">
        <v>1</v>
      </c>
      <c r="H1270">
        <v>6.5</v>
      </c>
      <c r="I1270" s="2" t="s">
        <v>0</v>
      </c>
      <c r="J1270">
        <v>2</v>
      </c>
      <c r="K1270" s="2" t="s">
        <v>1</v>
      </c>
      <c r="L1270">
        <v>0</v>
      </c>
      <c r="M1270">
        <v>5.5</v>
      </c>
      <c r="N1270" s="2" t="s">
        <v>100</v>
      </c>
      <c r="O1270" t="str">
        <f>D1270&amp;"-"&amp;E1270&amp;"-"&amp;F1270&amp;"-"&amp;G1270&amp;"-"&amp;H1270</f>
        <v>X-2-f-1-6.5</v>
      </c>
      <c r="P1270" t="str">
        <f>I1270&amp;"-"&amp;J1270&amp;"-"&amp;K1270&amp;"-"&amp;L1270&amp;"-"&amp;M1270</f>
        <v>X-2-f-0-5.5</v>
      </c>
      <c r="Q1270">
        <f>A1270+R1270</f>
        <v>1370.8805649999999</v>
      </c>
      <c r="R1270">
        <f>_xlfn.IFNA(VLOOKUP(P1270,PGOPHER!A$2:G$181,7,FALSE),_xlfn.IFNA(VLOOKUP(P1270,en!A$2:I$768,7,FALSE),-10000))</f>
        <v>151.93356499999999</v>
      </c>
      <c r="S1270">
        <f>IF(O1270=O1269,Q1269+S1269,Q1270)</f>
        <v>10967.042608000002</v>
      </c>
      <c r="T1270">
        <f>IF(O1270=O1269,T1269+1,1)</f>
        <v>8</v>
      </c>
      <c r="U1270" t="str">
        <f>IF(O1270=O1271,"",S1270/T1270)</f>
        <v/>
      </c>
      <c r="V1270" t="str">
        <f>IF(U1270="","",IF(ABS(Q1270-U1270)&gt;V$1,"error",""))</f>
        <v/>
      </c>
    </row>
    <row r="1271" spans="1:22" x14ac:dyDescent="0.55000000000000004">
      <c r="A1271">
        <v>1110.5286000000001</v>
      </c>
      <c r="B1271" s="1">
        <v>1E-3</v>
      </c>
      <c r="C1271" s="1">
        <v>1E-3</v>
      </c>
      <c r="D1271" s="2" t="s">
        <v>0</v>
      </c>
      <c r="E1271">
        <v>2</v>
      </c>
      <c r="F1271" s="2" t="s">
        <v>1</v>
      </c>
      <c r="G1271">
        <v>1</v>
      </c>
      <c r="H1271">
        <v>6.5</v>
      </c>
      <c r="I1271" s="2" t="s">
        <v>0</v>
      </c>
      <c r="J1271">
        <v>2</v>
      </c>
      <c r="K1271" s="2" t="s">
        <v>1</v>
      </c>
      <c r="L1271">
        <v>0</v>
      </c>
      <c r="M1271">
        <v>7.5</v>
      </c>
      <c r="N1271" s="2" t="s">
        <v>104</v>
      </c>
      <c r="O1271" t="str">
        <f>D1271&amp;"-"&amp;E1271&amp;"-"&amp;F1271&amp;"-"&amp;G1271&amp;"-"&amp;H1271</f>
        <v>X-2-f-1-6.5</v>
      </c>
      <c r="P1271" t="str">
        <f>I1271&amp;"-"&amp;J1271&amp;"-"&amp;K1271&amp;"-"&amp;L1271&amp;"-"&amp;M1271</f>
        <v>X-2-f-0-7.5</v>
      </c>
      <c r="Q1271">
        <f>A1271+R1271</f>
        <v>1370.8807310000002</v>
      </c>
      <c r="R1271">
        <f>_xlfn.IFNA(VLOOKUP(P1271,PGOPHER!A$2:G$181,7,FALSE),_xlfn.IFNA(VLOOKUP(P1271,en!A$2:I$768,7,FALSE),-10000))</f>
        <v>260.35213099999999</v>
      </c>
      <c r="S1271">
        <f>IF(O1271=O1270,Q1270+S1270,Q1271)</f>
        <v>12337.923173000001</v>
      </c>
      <c r="T1271">
        <f>IF(O1271=O1270,T1270+1,1)</f>
        <v>9</v>
      </c>
      <c r="U1271" t="str">
        <f>IF(O1271=O1272,"",S1271/T1271)</f>
        <v/>
      </c>
      <c r="V1271" t="str">
        <f>IF(U1271="","",IF(ABS(Q1271-U1271)&gt;V$1,"error",""))</f>
        <v/>
      </c>
    </row>
    <row r="1272" spans="1:22" x14ac:dyDescent="0.55000000000000004">
      <c r="A1272">
        <v>1110.5280299999999</v>
      </c>
      <c r="B1272" s="1">
        <v>1E-3</v>
      </c>
      <c r="C1272" s="1">
        <v>1E-3</v>
      </c>
      <c r="D1272" s="2" t="s">
        <v>0</v>
      </c>
      <c r="E1272">
        <v>2</v>
      </c>
      <c r="F1272" s="2" t="s">
        <v>1</v>
      </c>
      <c r="G1272">
        <v>1</v>
      </c>
      <c r="H1272">
        <v>6.5</v>
      </c>
      <c r="I1272" s="2" t="s">
        <v>0</v>
      </c>
      <c r="J1272">
        <v>2</v>
      </c>
      <c r="K1272" s="2" t="s">
        <v>1</v>
      </c>
      <c r="L1272">
        <v>0</v>
      </c>
      <c r="M1272">
        <v>7.5</v>
      </c>
      <c r="N1272" s="2" t="s">
        <v>108</v>
      </c>
      <c r="O1272" t="str">
        <f>D1272&amp;"-"&amp;E1272&amp;"-"&amp;F1272&amp;"-"&amp;G1272&amp;"-"&amp;H1272</f>
        <v>X-2-f-1-6.5</v>
      </c>
      <c r="P1272" t="str">
        <f>I1272&amp;"-"&amp;J1272&amp;"-"&amp;K1272&amp;"-"&amp;L1272&amp;"-"&amp;M1272</f>
        <v>X-2-f-0-7.5</v>
      </c>
      <c r="Q1272">
        <f>A1272+R1272</f>
        <v>1370.880161</v>
      </c>
      <c r="R1272">
        <f>_xlfn.IFNA(VLOOKUP(P1272,PGOPHER!A$2:G$181,7,FALSE),_xlfn.IFNA(VLOOKUP(P1272,en!A$2:I$768,7,FALSE),-10000))</f>
        <v>260.35213099999999</v>
      </c>
      <c r="S1272">
        <f>IF(O1272=O1271,Q1271+S1271,Q1272)</f>
        <v>13708.803904</v>
      </c>
      <c r="T1272">
        <f>IF(O1272=O1271,T1271+1,1)</f>
        <v>10</v>
      </c>
      <c r="U1272">
        <f>IF(O1272=O1273,"",S1272/T1272)</f>
        <v>1370.8803904000001</v>
      </c>
      <c r="V1272" t="str">
        <f>IF(U1272="","",IF(ABS(Q1272-U1272)&gt;V$1,"error",""))</f>
        <v/>
      </c>
    </row>
    <row r="1273" spans="1:22" x14ac:dyDescent="0.55000000000000004">
      <c r="A1273">
        <v>1183.6528000000001</v>
      </c>
      <c r="B1273" s="1">
        <v>1.2E-2</v>
      </c>
      <c r="C1273" s="1">
        <v>1.2E-2</v>
      </c>
      <c r="D1273" s="2" t="s">
        <v>0</v>
      </c>
      <c r="E1273">
        <v>2</v>
      </c>
      <c r="F1273" s="2" t="s">
        <v>1</v>
      </c>
      <c r="G1273">
        <v>2</v>
      </c>
      <c r="H1273">
        <v>6.5</v>
      </c>
      <c r="I1273" s="2" t="s">
        <v>0</v>
      </c>
      <c r="J1273">
        <v>2</v>
      </c>
      <c r="K1273" s="2" t="s">
        <v>1</v>
      </c>
      <c r="L1273">
        <v>1</v>
      </c>
      <c r="M1273">
        <v>5.5</v>
      </c>
      <c r="N1273" s="2" t="s">
        <v>419</v>
      </c>
      <c r="O1273" t="str">
        <f>D1273&amp;"-"&amp;E1273&amp;"-"&amp;F1273&amp;"-"&amp;G1273&amp;"-"&amp;H1273</f>
        <v>X-2-f-2-6.5</v>
      </c>
      <c r="P1273" t="str">
        <f>I1273&amp;"-"&amp;J1273&amp;"-"&amp;K1273&amp;"-"&amp;L1273&amp;"-"&amp;M1273</f>
        <v>X-2-f-1-5.5</v>
      </c>
      <c r="Q1273">
        <f>A1273+R1273</f>
        <v>2505.033919</v>
      </c>
      <c r="R1273">
        <f>_xlfn.IFNA(VLOOKUP(P1273,PGOPHER!A$2:G$181,7,FALSE),_xlfn.IFNA(VLOOKUP(P1273,en!A$2:I$768,7,FALSE),-10000))</f>
        <v>1321.3811189999999</v>
      </c>
      <c r="S1273">
        <f>IF(O1273=O1272,Q1272+S1272,Q1273)</f>
        <v>2505.033919</v>
      </c>
      <c r="T1273">
        <f>IF(O1273=O1272,T1272+1,1)</f>
        <v>1</v>
      </c>
      <c r="U1273" t="str">
        <f>IF(O1273=O1274,"",S1273/T1273)</f>
        <v/>
      </c>
      <c r="V1273" t="str">
        <f>IF(U1273="","",IF(ABS(Q1273-U1273)&gt;V$1,"error",""))</f>
        <v/>
      </c>
    </row>
    <row r="1274" spans="1:22" x14ac:dyDescent="0.55000000000000004">
      <c r="A1274">
        <v>1183.6522</v>
      </c>
      <c r="B1274" s="1">
        <v>1.26E-2</v>
      </c>
      <c r="C1274" s="1">
        <v>1.26E-2</v>
      </c>
      <c r="D1274" s="2" t="s">
        <v>0</v>
      </c>
      <c r="E1274">
        <v>2</v>
      </c>
      <c r="F1274" s="2" t="s">
        <v>1</v>
      </c>
      <c r="G1274">
        <v>2</v>
      </c>
      <c r="H1274">
        <v>6.5</v>
      </c>
      <c r="I1274" s="2" t="s">
        <v>0</v>
      </c>
      <c r="J1274">
        <v>2</v>
      </c>
      <c r="K1274" s="2" t="s">
        <v>1</v>
      </c>
      <c r="L1274">
        <v>1</v>
      </c>
      <c r="M1274">
        <v>5.5</v>
      </c>
      <c r="N1274" s="2" t="s">
        <v>418</v>
      </c>
      <c r="O1274" t="str">
        <f>D1274&amp;"-"&amp;E1274&amp;"-"&amp;F1274&amp;"-"&amp;G1274&amp;"-"&amp;H1274</f>
        <v>X-2-f-2-6.5</v>
      </c>
      <c r="P1274" t="str">
        <f>I1274&amp;"-"&amp;J1274&amp;"-"&amp;K1274&amp;"-"&amp;L1274&amp;"-"&amp;M1274</f>
        <v>X-2-f-1-5.5</v>
      </c>
      <c r="Q1274">
        <f>A1274+R1274</f>
        <v>2505.0333190000001</v>
      </c>
      <c r="R1274">
        <f>_xlfn.IFNA(VLOOKUP(P1274,PGOPHER!A$2:G$181,7,FALSE),_xlfn.IFNA(VLOOKUP(P1274,en!A$2:I$768,7,FALSE),-10000))</f>
        <v>1321.3811189999999</v>
      </c>
      <c r="S1274">
        <f>IF(O1274=O1273,Q1273+S1273,Q1274)</f>
        <v>5010.0678379999999</v>
      </c>
      <c r="T1274">
        <f>IF(O1274=O1273,T1273+1,1)</f>
        <v>2</v>
      </c>
      <c r="U1274" t="str">
        <f>IF(O1274=O1275,"",S1274/T1274)</f>
        <v/>
      </c>
      <c r="V1274" t="str">
        <f>IF(U1274="","",IF(ABS(Q1274-U1274)&gt;V$1,"error",""))</f>
        <v/>
      </c>
    </row>
    <row r="1275" spans="1:22" x14ac:dyDescent="0.55000000000000004">
      <c r="A1275">
        <v>1077.6368</v>
      </c>
      <c r="B1275" s="1">
        <v>1.6899999999999998E-2</v>
      </c>
      <c r="C1275" s="1">
        <v>1.6899999999999998E-2</v>
      </c>
      <c r="D1275" s="2" t="s">
        <v>0</v>
      </c>
      <c r="E1275">
        <v>2</v>
      </c>
      <c r="F1275" s="2" t="s">
        <v>1</v>
      </c>
      <c r="G1275">
        <v>2</v>
      </c>
      <c r="H1275">
        <v>6.5</v>
      </c>
      <c r="I1275" s="2" t="s">
        <v>0</v>
      </c>
      <c r="J1275">
        <v>2</v>
      </c>
      <c r="K1275" s="2" t="s">
        <v>1</v>
      </c>
      <c r="L1275">
        <v>1</v>
      </c>
      <c r="M1275">
        <v>7.5</v>
      </c>
      <c r="N1275" s="2" t="s">
        <v>421</v>
      </c>
      <c r="O1275" t="str">
        <f>D1275&amp;"-"&amp;E1275&amp;"-"&amp;F1275&amp;"-"&amp;G1275&amp;"-"&amp;H1275</f>
        <v>X-2-f-2-6.5</v>
      </c>
      <c r="P1275" t="str">
        <f>I1275&amp;"-"&amp;J1275&amp;"-"&amp;K1275&amp;"-"&amp;L1275&amp;"-"&amp;M1275</f>
        <v>X-2-f-1-7.5</v>
      </c>
      <c r="Q1275">
        <f>A1275+R1275</f>
        <v>2505.033308</v>
      </c>
      <c r="R1275">
        <f>_xlfn.IFNA(VLOOKUP(P1275,PGOPHER!A$2:G$181,7,FALSE),_xlfn.IFNA(VLOOKUP(P1275,en!A$2:I$768,7,FALSE),-10000))</f>
        <v>1427.396508</v>
      </c>
      <c r="S1275">
        <f>IF(O1275=O1274,Q1274+S1274,Q1275)</f>
        <v>7515.1011570000001</v>
      </c>
      <c r="T1275">
        <f>IF(O1275=O1274,T1274+1,1)</f>
        <v>3</v>
      </c>
      <c r="U1275">
        <f>IF(O1275=O1276,"",S1275/T1275)</f>
        <v>2505.033719</v>
      </c>
      <c r="V1275" t="str">
        <f>IF(U1275="","",IF(ABS(Q1275-U1275)&gt;V$1,"error",""))</f>
        <v/>
      </c>
    </row>
    <row r="1276" spans="1:22" x14ac:dyDescent="0.55000000000000004">
      <c r="A1276">
        <v>1044.6668999999999</v>
      </c>
      <c r="B1276" s="1">
        <v>1E-3</v>
      </c>
      <c r="C1276" s="1">
        <v>1E-3</v>
      </c>
      <c r="D1276" s="2" t="s">
        <v>0</v>
      </c>
      <c r="E1276">
        <v>2</v>
      </c>
      <c r="F1276" s="2" t="s">
        <v>1</v>
      </c>
      <c r="G1276">
        <v>3</v>
      </c>
      <c r="H1276">
        <v>6.5</v>
      </c>
      <c r="I1276" s="2" t="s">
        <v>0</v>
      </c>
      <c r="J1276">
        <v>2</v>
      </c>
      <c r="K1276" s="2" t="s">
        <v>1</v>
      </c>
      <c r="L1276">
        <v>2</v>
      </c>
      <c r="M1276">
        <v>7.5</v>
      </c>
      <c r="N1276" s="2" t="s">
        <v>545</v>
      </c>
      <c r="O1276" t="str">
        <f>D1276&amp;"-"&amp;E1276&amp;"-"&amp;F1276&amp;"-"&amp;G1276&amp;"-"&amp;H1276</f>
        <v>X-2-f-3-6.5</v>
      </c>
      <c r="P1276" t="str">
        <f>I1276&amp;"-"&amp;J1276&amp;"-"&amp;K1276&amp;"-"&amp;L1276&amp;"-"&amp;M1276</f>
        <v>X-2-f-2-7.5</v>
      </c>
      <c r="Q1276">
        <f>A1276+R1276</f>
        <v>3604.9292400000004</v>
      </c>
      <c r="R1276">
        <f>_xlfn.IFNA(VLOOKUP(P1276,PGOPHER!A$2:G$181,7,FALSE),_xlfn.IFNA(VLOOKUP(P1276,en!A$2:I$768,7,FALSE),-10000))</f>
        <v>2560.2623400000002</v>
      </c>
      <c r="S1276">
        <f>IF(O1276=O1275,Q1275+S1275,Q1276)</f>
        <v>3604.9292400000004</v>
      </c>
      <c r="T1276">
        <f>IF(O1276=O1275,T1275+1,1)</f>
        <v>1</v>
      </c>
      <c r="U1276" t="str">
        <f>IF(O1276=O1277,"",S1276/T1276)</f>
        <v/>
      </c>
      <c r="V1276" t="str">
        <f>IF(U1276="","",IF(ABS(Q1276-U1276)&gt;V$1,"error",""))</f>
        <v/>
      </c>
    </row>
    <row r="1277" spans="1:22" x14ac:dyDescent="0.55000000000000004">
      <c r="A1277">
        <v>1148.2702999999999</v>
      </c>
      <c r="B1277" s="1">
        <v>7.6699999999999997E-3</v>
      </c>
      <c r="C1277" s="1">
        <v>7.6699999999999997E-3</v>
      </c>
      <c r="D1277" s="2" t="s">
        <v>0</v>
      </c>
      <c r="E1277">
        <v>2</v>
      </c>
      <c r="F1277" s="2" t="s">
        <v>1</v>
      </c>
      <c r="G1277">
        <v>3</v>
      </c>
      <c r="H1277">
        <v>6.5</v>
      </c>
      <c r="I1277" s="2" t="s">
        <v>0</v>
      </c>
      <c r="J1277">
        <v>2</v>
      </c>
      <c r="K1277" s="2" t="s">
        <v>1</v>
      </c>
      <c r="L1277">
        <v>2</v>
      </c>
      <c r="M1277">
        <v>5.5</v>
      </c>
      <c r="N1277" s="2" t="s">
        <v>546</v>
      </c>
      <c r="O1277" t="str">
        <f>D1277&amp;"-"&amp;E1277&amp;"-"&amp;F1277&amp;"-"&amp;G1277&amp;"-"&amp;H1277</f>
        <v>X-2-f-3-6.5</v>
      </c>
      <c r="P1277" t="str">
        <f>I1277&amp;"-"&amp;J1277&amp;"-"&amp;K1277&amp;"-"&amp;L1277&amp;"-"&amp;M1277</f>
        <v>X-2-f-2-5.5</v>
      </c>
      <c r="Q1277">
        <f>A1277+R1277</f>
        <v>3604.9295320000001</v>
      </c>
      <c r="R1277">
        <f>_xlfn.IFNA(VLOOKUP(P1277,PGOPHER!A$2:G$181,7,FALSE),_xlfn.IFNA(VLOOKUP(P1277,en!A$2:I$768,7,FALSE),-10000))</f>
        <v>2456.659232</v>
      </c>
      <c r="S1277">
        <f>IF(O1277=O1276,Q1276+S1276,Q1277)</f>
        <v>7209.8584800000008</v>
      </c>
      <c r="T1277">
        <f>IF(O1277=O1276,T1276+1,1)</f>
        <v>2</v>
      </c>
      <c r="U1277" t="str">
        <f>IF(O1277=O1278,"",S1277/T1277)</f>
        <v/>
      </c>
      <c r="V1277" t="str">
        <f>IF(U1277="","",IF(ABS(Q1277-U1277)&gt;V$1,"error",""))</f>
        <v/>
      </c>
    </row>
    <row r="1278" spans="1:22" x14ac:dyDescent="0.55000000000000004">
      <c r="A1278">
        <v>1148.2675999999999</v>
      </c>
      <c r="B1278" s="1">
        <v>1.06E-2</v>
      </c>
      <c r="C1278" s="1">
        <v>1.06E-2</v>
      </c>
      <c r="D1278" s="2" t="s">
        <v>0</v>
      </c>
      <c r="E1278">
        <v>2</v>
      </c>
      <c r="F1278" s="2" t="s">
        <v>1</v>
      </c>
      <c r="G1278">
        <v>3</v>
      </c>
      <c r="H1278">
        <v>6.5</v>
      </c>
      <c r="I1278" s="2" t="s">
        <v>0</v>
      </c>
      <c r="J1278">
        <v>2</v>
      </c>
      <c r="K1278" s="2" t="s">
        <v>1</v>
      </c>
      <c r="L1278">
        <v>2</v>
      </c>
      <c r="M1278">
        <v>5.5</v>
      </c>
      <c r="N1278" s="2" t="s">
        <v>547</v>
      </c>
      <c r="O1278" t="str">
        <f>D1278&amp;"-"&amp;E1278&amp;"-"&amp;F1278&amp;"-"&amp;G1278&amp;"-"&amp;H1278</f>
        <v>X-2-f-3-6.5</v>
      </c>
      <c r="P1278" t="str">
        <f>I1278&amp;"-"&amp;J1278&amp;"-"&amp;K1278&amp;"-"&amp;L1278&amp;"-"&amp;M1278</f>
        <v>X-2-f-2-5.5</v>
      </c>
      <c r="Q1278">
        <f>A1278+R1278</f>
        <v>3604.9268320000001</v>
      </c>
      <c r="R1278">
        <f>_xlfn.IFNA(VLOOKUP(P1278,PGOPHER!A$2:G$181,7,FALSE),_xlfn.IFNA(VLOOKUP(P1278,en!A$2:I$768,7,FALSE),-10000))</f>
        <v>2456.659232</v>
      </c>
      <c r="S1278">
        <f>IF(O1278=O1277,Q1277+S1277,Q1278)</f>
        <v>10814.788012000001</v>
      </c>
      <c r="T1278">
        <f>IF(O1278=O1277,T1277+1,1)</f>
        <v>3</v>
      </c>
      <c r="U1278">
        <f>IF(O1278=O1279,"",S1278/T1278)</f>
        <v>3604.9293373333335</v>
      </c>
      <c r="V1278" t="str">
        <f>IF(U1278="","",IF(ABS(Q1278-U1278)&gt;V$1,"error",""))</f>
        <v/>
      </c>
    </row>
    <row r="1279" spans="1:22" x14ac:dyDescent="0.55000000000000004">
      <c r="A1279">
        <v>1011.4612</v>
      </c>
      <c r="B1279" s="1">
        <v>1.41E-2</v>
      </c>
      <c r="C1279" s="1">
        <v>1.41E-2</v>
      </c>
      <c r="D1279" s="2" t="s">
        <v>0</v>
      </c>
      <c r="E1279">
        <v>2</v>
      </c>
      <c r="F1279" s="2" t="s">
        <v>1</v>
      </c>
      <c r="G1279">
        <v>4</v>
      </c>
      <c r="H1279">
        <v>6.5</v>
      </c>
      <c r="I1279" s="2" t="s">
        <v>0</v>
      </c>
      <c r="J1279">
        <v>2</v>
      </c>
      <c r="K1279" s="2" t="s">
        <v>1</v>
      </c>
      <c r="L1279">
        <v>3</v>
      </c>
      <c r="M1279">
        <v>7.5</v>
      </c>
      <c r="N1279" s="2" t="s">
        <v>630</v>
      </c>
      <c r="O1279" t="str">
        <f>D1279&amp;"-"&amp;E1279&amp;"-"&amp;F1279&amp;"-"&amp;G1279&amp;"-"&amp;H1279</f>
        <v>X-2-f-4-6.5</v>
      </c>
      <c r="P1279" t="str">
        <f>I1279&amp;"-"&amp;J1279&amp;"-"&amp;K1279&amp;"-"&amp;L1279&amp;"-"&amp;M1279</f>
        <v>X-2-f-3-7.5</v>
      </c>
      <c r="Q1279">
        <f>A1279+R1279</f>
        <v>4670.325981</v>
      </c>
      <c r="R1279">
        <f>_xlfn.IFNA(VLOOKUP(P1279,PGOPHER!A$2:G$181,7,FALSE),_xlfn.IFNA(VLOOKUP(P1279,en!A$2:I$768,7,FALSE),-10000))</f>
        <v>3658.8647810000002</v>
      </c>
      <c r="S1279">
        <f>IF(O1279=O1278,Q1278+S1278,Q1279)</f>
        <v>4670.325981</v>
      </c>
      <c r="T1279">
        <f>IF(O1279=O1278,T1278+1,1)</f>
        <v>1</v>
      </c>
      <c r="U1279" t="str">
        <f>IF(O1279=O1280,"",S1279/T1279)</f>
        <v/>
      </c>
      <c r="V1279" t="str">
        <f>IF(U1279="","",IF(ABS(Q1279-U1279)&gt;V$1,"error",""))</f>
        <v/>
      </c>
    </row>
    <row r="1280" spans="1:22" x14ac:dyDescent="0.55000000000000004">
      <c r="A1280">
        <v>1112.6384</v>
      </c>
      <c r="B1280" s="1">
        <v>1.41E-2</v>
      </c>
      <c r="C1280" s="1">
        <v>1.41E-2</v>
      </c>
      <c r="D1280" s="2" t="s">
        <v>0</v>
      </c>
      <c r="E1280">
        <v>2</v>
      </c>
      <c r="F1280" s="2" t="s">
        <v>1</v>
      </c>
      <c r="G1280">
        <v>4</v>
      </c>
      <c r="H1280">
        <v>6.5</v>
      </c>
      <c r="I1280" s="2" t="s">
        <v>0</v>
      </c>
      <c r="J1280">
        <v>2</v>
      </c>
      <c r="K1280" s="2" t="s">
        <v>1</v>
      </c>
      <c r="L1280">
        <v>3</v>
      </c>
      <c r="M1280">
        <v>5.5</v>
      </c>
      <c r="N1280" s="2" t="s">
        <v>628</v>
      </c>
      <c r="O1280" t="str">
        <f>D1280&amp;"-"&amp;E1280&amp;"-"&amp;F1280&amp;"-"&amp;G1280&amp;"-"&amp;H1280</f>
        <v>X-2-f-4-6.5</v>
      </c>
      <c r="P1280" t="str">
        <f>I1280&amp;"-"&amp;J1280&amp;"-"&amp;K1280&amp;"-"&amp;L1280&amp;"-"&amp;M1280</f>
        <v>X-2-f-3-5.5</v>
      </c>
      <c r="Q1280">
        <f>A1280+R1280</f>
        <v>4670.3269040000005</v>
      </c>
      <c r="R1280">
        <f>_xlfn.IFNA(VLOOKUP(P1280,PGOPHER!A$2:G$181,7,FALSE),_xlfn.IFNA(VLOOKUP(P1280,en!A$2:I$768,7,FALSE),-10000))</f>
        <v>3557.6885040000002</v>
      </c>
      <c r="S1280">
        <f>IF(O1280=O1279,Q1279+S1279,Q1280)</f>
        <v>9340.6519619999999</v>
      </c>
      <c r="T1280">
        <f>IF(O1280=O1279,T1279+1,1)</f>
        <v>2</v>
      </c>
      <c r="U1280">
        <f>IF(O1280=O1281,"",S1280/T1280)</f>
        <v>4670.325981</v>
      </c>
      <c r="V1280" t="str">
        <f>IF(U1280="","",IF(ABS(Q1280-U1280)&gt;V$1,"error",""))</f>
        <v/>
      </c>
    </row>
    <row r="1281" spans="1:22" x14ac:dyDescent="0.55000000000000004">
      <c r="A1281">
        <v>1219.0386599999999</v>
      </c>
      <c r="B1281" s="1">
        <v>1E-3</v>
      </c>
      <c r="C1281" s="1">
        <v>1E-3</v>
      </c>
      <c r="D1281" s="2" t="s">
        <v>0</v>
      </c>
      <c r="E1281">
        <v>1</v>
      </c>
      <c r="F1281" s="2" t="s">
        <v>2</v>
      </c>
      <c r="G1281">
        <v>1</v>
      </c>
      <c r="H1281">
        <v>7.5</v>
      </c>
      <c r="I1281" s="2" t="s">
        <v>0</v>
      </c>
      <c r="J1281">
        <v>1</v>
      </c>
      <c r="K1281" s="2" t="s">
        <v>2</v>
      </c>
      <c r="L1281">
        <v>0</v>
      </c>
      <c r="M1281">
        <v>6.5</v>
      </c>
      <c r="N1281" s="2" t="s">
        <v>129</v>
      </c>
      <c r="O1281" t="str">
        <f>D1281&amp;"-"&amp;E1281&amp;"-"&amp;F1281&amp;"-"&amp;G1281&amp;"-"&amp;H1281</f>
        <v>X-1-e-1-7.5</v>
      </c>
      <c r="P1281" t="str">
        <f>I1281&amp;"-"&amp;J1281&amp;"-"&amp;K1281&amp;"-"&amp;L1281&amp;"-"&amp;M1281</f>
        <v>X-1-e-0-6.5</v>
      </c>
      <c r="Q1281">
        <f>A1281+R1281</f>
        <v>1371.774287</v>
      </c>
      <c r="R1281">
        <f>_xlfn.IFNA(VLOOKUP(P1281,PGOPHER!A$2:G$181,7,FALSE),_xlfn.IFNA(VLOOKUP(P1281,en!A$2:I$768,7,FALSE),-10000))</f>
        <v>152.73562699999999</v>
      </c>
      <c r="S1281">
        <f>IF(O1281=O1280,Q1280+S1280,Q1281)</f>
        <v>1371.774287</v>
      </c>
      <c r="T1281">
        <f>IF(O1281=O1280,T1280+1,1)</f>
        <v>1</v>
      </c>
      <c r="U1281" t="str">
        <f>IF(O1281=O1282,"",S1281/T1281)</f>
        <v/>
      </c>
      <c r="V1281" t="str">
        <f>IF(U1281="","",IF(ABS(Q1281-U1281)&gt;V$1,"error",""))</f>
        <v/>
      </c>
    </row>
    <row r="1282" spans="1:22" x14ac:dyDescent="0.55000000000000004">
      <c r="A1282">
        <v>1219.0383999999999</v>
      </c>
      <c r="B1282" s="1">
        <v>1E-3</v>
      </c>
      <c r="C1282" s="1">
        <v>1E-3</v>
      </c>
      <c r="D1282" s="2" t="s">
        <v>0</v>
      </c>
      <c r="E1282">
        <v>1</v>
      </c>
      <c r="F1282" s="2" t="s">
        <v>2</v>
      </c>
      <c r="G1282">
        <v>1</v>
      </c>
      <c r="H1282">
        <v>7.5</v>
      </c>
      <c r="I1282" s="2" t="s">
        <v>0</v>
      </c>
      <c r="J1282">
        <v>1</v>
      </c>
      <c r="K1282" s="2" t="s">
        <v>2</v>
      </c>
      <c r="L1282">
        <v>0</v>
      </c>
      <c r="M1282">
        <v>6.5</v>
      </c>
      <c r="N1282" s="2" t="s">
        <v>133</v>
      </c>
      <c r="O1282" t="str">
        <f>D1282&amp;"-"&amp;E1282&amp;"-"&amp;F1282&amp;"-"&amp;G1282&amp;"-"&amp;H1282</f>
        <v>X-1-e-1-7.5</v>
      </c>
      <c r="P1282" t="str">
        <f>I1282&amp;"-"&amp;J1282&amp;"-"&amp;K1282&amp;"-"&amp;L1282&amp;"-"&amp;M1282</f>
        <v>X-1-e-0-6.5</v>
      </c>
      <c r="Q1282">
        <f>A1282+R1282</f>
        <v>1371.7740269999999</v>
      </c>
      <c r="R1282">
        <f>_xlfn.IFNA(VLOOKUP(P1282,PGOPHER!A$2:G$181,7,FALSE),_xlfn.IFNA(VLOOKUP(P1282,en!A$2:I$768,7,FALSE),-10000))</f>
        <v>152.73562699999999</v>
      </c>
      <c r="S1282">
        <f>IF(O1282=O1281,Q1281+S1281,Q1282)</f>
        <v>2743.5485739999999</v>
      </c>
      <c r="T1282">
        <f>IF(O1282=O1281,T1281+1,1)</f>
        <v>2</v>
      </c>
      <c r="U1282" t="str">
        <f>IF(O1282=O1283,"",S1282/T1282)</f>
        <v/>
      </c>
      <c r="V1282" t="str">
        <f>IF(U1282="","",IF(ABS(Q1282-U1282)&gt;V$1,"error",""))</f>
        <v/>
      </c>
    </row>
    <row r="1283" spans="1:22" x14ac:dyDescent="0.55000000000000004">
      <c r="A1283">
        <v>1219.03719</v>
      </c>
      <c r="B1283" s="1">
        <v>1.5E-3</v>
      </c>
      <c r="C1283" s="1">
        <v>1.5E-3</v>
      </c>
      <c r="D1283" s="2" t="s">
        <v>0</v>
      </c>
      <c r="E1283">
        <v>1</v>
      </c>
      <c r="F1283" s="2" t="s">
        <v>2</v>
      </c>
      <c r="G1283">
        <v>1</v>
      </c>
      <c r="H1283">
        <v>7.5</v>
      </c>
      <c r="I1283" s="2" t="s">
        <v>0</v>
      </c>
      <c r="J1283">
        <v>1</v>
      </c>
      <c r="K1283" s="2" t="s">
        <v>2</v>
      </c>
      <c r="L1283">
        <v>0</v>
      </c>
      <c r="M1283">
        <v>6.5</v>
      </c>
      <c r="N1283" s="2" t="s">
        <v>126</v>
      </c>
      <c r="O1283" t="str">
        <f>D1283&amp;"-"&amp;E1283&amp;"-"&amp;F1283&amp;"-"&amp;G1283&amp;"-"&amp;H1283</f>
        <v>X-1-e-1-7.5</v>
      </c>
      <c r="P1283" t="str">
        <f>I1283&amp;"-"&amp;J1283&amp;"-"&amp;K1283&amp;"-"&amp;L1283&amp;"-"&amp;M1283</f>
        <v>X-1-e-0-6.5</v>
      </c>
      <c r="Q1283">
        <f>A1283+R1283</f>
        <v>1371.772817</v>
      </c>
      <c r="R1283">
        <f>_xlfn.IFNA(VLOOKUP(P1283,PGOPHER!A$2:G$181,7,FALSE),_xlfn.IFNA(VLOOKUP(P1283,en!A$2:I$768,7,FALSE),-10000))</f>
        <v>152.73562699999999</v>
      </c>
      <c r="S1283">
        <f>IF(O1283=O1282,Q1282+S1282,Q1283)</f>
        <v>4115.3226009999998</v>
      </c>
      <c r="T1283">
        <f>IF(O1283=O1282,T1282+1,1)</f>
        <v>3</v>
      </c>
      <c r="U1283" t="str">
        <f>IF(O1283=O1284,"",S1283/T1283)</f>
        <v/>
      </c>
      <c r="V1283" t="str">
        <f>IF(U1283="","",IF(ABS(Q1283-U1283)&gt;V$1,"error",""))</f>
        <v/>
      </c>
    </row>
    <row r="1284" spans="1:22" x14ac:dyDescent="0.55000000000000004">
      <c r="A1284">
        <v>1110.3761999999999</v>
      </c>
      <c r="B1284" s="1">
        <v>1E-3</v>
      </c>
      <c r="C1284" s="1">
        <v>1E-3</v>
      </c>
      <c r="D1284" s="2" t="s">
        <v>0</v>
      </c>
      <c r="E1284">
        <v>1</v>
      </c>
      <c r="F1284" s="2" t="s">
        <v>2</v>
      </c>
      <c r="G1284">
        <v>1</v>
      </c>
      <c r="H1284">
        <v>7.5</v>
      </c>
      <c r="I1284" s="2" t="s">
        <v>0</v>
      </c>
      <c r="J1284">
        <v>1</v>
      </c>
      <c r="K1284" s="2" t="s">
        <v>2</v>
      </c>
      <c r="L1284">
        <v>0</v>
      </c>
      <c r="M1284">
        <v>8.5</v>
      </c>
      <c r="N1284" s="2" t="s">
        <v>121</v>
      </c>
      <c r="O1284" t="str">
        <f>D1284&amp;"-"&amp;E1284&amp;"-"&amp;F1284&amp;"-"&amp;G1284&amp;"-"&amp;H1284</f>
        <v>X-1-e-1-7.5</v>
      </c>
      <c r="P1284" t="str">
        <f>I1284&amp;"-"&amp;J1284&amp;"-"&amp;K1284&amp;"-"&amp;L1284&amp;"-"&amp;M1284</f>
        <v>X-1-e-0-8.5</v>
      </c>
      <c r="Q1284">
        <f>A1284+R1284</f>
        <v>1371.774257</v>
      </c>
      <c r="R1284">
        <f>_xlfn.IFNA(VLOOKUP(P1284,PGOPHER!A$2:G$181,7,FALSE),_xlfn.IFNA(VLOOKUP(P1284,en!A$2:I$768,7,FALSE),-10000))</f>
        <v>261.39805699999999</v>
      </c>
      <c r="S1284">
        <f>IF(O1284=O1283,Q1283+S1283,Q1284)</f>
        <v>5487.0954179999999</v>
      </c>
      <c r="T1284">
        <f>IF(O1284=O1283,T1283+1,1)</f>
        <v>4</v>
      </c>
      <c r="U1284" t="str">
        <f>IF(O1284=O1285,"",S1284/T1284)</f>
        <v/>
      </c>
      <c r="V1284" t="str">
        <f>IF(U1284="","",IF(ABS(Q1284-U1284)&gt;V$1,"error",""))</f>
        <v/>
      </c>
    </row>
    <row r="1285" spans="1:22" x14ac:dyDescent="0.55000000000000004">
      <c r="A1285">
        <v>1110.3762999999999</v>
      </c>
      <c r="B1285" s="1">
        <v>1E-3</v>
      </c>
      <c r="C1285" s="1">
        <v>1E-3</v>
      </c>
      <c r="D1285" s="2" t="s">
        <v>0</v>
      </c>
      <c r="E1285">
        <v>1</v>
      </c>
      <c r="F1285" s="2" t="s">
        <v>2</v>
      </c>
      <c r="G1285">
        <v>1</v>
      </c>
      <c r="H1285">
        <v>7.5</v>
      </c>
      <c r="I1285" s="2" t="s">
        <v>0</v>
      </c>
      <c r="J1285">
        <v>1</v>
      </c>
      <c r="K1285" s="2" t="s">
        <v>2</v>
      </c>
      <c r="L1285">
        <v>0</v>
      </c>
      <c r="M1285">
        <v>8.5</v>
      </c>
      <c r="N1285" s="2" t="s">
        <v>123</v>
      </c>
      <c r="O1285" t="str">
        <f>D1285&amp;"-"&amp;E1285&amp;"-"&amp;F1285&amp;"-"&amp;G1285&amp;"-"&amp;H1285</f>
        <v>X-1-e-1-7.5</v>
      </c>
      <c r="P1285" t="str">
        <f>I1285&amp;"-"&amp;J1285&amp;"-"&amp;K1285&amp;"-"&amp;L1285&amp;"-"&amp;M1285</f>
        <v>X-1-e-0-8.5</v>
      </c>
      <c r="Q1285">
        <f>A1285+R1285</f>
        <v>1371.7743569999998</v>
      </c>
      <c r="R1285">
        <f>_xlfn.IFNA(VLOOKUP(P1285,PGOPHER!A$2:G$181,7,FALSE),_xlfn.IFNA(VLOOKUP(P1285,en!A$2:I$768,7,FALSE),-10000))</f>
        <v>261.39805699999999</v>
      </c>
      <c r="S1285">
        <f>IF(O1285=O1284,Q1284+S1284,Q1285)</f>
        <v>6858.8696749999999</v>
      </c>
      <c r="T1285">
        <f>IF(O1285=O1284,T1284+1,1)</f>
        <v>5</v>
      </c>
      <c r="U1285" t="str">
        <f>IF(O1285=O1286,"",S1285/T1285)</f>
        <v/>
      </c>
      <c r="V1285" t="str">
        <f>IF(U1285="","",IF(ABS(Q1285-U1285)&gt;V$1,"error",""))</f>
        <v/>
      </c>
    </row>
    <row r="1286" spans="1:22" x14ac:dyDescent="0.55000000000000004">
      <c r="A1286">
        <v>1110.3762999999999</v>
      </c>
      <c r="B1286" s="1">
        <v>1E-3</v>
      </c>
      <c r="C1286" s="1">
        <v>1E-3</v>
      </c>
      <c r="D1286" s="2" t="s">
        <v>0</v>
      </c>
      <c r="E1286">
        <v>1</v>
      </c>
      <c r="F1286" s="2" t="s">
        <v>2</v>
      </c>
      <c r="G1286">
        <v>1</v>
      </c>
      <c r="H1286">
        <v>7.5</v>
      </c>
      <c r="I1286" s="2" t="s">
        <v>0</v>
      </c>
      <c r="J1286">
        <v>1</v>
      </c>
      <c r="K1286" s="2" t="s">
        <v>2</v>
      </c>
      <c r="L1286">
        <v>0</v>
      </c>
      <c r="M1286">
        <v>8.5</v>
      </c>
      <c r="N1286" s="2" t="s">
        <v>134</v>
      </c>
      <c r="O1286" t="str">
        <f>D1286&amp;"-"&amp;E1286&amp;"-"&amp;F1286&amp;"-"&amp;G1286&amp;"-"&amp;H1286</f>
        <v>X-1-e-1-7.5</v>
      </c>
      <c r="P1286" t="str">
        <f>I1286&amp;"-"&amp;J1286&amp;"-"&amp;K1286&amp;"-"&amp;L1286&amp;"-"&amp;M1286</f>
        <v>X-1-e-0-8.5</v>
      </c>
      <c r="Q1286">
        <f>A1286+R1286</f>
        <v>1371.7743569999998</v>
      </c>
      <c r="R1286">
        <f>_xlfn.IFNA(VLOOKUP(P1286,PGOPHER!A$2:G$181,7,FALSE),_xlfn.IFNA(VLOOKUP(P1286,en!A$2:I$768,7,FALSE),-10000))</f>
        <v>261.39805699999999</v>
      </c>
      <c r="S1286">
        <f>IF(O1286=O1285,Q1285+S1285,Q1286)</f>
        <v>8230.6440320000002</v>
      </c>
      <c r="T1286">
        <f>IF(O1286=O1285,T1285+1,1)</f>
        <v>6</v>
      </c>
      <c r="U1286" t="str">
        <f>IF(O1286=O1287,"",S1286/T1286)</f>
        <v/>
      </c>
      <c r="V1286" t="str">
        <f>IF(U1286="","",IF(ABS(Q1286-U1286)&gt;V$1,"error",""))</f>
        <v/>
      </c>
    </row>
    <row r="1287" spans="1:22" x14ac:dyDescent="0.55000000000000004">
      <c r="A1287">
        <v>1110.37616</v>
      </c>
      <c r="B1287" s="1">
        <v>1E-3</v>
      </c>
      <c r="C1287" s="1">
        <v>1E-3</v>
      </c>
      <c r="D1287" s="2" t="s">
        <v>0</v>
      </c>
      <c r="E1287">
        <v>1</v>
      </c>
      <c r="F1287" s="2" t="s">
        <v>2</v>
      </c>
      <c r="G1287">
        <v>1</v>
      </c>
      <c r="H1287">
        <v>7.5</v>
      </c>
      <c r="I1287" s="2" t="s">
        <v>0</v>
      </c>
      <c r="J1287">
        <v>1</v>
      </c>
      <c r="K1287" s="2" t="s">
        <v>2</v>
      </c>
      <c r="L1287">
        <v>0</v>
      </c>
      <c r="M1287">
        <v>8.5</v>
      </c>
      <c r="N1287" s="2" t="s">
        <v>130</v>
      </c>
      <c r="O1287" t="str">
        <f>D1287&amp;"-"&amp;E1287&amp;"-"&amp;F1287&amp;"-"&amp;G1287&amp;"-"&amp;H1287</f>
        <v>X-1-e-1-7.5</v>
      </c>
      <c r="P1287" t="str">
        <f>I1287&amp;"-"&amp;J1287&amp;"-"&amp;K1287&amp;"-"&amp;L1287&amp;"-"&amp;M1287</f>
        <v>X-1-e-0-8.5</v>
      </c>
      <c r="Q1287">
        <f>A1287+R1287</f>
        <v>1371.7742170000001</v>
      </c>
      <c r="R1287">
        <f>_xlfn.IFNA(VLOOKUP(P1287,PGOPHER!A$2:G$181,7,FALSE),_xlfn.IFNA(VLOOKUP(P1287,en!A$2:I$768,7,FALSE),-10000))</f>
        <v>261.39805699999999</v>
      </c>
      <c r="S1287">
        <f>IF(O1287=O1286,Q1286+S1286,Q1287)</f>
        <v>9602.4183890000004</v>
      </c>
      <c r="T1287">
        <f>IF(O1287=O1286,T1286+1,1)</f>
        <v>7</v>
      </c>
      <c r="U1287" t="str">
        <f>IF(O1287=O1288,"",S1287/T1287)</f>
        <v/>
      </c>
      <c r="V1287" t="str">
        <f>IF(U1287="","",IF(ABS(Q1287-U1287)&gt;V$1,"error",""))</f>
        <v/>
      </c>
    </row>
    <row r="1288" spans="1:22" x14ac:dyDescent="0.55000000000000004">
      <c r="A1288">
        <v>1219.0383999999999</v>
      </c>
      <c r="B1288" s="1">
        <v>1E-3</v>
      </c>
      <c r="C1288" s="1">
        <v>1E-3</v>
      </c>
      <c r="D1288" s="2" t="s">
        <v>0</v>
      </c>
      <c r="E1288">
        <v>1</v>
      </c>
      <c r="F1288" s="2" t="s">
        <v>2</v>
      </c>
      <c r="G1288">
        <v>1</v>
      </c>
      <c r="H1288">
        <v>7.5</v>
      </c>
      <c r="I1288" s="2" t="s">
        <v>0</v>
      </c>
      <c r="J1288">
        <v>1</v>
      </c>
      <c r="K1288" s="2" t="s">
        <v>2</v>
      </c>
      <c r="L1288">
        <v>0</v>
      </c>
      <c r="M1288">
        <v>6.5</v>
      </c>
      <c r="N1288" s="2" t="s">
        <v>119</v>
      </c>
      <c r="O1288" t="str">
        <f>D1288&amp;"-"&amp;E1288&amp;"-"&amp;F1288&amp;"-"&amp;G1288&amp;"-"&amp;H1288</f>
        <v>X-1-e-1-7.5</v>
      </c>
      <c r="P1288" t="str">
        <f>I1288&amp;"-"&amp;J1288&amp;"-"&amp;K1288&amp;"-"&amp;L1288&amp;"-"&amp;M1288</f>
        <v>X-1-e-0-6.5</v>
      </c>
      <c r="Q1288">
        <f>A1288+R1288</f>
        <v>1371.7740269999999</v>
      </c>
      <c r="R1288">
        <f>_xlfn.IFNA(VLOOKUP(P1288,PGOPHER!A$2:G$181,7,FALSE),_xlfn.IFNA(VLOOKUP(P1288,en!A$2:I$768,7,FALSE),-10000))</f>
        <v>152.73562699999999</v>
      </c>
      <c r="S1288">
        <f>IF(O1288=O1287,Q1287+S1287,Q1288)</f>
        <v>10974.192606000001</v>
      </c>
      <c r="T1288">
        <f>IF(O1288=O1287,T1287+1,1)</f>
        <v>8</v>
      </c>
      <c r="U1288" t="str">
        <f>IF(O1288=O1289,"",S1288/T1288)</f>
        <v/>
      </c>
      <c r="V1288" t="str">
        <f>IF(U1288="","",IF(ABS(Q1288-U1288)&gt;V$1,"error",""))</f>
        <v/>
      </c>
    </row>
    <row r="1289" spans="1:22" x14ac:dyDescent="0.55000000000000004">
      <c r="A1289">
        <v>1219.0387000000001</v>
      </c>
      <c r="B1289" s="1">
        <v>1E-3</v>
      </c>
      <c r="C1289" s="1">
        <v>1E-3</v>
      </c>
      <c r="D1289" s="2" t="s">
        <v>0</v>
      </c>
      <c r="E1289">
        <v>1</v>
      </c>
      <c r="F1289" s="2" t="s">
        <v>2</v>
      </c>
      <c r="G1289">
        <v>1</v>
      </c>
      <c r="H1289">
        <v>7.5</v>
      </c>
      <c r="I1289" s="2" t="s">
        <v>0</v>
      </c>
      <c r="J1289">
        <v>1</v>
      </c>
      <c r="K1289" s="2" t="s">
        <v>2</v>
      </c>
      <c r="L1289">
        <v>0</v>
      </c>
      <c r="M1289">
        <v>6.5</v>
      </c>
      <c r="N1289" s="2" t="s">
        <v>118</v>
      </c>
      <c r="O1289" t="str">
        <f>D1289&amp;"-"&amp;E1289&amp;"-"&amp;F1289&amp;"-"&amp;G1289&amp;"-"&amp;H1289</f>
        <v>X-1-e-1-7.5</v>
      </c>
      <c r="P1289" t="str">
        <f>I1289&amp;"-"&amp;J1289&amp;"-"&amp;K1289&amp;"-"&amp;L1289&amp;"-"&amp;M1289</f>
        <v>X-1-e-0-6.5</v>
      </c>
      <c r="Q1289">
        <f>A1289+R1289</f>
        <v>1371.7743270000001</v>
      </c>
      <c r="R1289">
        <f>_xlfn.IFNA(VLOOKUP(P1289,PGOPHER!A$2:G$181,7,FALSE),_xlfn.IFNA(VLOOKUP(P1289,en!A$2:I$768,7,FALSE),-10000))</f>
        <v>152.73562699999999</v>
      </c>
      <c r="S1289">
        <f>IF(O1289=O1288,Q1288+S1288,Q1289)</f>
        <v>12345.966633</v>
      </c>
      <c r="T1289">
        <f>IF(O1289=O1288,T1288+1,1)</f>
        <v>9</v>
      </c>
      <c r="U1289" t="str">
        <f>IF(O1289=O1290,"",S1289/T1289)</f>
        <v/>
      </c>
      <c r="V1289" t="str">
        <f>IF(U1289="","",IF(ABS(Q1289-U1289)&gt;V$1,"error",""))</f>
        <v/>
      </c>
    </row>
    <row r="1290" spans="1:22" x14ac:dyDescent="0.55000000000000004">
      <c r="A1290">
        <v>1110.3755200000001</v>
      </c>
      <c r="B1290" s="1">
        <v>1E-3</v>
      </c>
      <c r="C1290" s="1">
        <v>1E-3</v>
      </c>
      <c r="D1290" s="2" t="s">
        <v>0</v>
      </c>
      <c r="E1290">
        <v>1</v>
      </c>
      <c r="F1290" s="2" t="s">
        <v>2</v>
      </c>
      <c r="G1290">
        <v>1</v>
      </c>
      <c r="H1290">
        <v>7.5</v>
      </c>
      <c r="I1290" s="2" t="s">
        <v>0</v>
      </c>
      <c r="J1290">
        <v>1</v>
      </c>
      <c r="K1290" s="2" t="s">
        <v>2</v>
      </c>
      <c r="L1290">
        <v>0</v>
      </c>
      <c r="M1290">
        <v>8.5</v>
      </c>
      <c r="N1290" s="2" t="s">
        <v>125</v>
      </c>
      <c r="O1290" t="str">
        <f>D1290&amp;"-"&amp;E1290&amp;"-"&amp;F1290&amp;"-"&amp;G1290&amp;"-"&amp;H1290</f>
        <v>X-1-e-1-7.5</v>
      </c>
      <c r="P1290" t="str">
        <f>I1290&amp;"-"&amp;J1290&amp;"-"&amp;K1290&amp;"-"&amp;L1290&amp;"-"&amp;M1290</f>
        <v>X-1-e-0-8.5</v>
      </c>
      <c r="Q1290">
        <f>A1290+R1290</f>
        <v>1371.7735769999999</v>
      </c>
      <c r="R1290">
        <f>_xlfn.IFNA(VLOOKUP(P1290,PGOPHER!A$2:G$181,7,FALSE),_xlfn.IFNA(VLOOKUP(P1290,en!A$2:I$768,7,FALSE),-10000))</f>
        <v>261.39805699999999</v>
      </c>
      <c r="S1290">
        <f>IF(O1290=O1289,Q1289+S1289,Q1290)</f>
        <v>13717.740959999999</v>
      </c>
      <c r="T1290">
        <f>IF(O1290=O1289,T1289+1,1)</f>
        <v>10</v>
      </c>
      <c r="U1290">
        <f>IF(O1290=O1291,"",S1290/T1290)</f>
        <v>1371.7740959999999</v>
      </c>
      <c r="V1290" t="str">
        <f>IF(U1290="","",IF(ABS(Q1290-U1290)&gt;V$1,"error",""))</f>
        <v/>
      </c>
    </row>
    <row r="1291" spans="1:22" x14ac:dyDescent="0.55000000000000004">
      <c r="A1291">
        <v>1183.7407000000001</v>
      </c>
      <c r="B1291" s="1">
        <v>1.15E-2</v>
      </c>
      <c r="C1291" s="1">
        <v>1.15E-2</v>
      </c>
      <c r="D1291" s="2" t="s">
        <v>0</v>
      </c>
      <c r="E1291">
        <v>1</v>
      </c>
      <c r="F1291" s="2" t="s">
        <v>2</v>
      </c>
      <c r="G1291">
        <v>2</v>
      </c>
      <c r="H1291">
        <v>7.5</v>
      </c>
      <c r="I1291" s="2" t="s">
        <v>0</v>
      </c>
      <c r="J1291">
        <v>1</v>
      </c>
      <c r="K1291" s="2" t="s">
        <v>2</v>
      </c>
      <c r="L1291">
        <v>1</v>
      </c>
      <c r="M1291">
        <v>6.5</v>
      </c>
      <c r="N1291" s="2" t="s">
        <v>423</v>
      </c>
      <c r="O1291" t="str">
        <f>D1291&amp;"-"&amp;E1291&amp;"-"&amp;F1291&amp;"-"&amp;G1291&amp;"-"&amp;H1291</f>
        <v>X-1-e-2-7.5</v>
      </c>
      <c r="P1291" t="str">
        <f>I1291&amp;"-"&amp;J1291&amp;"-"&amp;K1291&amp;"-"&amp;L1291&amp;"-"&amp;M1291</f>
        <v>X-1-e-1-6.5</v>
      </c>
      <c r="Q1291">
        <f>A1291+R1291</f>
        <v>2505.8965170000001</v>
      </c>
      <c r="R1291">
        <f>_xlfn.IFNA(VLOOKUP(P1291,PGOPHER!A$2:G$181,7,FALSE),_xlfn.IFNA(VLOOKUP(P1291,en!A$2:I$768,7,FALSE),-10000))</f>
        <v>1322.1558170000001</v>
      </c>
      <c r="S1291">
        <f>IF(O1291=O1290,Q1290+S1290,Q1291)</f>
        <v>2505.8965170000001</v>
      </c>
      <c r="T1291">
        <f>IF(O1291=O1290,T1290+1,1)</f>
        <v>1</v>
      </c>
      <c r="U1291" t="str">
        <f>IF(O1291=O1292,"",S1291/T1291)</f>
        <v/>
      </c>
      <c r="V1291" t="str">
        <f>IF(U1291="","",IF(ABS(Q1291-U1291)&gt;V$1,"error",""))</f>
        <v/>
      </c>
    </row>
    <row r="1292" spans="1:22" x14ac:dyDescent="0.55000000000000004">
      <c r="A1292">
        <v>1183.7406000000001</v>
      </c>
      <c r="B1292" s="1">
        <v>1.14E-2</v>
      </c>
      <c r="C1292" s="1">
        <v>1.14E-2</v>
      </c>
      <c r="D1292" s="2" t="s">
        <v>0</v>
      </c>
      <c r="E1292">
        <v>1</v>
      </c>
      <c r="F1292" s="2" t="s">
        <v>2</v>
      </c>
      <c r="G1292">
        <v>2</v>
      </c>
      <c r="H1292">
        <v>7.5</v>
      </c>
      <c r="I1292" s="2" t="s">
        <v>0</v>
      </c>
      <c r="J1292">
        <v>1</v>
      </c>
      <c r="K1292" s="2" t="s">
        <v>2</v>
      </c>
      <c r="L1292">
        <v>1</v>
      </c>
      <c r="M1292">
        <v>6.5</v>
      </c>
      <c r="N1292" s="2" t="s">
        <v>422</v>
      </c>
      <c r="O1292" t="str">
        <f>D1292&amp;"-"&amp;E1292&amp;"-"&amp;F1292&amp;"-"&amp;G1292&amp;"-"&amp;H1292</f>
        <v>X-1-e-2-7.5</v>
      </c>
      <c r="P1292" t="str">
        <f>I1292&amp;"-"&amp;J1292&amp;"-"&amp;K1292&amp;"-"&amp;L1292&amp;"-"&amp;M1292</f>
        <v>X-1-e-1-6.5</v>
      </c>
      <c r="Q1292">
        <f>A1292+R1292</f>
        <v>2505.8964169999999</v>
      </c>
      <c r="R1292">
        <f>_xlfn.IFNA(VLOOKUP(P1292,PGOPHER!A$2:G$181,7,FALSE),_xlfn.IFNA(VLOOKUP(P1292,en!A$2:I$768,7,FALSE),-10000))</f>
        <v>1322.1558170000001</v>
      </c>
      <c r="S1292">
        <f>IF(O1292=O1291,Q1291+S1291,Q1292)</f>
        <v>5011.7930340000003</v>
      </c>
      <c r="T1292">
        <f>IF(O1292=O1291,T1291+1,1)</f>
        <v>2</v>
      </c>
      <c r="U1292" t="str">
        <f>IF(O1292=O1293,"",S1292/T1292)</f>
        <v/>
      </c>
      <c r="V1292" t="str">
        <f>IF(U1292="","",IF(ABS(Q1292-U1292)&gt;V$1,"error",""))</f>
        <v/>
      </c>
    </row>
    <row r="1293" spans="1:22" x14ac:dyDescent="0.55000000000000004">
      <c r="A1293">
        <v>1077.4889000000001</v>
      </c>
      <c r="B1293" s="1">
        <v>1.8200000000000001E-2</v>
      </c>
      <c r="C1293" s="1">
        <v>1.8200000000000001E-2</v>
      </c>
      <c r="D1293" s="2" t="s">
        <v>0</v>
      </c>
      <c r="E1293">
        <v>1</v>
      </c>
      <c r="F1293" s="2" t="s">
        <v>2</v>
      </c>
      <c r="G1293">
        <v>2</v>
      </c>
      <c r="H1293">
        <v>7.5</v>
      </c>
      <c r="I1293" s="2" t="s">
        <v>0</v>
      </c>
      <c r="J1293">
        <v>1</v>
      </c>
      <c r="K1293" s="2" t="s">
        <v>2</v>
      </c>
      <c r="L1293">
        <v>1</v>
      </c>
      <c r="M1293">
        <v>8.5</v>
      </c>
      <c r="N1293" s="2" t="s">
        <v>425</v>
      </c>
      <c r="O1293" t="str">
        <f>D1293&amp;"-"&amp;E1293&amp;"-"&amp;F1293&amp;"-"&amp;G1293&amp;"-"&amp;H1293</f>
        <v>X-1-e-2-7.5</v>
      </c>
      <c r="P1293" t="str">
        <f>I1293&amp;"-"&amp;J1293&amp;"-"&amp;K1293&amp;"-"&amp;L1293&amp;"-"&amp;M1293</f>
        <v>X-1-e-1-8.5</v>
      </c>
      <c r="Q1293">
        <f>A1293+R1293</f>
        <v>2505.8965560000001</v>
      </c>
      <c r="R1293">
        <f>_xlfn.IFNA(VLOOKUP(P1293,PGOPHER!A$2:G$181,7,FALSE),_xlfn.IFNA(VLOOKUP(P1293,en!A$2:I$768,7,FALSE),-10000))</f>
        <v>1428.4076560000001</v>
      </c>
      <c r="S1293">
        <f>IF(O1293=O1292,Q1292+S1292,Q1293)</f>
        <v>7517.6894510000002</v>
      </c>
      <c r="T1293">
        <f>IF(O1293=O1292,T1292+1,1)</f>
        <v>3</v>
      </c>
      <c r="U1293">
        <f>IF(O1293=O1294,"",S1293/T1293)</f>
        <v>2505.8964836666669</v>
      </c>
      <c r="V1293" t="str">
        <f>IF(U1293="","",IF(ABS(Q1293-U1293)&gt;V$1,"error",""))</f>
        <v/>
      </c>
    </row>
    <row r="1294" spans="1:22" x14ac:dyDescent="0.55000000000000004">
      <c r="A1294">
        <v>1148.3534999999999</v>
      </c>
      <c r="B1294" s="1">
        <v>1E-3</v>
      </c>
      <c r="C1294" s="1">
        <v>1E-3</v>
      </c>
      <c r="D1294" s="2" t="s">
        <v>0</v>
      </c>
      <c r="E1294">
        <v>1</v>
      </c>
      <c r="F1294" s="2" t="s">
        <v>2</v>
      </c>
      <c r="G1294">
        <v>3</v>
      </c>
      <c r="H1294">
        <v>7.5</v>
      </c>
      <c r="I1294" s="2" t="s">
        <v>0</v>
      </c>
      <c r="J1294">
        <v>1</v>
      </c>
      <c r="K1294" s="2" t="s">
        <v>2</v>
      </c>
      <c r="L1294">
        <v>2</v>
      </c>
      <c r="M1294">
        <v>6.5</v>
      </c>
      <c r="N1294" s="2" t="s">
        <v>550</v>
      </c>
      <c r="O1294" t="str">
        <f>D1294&amp;"-"&amp;E1294&amp;"-"&amp;F1294&amp;"-"&amp;G1294&amp;"-"&amp;H1294</f>
        <v>X-1-e-3-7.5</v>
      </c>
      <c r="P1294" t="str">
        <f>I1294&amp;"-"&amp;J1294&amp;"-"&amp;K1294&amp;"-"&amp;L1294&amp;"-"&amp;M1294</f>
        <v>X-1-e-2-6.5</v>
      </c>
      <c r="Q1294">
        <f>A1294+R1294</f>
        <v>3605.7609919999995</v>
      </c>
      <c r="R1294">
        <f>_xlfn.IFNA(VLOOKUP(P1294,PGOPHER!A$2:G$181,7,FALSE),_xlfn.IFNA(VLOOKUP(P1294,en!A$2:I$768,7,FALSE),-10000))</f>
        <v>2457.4074919999998</v>
      </c>
      <c r="S1294">
        <f>IF(O1294=O1293,Q1293+S1293,Q1294)</f>
        <v>3605.7609919999995</v>
      </c>
      <c r="T1294">
        <f>IF(O1294=O1293,T1293+1,1)</f>
        <v>1</v>
      </c>
      <c r="U1294" t="str">
        <f>IF(O1294=O1295,"",S1294/T1294)</f>
        <v/>
      </c>
      <c r="V1294" t="str">
        <f>IF(U1294="","",IF(ABS(Q1294-U1294)&gt;V$1,"error",""))</f>
        <v/>
      </c>
    </row>
    <row r="1295" spans="1:22" x14ac:dyDescent="0.55000000000000004">
      <c r="A1295">
        <v>1148.3547000000001</v>
      </c>
      <c r="B1295" s="1">
        <v>1E-3</v>
      </c>
      <c r="C1295" s="1">
        <v>1E-3</v>
      </c>
      <c r="D1295" s="2" t="s">
        <v>0</v>
      </c>
      <c r="E1295">
        <v>1</v>
      </c>
      <c r="F1295" s="2" t="s">
        <v>2</v>
      </c>
      <c r="G1295">
        <v>3</v>
      </c>
      <c r="H1295">
        <v>7.5</v>
      </c>
      <c r="I1295" s="2" t="s">
        <v>0</v>
      </c>
      <c r="J1295">
        <v>1</v>
      </c>
      <c r="K1295" s="2" t="s">
        <v>2</v>
      </c>
      <c r="L1295">
        <v>2</v>
      </c>
      <c r="M1295">
        <v>6.5</v>
      </c>
      <c r="N1295" s="2" t="s">
        <v>549</v>
      </c>
      <c r="O1295" t="str">
        <f>D1295&amp;"-"&amp;E1295&amp;"-"&amp;F1295&amp;"-"&amp;G1295&amp;"-"&amp;H1295</f>
        <v>X-1-e-3-7.5</v>
      </c>
      <c r="P1295" t="str">
        <f>I1295&amp;"-"&amp;J1295&amp;"-"&amp;K1295&amp;"-"&amp;L1295&amp;"-"&amp;M1295</f>
        <v>X-1-e-2-6.5</v>
      </c>
      <c r="Q1295">
        <f>A1295+R1295</f>
        <v>3605.7621920000001</v>
      </c>
      <c r="R1295">
        <f>_xlfn.IFNA(VLOOKUP(P1295,PGOPHER!A$2:G$181,7,FALSE),_xlfn.IFNA(VLOOKUP(P1295,en!A$2:I$768,7,FALSE),-10000))</f>
        <v>2457.4074919999998</v>
      </c>
      <c r="S1295">
        <f>IF(O1295=O1294,Q1294+S1294,Q1295)</f>
        <v>7211.5219839999991</v>
      </c>
      <c r="T1295">
        <f>IF(O1295=O1294,T1294+1,1)</f>
        <v>2</v>
      </c>
      <c r="U1295" t="str">
        <f>IF(O1295=O1296,"",S1295/T1295)</f>
        <v/>
      </c>
      <c r="V1295" t="str">
        <f>IF(U1295="","",IF(ABS(Q1295-U1295)&gt;V$1,"error",""))</f>
        <v/>
      </c>
    </row>
    <row r="1296" spans="1:22" x14ac:dyDescent="0.55000000000000004">
      <c r="A1296">
        <v>1044.5233000000001</v>
      </c>
      <c r="B1296" s="1">
        <v>1E-3</v>
      </c>
      <c r="C1296" s="1">
        <v>1E-3</v>
      </c>
      <c r="D1296" s="2" t="s">
        <v>0</v>
      </c>
      <c r="E1296">
        <v>1</v>
      </c>
      <c r="F1296" s="2" t="s">
        <v>2</v>
      </c>
      <c r="G1296">
        <v>3</v>
      </c>
      <c r="H1296">
        <v>7.5</v>
      </c>
      <c r="I1296" s="2" t="s">
        <v>0</v>
      </c>
      <c r="J1296">
        <v>1</v>
      </c>
      <c r="K1296" s="2" t="s">
        <v>2</v>
      </c>
      <c r="L1296">
        <v>2</v>
      </c>
      <c r="M1296">
        <v>8.5</v>
      </c>
      <c r="N1296" s="2" t="s">
        <v>553</v>
      </c>
      <c r="O1296" t="str">
        <f>D1296&amp;"-"&amp;E1296&amp;"-"&amp;F1296&amp;"-"&amp;G1296&amp;"-"&amp;H1296</f>
        <v>X-1-e-3-7.5</v>
      </c>
      <c r="P1296" t="str">
        <f>I1296&amp;"-"&amp;J1296&amp;"-"&amp;K1296&amp;"-"&amp;L1296&amp;"-"&amp;M1296</f>
        <v>X-1-e-2-8.5</v>
      </c>
      <c r="Q1296">
        <f>A1296+R1296</f>
        <v>3605.7618579999998</v>
      </c>
      <c r="R1296">
        <f>_xlfn.IFNA(VLOOKUP(P1296,PGOPHER!A$2:G$181,7,FALSE),_xlfn.IFNA(VLOOKUP(P1296,en!A$2:I$768,7,FALSE),-10000))</f>
        <v>2561.238558</v>
      </c>
      <c r="S1296">
        <f>IF(O1296=O1295,Q1295+S1295,Q1296)</f>
        <v>10817.284175999999</v>
      </c>
      <c r="T1296">
        <f>IF(O1296=O1295,T1295+1,1)</f>
        <v>3</v>
      </c>
      <c r="U1296">
        <f>IF(O1296=O1297,"",S1296/T1296)</f>
        <v>3605.7613919999999</v>
      </c>
      <c r="V1296" t="str">
        <f>IF(U1296="","",IF(ABS(Q1296-U1296)&gt;V$1,"error",""))</f>
        <v/>
      </c>
    </row>
    <row r="1297" spans="1:22" x14ac:dyDescent="0.55000000000000004">
      <c r="A1297">
        <v>1112.7162000000001</v>
      </c>
      <c r="B1297" s="1">
        <v>1.6500000000000001E-2</v>
      </c>
      <c r="C1297" s="1">
        <v>1.6500000000000001E-2</v>
      </c>
      <c r="D1297" s="2" t="s">
        <v>0</v>
      </c>
      <c r="E1297">
        <v>1</v>
      </c>
      <c r="F1297" s="2" t="s">
        <v>2</v>
      </c>
      <c r="G1297">
        <v>4</v>
      </c>
      <c r="H1297">
        <v>7.5</v>
      </c>
      <c r="I1297" s="2" t="s">
        <v>0</v>
      </c>
      <c r="J1297">
        <v>1</v>
      </c>
      <c r="K1297" s="2" t="s">
        <v>2</v>
      </c>
      <c r="L1297">
        <v>3</v>
      </c>
      <c r="M1297">
        <v>6.5</v>
      </c>
      <c r="N1297" s="2" t="s">
        <v>631</v>
      </c>
      <c r="O1297" t="str">
        <f>D1297&amp;"-"&amp;E1297&amp;"-"&amp;F1297&amp;"-"&amp;G1297&amp;"-"&amp;H1297</f>
        <v>X-1-e-4-7.5</v>
      </c>
      <c r="P1297" t="str">
        <f>I1297&amp;"-"&amp;J1297&amp;"-"&amp;K1297&amp;"-"&amp;L1297&amp;"-"&amp;M1297</f>
        <v>X-1-e-3-6.5</v>
      </c>
      <c r="Q1297">
        <f>A1297+R1297</f>
        <v>4671.1280610000003</v>
      </c>
      <c r="R1297">
        <f>_xlfn.IFNA(VLOOKUP(P1297,PGOPHER!A$2:G$181,7,FALSE),_xlfn.IFNA(VLOOKUP(P1297,en!A$2:I$768,7,FALSE),-10000))</f>
        <v>3558.411861</v>
      </c>
      <c r="S1297">
        <f>IF(O1297=O1296,Q1296+S1296,Q1297)</f>
        <v>4671.1280610000003</v>
      </c>
      <c r="T1297">
        <f>IF(O1297=O1296,T1296+1,1)</f>
        <v>1</v>
      </c>
      <c r="U1297" t="str">
        <f>IF(O1297=O1298,"",S1297/T1297)</f>
        <v/>
      </c>
      <c r="V1297" t="str">
        <f>IF(U1297="","",IF(ABS(Q1297-U1297)&gt;V$1,"error",""))</f>
        <v/>
      </c>
    </row>
    <row r="1298" spans="1:22" x14ac:dyDescent="0.55000000000000004">
      <c r="A1298">
        <v>1011.3219</v>
      </c>
      <c r="B1298" s="1">
        <v>1.6500000000000001E-2</v>
      </c>
      <c r="C1298" s="1">
        <v>1.6500000000000001E-2</v>
      </c>
      <c r="D1298" s="2" t="s">
        <v>0</v>
      </c>
      <c r="E1298">
        <v>1</v>
      </c>
      <c r="F1298" s="2" t="s">
        <v>2</v>
      </c>
      <c r="G1298">
        <v>4</v>
      </c>
      <c r="H1298">
        <v>7.5</v>
      </c>
      <c r="I1298" s="2" t="s">
        <v>0</v>
      </c>
      <c r="J1298">
        <v>1</v>
      </c>
      <c r="K1298" s="2" t="s">
        <v>2</v>
      </c>
      <c r="L1298">
        <v>3</v>
      </c>
      <c r="M1298">
        <v>8.5</v>
      </c>
      <c r="N1298" s="2" t="s">
        <v>633</v>
      </c>
      <c r="O1298" t="str">
        <f>D1298&amp;"-"&amp;E1298&amp;"-"&amp;F1298&amp;"-"&amp;G1298&amp;"-"&amp;H1298</f>
        <v>X-1-e-4-7.5</v>
      </c>
      <c r="P1298" t="str">
        <f>I1298&amp;"-"&amp;J1298&amp;"-"&amp;K1298&amp;"-"&amp;L1298&amp;"-"&amp;M1298</f>
        <v>X-1-e-3-8.5</v>
      </c>
      <c r="Q1298">
        <f>A1298+R1298</f>
        <v>4671.1281900000004</v>
      </c>
      <c r="R1298">
        <f>_xlfn.IFNA(VLOOKUP(P1298,PGOPHER!A$2:G$181,7,FALSE),_xlfn.IFNA(VLOOKUP(P1298,en!A$2:I$768,7,FALSE),-10000))</f>
        <v>3659.80629</v>
      </c>
      <c r="S1298">
        <f>IF(O1298=O1297,Q1297+S1297,Q1298)</f>
        <v>9342.2561220000007</v>
      </c>
      <c r="T1298">
        <f>IF(O1298=O1297,T1297+1,1)</f>
        <v>2</v>
      </c>
      <c r="U1298">
        <f>IF(O1298=O1299,"",S1298/T1298)</f>
        <v>4671.1280610000003</v>
      </c>
      <c r="V1298" t="str">
        <f>IF(U1298="","",IF(ABS(Q1298-U1298)&gt;V$1,"error",""))</f>
        <v/>
      </c>
    </row>
    <row r="1299" spans="1:22" x14ac:dyDescent="0.55000000000000004">
      <c r="A1299">
        <v>1102.0951399999999</v>
      </c>
      <c r="B1299" s="1">
        <v>1E-3</v>
      </c>
      <c r="C1299" s="1">
        <v>1E-3</v>
      </c>
      <c r="D1299" s="2" t="s">
        <v>0</v>
      </c>
      <c r="E1299">
        <v>2</v>
      </c>
      <c r="F1299" s="2" t="s">
        <v>1</v>
      </c>
      <c r="G1299">
        <v>1</v>
      </c>
      <c r="H1299">
        <v>7.5</v>
      </c>
      <c r="I1299" s="2" t="s">
        <v>0</v>
      </c>
      <c r="J1299">
        <v>2</v>
      </c>
      <c r="K1299" s="2" t="s">
        <v>1</v>
      </c>
      <c r="L1299">
        <v>0</v>
      </c>
      <c r="M1299">
        <v>8.5</v>
      </c>
      <c r="N1299" s="2" t="s">
        <v>127</v>
      </c>
      <c r="O1299" t="str">
        <f>D1299&amp;"-"&amp;E1299&amp;"-"&amp;F1299&amp;"-"&amp;G1299&amp;"-"&amp;H1299</f>
        <v>X-2-f-1-7.5</v>
      </c>
      <c r="P1299" t="str">
        <f>I1299&amp;"-"&amp;J1299&amp;"-"&amp;K1299&amp;"-"&amp;L1299&amp;"-"&amp;M1299</f>
        <v>X-2-f-0-8.5</v>
      </c>
      <c r="Q1299">
        <f>A1299+R1299</f>
        <v>1427.3958659999998</v>
      </c>
      <c r="R1299">
        <f>_xlfn.IFNA(VLOOKUP(P1299,PGOPHER!A$2:G$181,7,FALSE),_xlfn.IFNA(VLOOKUP(P1299,en!A$2:I$768,7,FALSE),-10000))</f>
        <v>325.300726</v>
      </c>
      <c r="S1299">
        <f>IF(O1299=O1298,Q1298+S1298,Q1299)</f>
        <v>1427.3958659999998</v>
      </c>
      <c r="T1299">
        <f>IF(O1299=O1298,T1298+1,1)</f>
        <v>1</v>
      </c>
      <c r="U1299" t="str">
        <f>IF(O1299=O1300,"",S1299/T1299)</f>
        <v/>
      </c>
      <c r="V1299" t="str">
        <f>IF(U1299="","",IF(ABS(Q1299-U1299)&gt;V$1,"error",""))</f>
        <v/>
      </c>
    </row>
    <row r="1300" spans="1:22" x14ac:dyDescent="0.55000000000000004">
      <c r="A1300">
        <v>1224.84139</v>
      </c>
      <c r="B1300" s="1">
        <v>1E-3</v>
      </c>
      <c r="C1300" s="1">
        <v>1E-3</v>
      </c>
      <c r="D1300" s="2" t="s">
        <v>0</v>
      </c>
      <c r="E1300">
        <v>2</v>
      </c>
      <c r="F1300" s="2" t="s">
        <v>1</v>
      </c>
      <c r="G1300">
        <v>1</v>
      </c>
      <c r="H1300">
        <v>7.5</v>
      </c>
      <c r="I1300" s="2" t="s">
        <v>0</v>
      </c>
      <c r="J1300">
        <v>2</v>
      </c>
      <c r="K1300" s="2" t="s">
        <v>1</v>
      </c>
      <c r="L1300">
        <v>0</v>
      </c>
      <c r="M1300">
        <v>6.5</v>
      </c>
      <c r="N1300" s="2" t="s">
        <v>131</v>
      </c>
      <c r="O1300" t="str">
        <f>D1300&amp;"-"&amp;E1300&amp;"-"&amp;F1300&amp;"-"&amp;G1300&amp;"-"&amp;H1300</f>
        <v>X-2-f-1-7.5</v>
      </c>
      <c r="P1300" t="str">
        <f>I1300&amp;"-"&amp;J1300&amp;"-"&amp;K1300&amp;"-"&amp;L1300&amp;"-"&amp;M1300</f>
        <v>X-2-f-0-6.5</v>
      </c>
      <c r="Q1300">
        <f>A1300+R1300</f>
        <v>1427.397001</v>
      </c>
      <c r="R1300">
        <f>_xlfn.IFNA(VLOOKUP(P1300,PGOPHER!A$2:G$181,7,FALSE),_xlfn.IFNA(VLOOKUP(P1300,en!A$2:I$768,7,FALSE),-10000))</f>
        <v>202.555611</v>
      </c>
      <c r="S1300">
        <f>IF(O1300=O1299,Q1299+S1299,Q1300)</f>
        <v>2854.7917319999997</v>
      </c>
      <c r="T1300">
        <f>IF(O1300=O1299,T1299+1,1)</f>
        <v>2</v>
      </c>
      <c r="U1300" t="str">
        <f>IF(O1300=O1301,"",S1300/T1300)</f>
        <v/>
      </c>
      <c r="V1300" t="str">
        <f>IF(U1300="","",IF(ABS(Q1300-U1300)&gt;V$1,"error",""))</f>
        <v/>
      </c>
    </row>
    <row r="1301" spans="1:22" x14ac:dyDescent="0.55000000000000004">
      <c r="A1301">
        <v>1224.84024</v>
      </c>
      <c r="B1301" s="1">
        <v>1E-3</v>
      </c>
      <c r="C1301" s="1">
        <v>1E-3</v>
      </c>
      <c r="D1301" s="2" t="s">
        <v>0</v>
      </c>
      <c r="E1301">
        <v>2</v>
      </c>
      <c r="F1301" s="2" t="s">
        <v>1</v>
      </c>
      <c r="G1301">
        <v>1</v>
      </c>
      <c r="H1301">
        <v>7.5</v>
      </c>
      <c r="I1301" s="2" t="s">
        <v>0</v>
      </c>
      <c r="J1301">
        <v>2</v>
      </c>
      <c r="K1301" s="2" t="s">
        <v>1</v>
      </c>
      <c r="L1301">
        <v>0</v>
      </c>
      <c r="M1301">
        <v>6.5</v>
      </c>
      <c r="N1301" s="2" t="s">
        <v>128</v>
      </c>
      <c r="O1301" t="str">
        <f>D1301&amp;"-"&amp;E1301&amp;"-"&amp;F1301&amp;"-"&amp;G1301&amp;"-"&amp;H1301</f>
        <v>X-2-f-1-7.5</v>
      </c>
      <c r="P1301" t="str">
        <f>I1301&amp;"-"&amp;J1301&amp;"-"&amp;K1301&amp;"-"&amp;L1301&amp;"-"&amp;M1301</f>
        <v>X-2-f-0-6.5</v>
      </c>
      <c r="Q1301">
        <f>A1301+R1301</f>
        <v>1427.395851</v>
      </c>
      <c r="R1301">
        <f>_xlfn.IFNA(VLOOKUP(P1301,PGOPHER!A$2:G$181,7,FALSE),_xlfn.IFNA(VLOOKUP(P1301,en!A$2:I$768,7,FALSE),-10000))</f>
        <v>202.555611</v>
      </c>
      <c r="S1301">
        <f>IF(O1301=O1300,Q1300+S1300,Q1301)</f>
        <v>4282.188733</v>
      </c>
      <c r="T1301">
        <f>IF(O1301=O1300,T1300+1,1)</f>
        <v>3</v>
      </c>
      <c r="U1301" t="str">
        <f>IF(O1301=O1302,"",S1301/T1301)</f>
        <v/>
      </c>
      <c r="V1301" t="str">
        <f>IF(U1301="","",IF(ABS(Q1301-U1301)&gt;V$1,"error",""))</f>
        <v/>
      </c>
    </row>
    <row r="1302" spans="1:22" x14ac:dyDescent="0.55000000000000004">
      <c r="A1302">
        <v>1102.0962</v>
      </c>
      <c r="B1302" s="1">
        <v>9.2999999999999992E-3</v>
      </c>
      <c r="C1302" s="1">
        <v>9.2999999999999992E-3</v>
      </c>
      <c r="D1302" s="2" t="s">
        <v>0</v>
      </c>
      <c r="E1302">
        <v>2</v>
      </c>
      <c r="F1302" s="2" t="s">
        <v>1</v>
      </c>
      <c r="G1302">
        <v>1</v>
      </c>
      <c r="H1302">
        <v>7.5</v>
      </c>
      <c r="I1302" s="2" t="s">
        <v>0</v>
      </c>
      <c r="J1302">
        <v>2</v>
      </c>
      <c r="K1302" s="2" t="s">
        <v>1</v>
      </c>
      <c r="L1302">
        <v>0</v>
      </c>
      <c r="M1302">
        <v>8.5</v>
      </c>
      <c r="N1302" s="2" t="s">
        <v>122</v>
      </c>
      <c r="O1302" t="str">
        <f>D1302&amp;"-"&amp;E1302&amp;"-"&amp;F1302&amp;"-"&amp;G1302&amp;"-"&amp;H1302</f>
        <v>X-2-f-1-7.5</v>
      </c>
      <c r="P1302" t="str">
        <f>I1302&amp;"-"&amp;J1302&amp;"-"&amp;K1302&amp;"-"&amp;L1302&amp;"-"&amp;M1302</f>
        <v>X-2-f-0-8.5</v>
      </c>
      <c r="Q1302">
        <f>A1302+R1302</f>
        <v>1427.3969259999999</v>
      </c>
      <c r="R1302">
        <f>_xlfn.IFNA(VLOOKUP(P1302,PGOPHER!A$2:G$181,7,FALSE),_xlfn.IFNA(VLOOKUP(P1302,en!A$2:I$768,7,FALSE),-10000))</f>
        <v>325.300726</v>
      </c>
      <c r="S1302">
        <f>IF(O1302=O1301,Q1301+S1301,Q1302)</f>
        <v>5709.5845840000002</v>
      </c>
      <c r="T1302">
        <f>IF(O1302=O1301,T1301+1,1)</f>
        <v>4</v>
      </c>
      <c r="U1302" t="str">
        <f>IF(O1302=O1303,"",S1302/T1302)</f>
        <v/>
      </c>
      <c r="V1302" t="str">
        <f>IF(U1302="","",IF(ABS(Q1302-U1302)&gt;V$1,"error",""))</f>
        <v/>
      </c>
    </row>
    <row r="1303" spans="1:22" x14ac:dyDescent="0.55000000000000004">
      <c r="A1303">
        <v>1102.0962</v>
      </c>
      <c r="B1303" s="1">
        <v>1E-3</v>
      </c>
      <c r="C1303" s="1">
        <v>1E-3</v>
      </c>
      <c r="D1303" s="2" t="s">
        <v>0</v>
      </c>
      <c r="E1303">
        <v>2</v>
      </c>
      <c r="F1303" s="2" t="s">
        <v>1</v>
      </c>
      <c r="G1303">
        <v>1</v>
      </c>
      <c r="H1303">
        <v>7.5</v>
      </c>
      <c r="I1303" s="2" t="s">
        <v>0</v>
      </c>
      <c r="J1303">
        <v>2</v>
      </c>
      <c r="K1303" s="2" t="s">
        <v>1</v>
      </c>
      <c r="L1303">
        <v>0</v>
      </c>
      <c r="M1303">
        <v>8.5</v>
      </c>
      <c r="N1303" s="2" t="s">
        <v>135</v>
      </c>
      <c r="O1303" t="str">
        <f>D1303&amp;"-"&amp;E1303&amp;"-"&amp;F1303&amp;"-"&amp;G1303&amp;"-"&amp;H1303</f>
        <v>X-2-f-1-7.5</v>
      </c>
      <c r="P1303" t="str">
        <f>I1303&amp;"-"&amp;J1303&amp;"-"&amp;K1303&amp;"-"&amp;L1303&amp;"-"&amp;M1303</f>
        <v>X-2-f-0-8.5</v>
      </c>
      <c r="Q1303">
        <f>A1303+R1303</f>
        <v>1427.3969259999999</v>
      </c>
      <c r="R1303">
        <f>_xlfn.IFNA(VLOOKUP(P1303,PGOPHER!A$2:G$181,7,FALSE),_xlfn.IFNA(VLOOKUP(P1303,en!A$2:I$768,7,FALSE),-10000))</f>
        <v>325.300726</v>
      </c>
      <c r="S1303">
        <f>IF(O1303=O1302,Q1302+S1302,Q1303)</f>
        <v>7136.9815099999996</v>
      </c>
      <c r="T1303">
        <f>IF(O1303=O1302,T1302+1,1)</f>
        <v>5</v>
      </c>
      <c r="U1303" t="str">
        <f>IF(O1303=O1304,"",S1303/T1303)</f>
        <v/>
      </c>
      <c r="V1303" t="str">
        <f>IF(U1303="","",IF(ABS(Q1303-U1303)&gt;V$1,"error",""))</f>
        <v/>
      </c>
    </row>
    <row r="1304" spans="1:22" x14ac:dyDescent="0.55000000000000004">
      <c r="A1304">
        <v>1102.097</v>
      </c>
      <c r="B1304" s="1">
        <v>1.0200000000000001E-2</v>
      </c>
      <c r="C1304" s="1">
        <v>1.0200000000000001E-2</v>
      </c>
      <c r="D1304" s="2" t="s">
        <v>0</v>
      </c>
      <c r="E1304">
        <v>2</v>
      </c>
      <c r="F1304" s="2" t="s">
        <v>1</v>
      </c>
      <c r="G1304">
        <v>1</v>
      </c>
      <c r="H1304">
        <v>7.5</v>
      </c>
      <c r="I1304" s="2" t="s">
        <v>0</v>
      </c>
      <c r="J1304">
        <v>2</v>
      </c>
      <c r="K1304" s="2" t="s">
        <v>1</v>
      </c>
      <c r="L1304">
        <v>0</v>
      </c>
      <c r="M1304">
        <v>8.5</v>
      </c>
      <c r="N1304" s="2" t="s">
        <v>124</v>
      </c>
      <c r="O1304" t="str">
        <f>D1304&amp;"-"&amp;E1304&amp;"-"&amp;F1304&amp;"-"&amp;G1304&amp;"-"&amp;H1304</f>
        <v>X-2-f-1-7.5</v>
      </c>
      <c r="P1304" t="str">
        <f>I1304&amp;"-"&amp;J1304&amp;"-"&amp;K1304&amp;"-"&amp;L1304&amp;"-"&amp;M1304</f>
        <v>X-2-f-0-8.5</v>
      </c>
      <c r="Q1304">
        <f>A1304+R1304</f>
        <v>1427.3977259999999</v>
      </c>
      <c r="R1304">
        <f>_xlfn.IFNA(VLOOKUP(P1304,PGOPHER!A$2:G$181,7,FALSE),_xlfn.IFNA(VLOOKUP(P1304,en!A$2:I$768,7,FALSE),-10000))</f>
        <v>325.300726</v>
      </c>
      <c r="S1304">
        <f>IF(O1304=O1303,Q1303+S1303,Q1304)</f>
        <v>8564.3784359999991</v>
      </c>
      <c r="T1304">
        <f>IF(O1304=O1303,T1303+1,1)</f>
        <v>6</v>
      </c>
      <c r="U1304" t="str">
        <f>IF(O1304=O1305,"",S1304/T1304)</f>
        <v/>
      </c>
      <c r="V1304" t="str">
        <f>IF(U1304="","",IF(ABS(Q1304-U1304)&gt;V$1,"error",""))</f>
        <v/>
      </c>
    </row>
    <row r="1305" spans="1:22" x14ac:dyDescent="0.55000000000000004">
      <c r="A1305">
        <v>1102.097</v>
      </c>
      <c r="B1305" s="1">
        <v>1.6249999999999999E-3</v>
      </c>
      <c r="C1305" s="1">
        <v>1.6249999999999999E-3</v>
      </c>
      <c r="D1305" s="2" t="s">
        <v>0</v>
      </c>
      <c r="E1305">
        <v>2</v>
      </c>
      <c r="F1305" s="2" t="s">
        <v>1</v>
      </c>
      <c r="G1305">
        <v>1</v>
      </c>
      <c r="H1305">
        <v>7.5</v>
      </c>
      <c r="I1305" s="2" t="s">
        <v>0</v>
      </c>
      <c r="J1305">
        <v>2</v>
      </c>
      <c r="K1305" s="2" t="s">
        <v>1</v>
      </c>
      <c r="L1305">
        <v>0</v>
      </c>
      <c r="M1305">
        <v>8.5</v>
      </c>
      <c r="N1305" s="2" t="s">
        <v>132</v>
      </c>
      <c r="O1305" t="str">
        <f>D1305&amp;"-"&amp;E1305&amp;"-"&amp;F1305&amp;"-"&amp;G1305&amp;"-"&amp;H1305</f>
        <v>X-2-f-1-7.5</v>
      </c>
      <c r="P1305" t="str">
        <f>I1305&amp;"-"&amp;J1305&amp;"-"&amp;K1305&amp;"-"&amp;L1305&amp;"-"&amp;M1305</f>
        <v>X-2-f-0-8.5</v>
      </c>
      <c r="Q1305">
        <f>A1305+R1305</f>
        <v>1427.3977259999999</v>
      </c>
      <c r="R1305">
        <f>_xlfn.IFNA(VLOOKUP(P1305,PGOPHER!A$2:G$181,7,FALSE),_xlfn.IFNA(VLOOKUP(P1305,en!A$2:I$768,7,FALSE),-10000))</f>
        <v>325.300726</v>
      </c>
      <c r="S1305">
        <f>IF(O1305=O1304,Q1304+S1304,Q1305)</f>
        <v>9991.7761619999983</v>
      </c>
      <c r="T1305">
        <f>IF(O1305=O1304,T1304+1,1)</f>
        <v>7</v>
      </c>
      <c r="U1305" t="str">
        <f>IF(O1305=O1306,"",S1305/T1305)</f>
        <v/>
      </c>
      <c r="V1305" t="str">
        <f>IF(U1305="","",IF(ABS(Q1305-U1305)&gt;V$1,"error",""))</f>
        <v/>
      </c>
    </row>
    <row r="1306" spans="1:22" x14ac:dyDescent="0.55000000000000004">
      <c r="A1306">
        <v>1224.8414</v>
      </c>
      <c r="B1306" s="1">
        <v>2.1600000000000001E-2</v>
      </c>
      <c r="C1306" s="1">
        <v>2.1600000000000001E-2</v>
      </c>
      <c r="D1306" s="2" t="s">
        <v>0</v>
      </c>
      <c r="E1306">
        <v>2</v>
      </c>
      <c r="F1306" s="2" t="s">
        <v>1</v>
      </c>
      <c r="G1306">
        <v>1</v>
      </c>
      <c r="H1306">
        <v>7.5</v>
      </c>
      <c r="I1306" s="2" t="s">
        <v>0</v>
      </c>
      <c r="J1306">
        <v>2</v>
      </c>
      <c r="K1306" s="2" t="s">
        <v>1</v>
      </c>
      <c r="L1306">
        <v>0</v>
      </c>
      <c r="M1306">
        <v>6.5</v>
      </c>
      <c r="N1306" s="2" t="s">
        <v>120</v>
      </c>
      <c r="O1306" t="str">
        <f>D1306&amp;"-"&amp;E1306&amp;"-"&amp;F1306&amp;"-"&amp;G1306&amp;"-"&amp;H1306</f>
        <v>X-2-f-1-7.5</v>
      </c>
      <c r="P1306" t="str">
        <f>I1306&amp;"-"&amp;J1306&amp;"-"&amp;K1306&amp;"-"&amp;L1306&amp;"-"&amp;M1306</f>
        <v>X-2-f-0-6.5</v>
      </c>
      <c r="Q1306">
        <f>A1306+R1306</f>
        <v>1427.397011</v>
      </c>
      <c r="R1306">
        <f>_xlfn.IFNA(VLOOKUP(P1306,PGOPHER!A$2:G$181,7,FALSE),_xlfn.IFNA(VLOOKUP(P1306,en!A$2:I$768,7,FALSE),-10000))</f>
        <v>202.555611</v>
      </c>
      <c r="S1306">
        <f>IF(O1306=O1305,Q1305+S1305,Q1306)</f>
        <v>11419.173887999998</v>
      </c>
      <c r="T1306">
        <f>IF(O1306=O1305,T1305+1,1)</f>
        <v>8</v>
      </c>
      <c r="U1306">
        <f>IF(O1306=O1307,"",S1306/T1306)</f>
        <v>1427.3967359999997</v>
      </c>
      <c r="V1306" t="str">
        <f>IF(U1306="","",IF(ABS(Q1306-U1306)&gt;V$1,"error",""))</f>
        <v/>
      </c>
    </row>
    <row r="1307" spans="1:22" x14ac:dyDescent="0.55000000000000004">
      <c r="A1307">
        <v>1189.3807999999999</v>
      </c>
      <c r="B1307" s="1">
        <v>6.9300000000000004E-3</v>
      </c>
      <c r="C1307" s="1">
        <v>6.9300000000000004E-3</v>
      </c>
      <c r="D1307" s="2" t="s">
        <v>0</v>
      </c>
      <c r="E1307">
        <v>2</v>
      </c>
      <c r="F1307" s="2" t="s">
        <v>1</v>
      </c>
      <c r="G1307">
        <v>2</v>
      </c>
      <c r="H1307">
        <v>7.5</v>
      </c>
      <c r="I1307" s="2" t="s">
        <v>0</v>
      </c>
      <c r="J1307">
        <v>2</v>
      </c>
      <c r="K1307" s="2" t="s">
        <v>1</v>
      </c>
      <c r="L1307">
        <v>1</v>
      </c>
      <c r="M1307">
        <v>6.5</v>
      </c>
      <c r="N1307" s="2" t="s">
        <v>424</v>
      </c>
      <c r="O1307" t="str">
        <f>D1307&amp;"-"&amp;E1307&amp;"-"&amp;F1307&amp;"-"&amp;G1307&amp;"-"&amp;H1307</f>
        <v>X-2-f-2-7.5</v>
      </c>
      <c r="P1307" t="str">
        <f>I1307&amp;"-"&amp;J1307&amp;"-"&amp;K1307&amp;"-"&amp;L1307&amp;"-"&amp;M1307</f>
        <v>X-2-f-1-6.5</v>
      </c>
      <c r="Q1307">
        <f>A1307+R1307</f>
        <v>2560.261321</v>
      </c>
      <c r="R1307">
        <f>_xlfn.IFNA(VLOOKUP(P1307,PGOPHER!A$2:G$181,7,FALSE),_xlfn.IFNA(VLOOKUP(P1307,en!A$2:I$768,7,FALSE),-10000))</f>
        <v>1370.880521</v>
      </c>
      <c r="S1307">
        <f>IF(O1307=O1306,Q1306+S1306,Q1307)</f>
        <v>2560.261321</v>
      </c>
      <c r="T1307">
        <f>IF(O1307=O1306,T1306+1,1)</f>
        <v>1</v>
      </c>
      <c r="U1307" t="str">
        <f>IF(O1307=O1308,"",S1307/T1307)</f>
        <v/>
      </c>
      <c r="V1307" t="str">
        <f>IF(U1307="","",IF(ABS(Q1307-U1307)&gt;V$1,"error",""))</f>
        <v/>
      </c>
    </row>
    <row r="1308" spans="1:22" x14ac:dyDescent="0.55000000000000004">
      <c r="A1308">
        <v>1069.3606</v>
      </c>
      <c r="B1308" s="1">
        <v>1E-3</v>
      </c>
      <c r="C1308" s="1">
        <v>1E-3</v>
      </c>
      <c r="D1308" s="2" t="s">
        <v>0</v>
      </c>
      <c r="E1308">
        <v>2</v>
      </c>
      <c r="F1308" s="2" t="s">
        <v>1</v>
      </c>
      <c r="G1308">
        <v>2</v>
      </c>
      <c r="H1308">
        <v>7.5</v>
      </c>
      <c r="I1308" s="2" t="s">
        <v>0</v>
      </c>
      <c r="J1308">
        <v>2</v>
      </c>
      <c r="K1308" s="2" t="s">
        <v>1</v>
      </c>
      <c r="L1308">
        <v>1</v>
      </c>
      <c r="M1308">
        <v>8.5</v>
      </c>
      <c r="N1308" s="2" t="s">
        <v>426</v>
      </c>
      <c r="O1308" t="str">
        <f>D1308&amp;"-"&amp;E1308&amp;"-"&amp;F1308&amp;"-"&amp;G1308&amp;"-"&amp;H1308</f>
        <v>X-2-f-2-7.5</v>
      </c>
      <c r="P1308" t="str">
        <f>I1308&amp;"-"&amp;J1308&amp;"-"&amp;K1308&amp;"-"&amp;L1308&amp;"-"&amp;M1308</f>
        <v>X-2-f-1-8.5</v>
      </c>
      <c r="Q1308">
        <f>A1308+R1308</f>
        <v>2560.2624850000002</v>
      </c>
      <c r="R1308">
        <f>_xlfn.IFNA(VLOOKUP(P1308,PGOPHER!A$2:G$181,7,FALSE),_xlfn.IFNA(VLOOKUP(P1308,en!A$2:I$768,7,FALSE),-10000))</f>
        <v>1490.901885</v>
      </c>
      <c r="S1308">
        <f>IF(O1308=O1307,Q1307+S1307,Q1308)</f>
        <v>5120.5226419999999</v>
      </c>
      <c r="T1308">
        <f>IF(O1308=O1307,T1307+1,1)</f>
        <v>2</v>
      </c>
      <c r="U1308" t="str">
        <f>IF(O1308=O1309,"",S1308/T1308)</f>
        <v/>
      </c>
      <c r="V1308" t="str">
        <f>IF(U1308="","",IF(ABS(Q1308-U1308)&gt;V$1,"error",""))</f>
        <v/>
      </c>
    </row>
    <row r="1309" spans="1:22" x14ac:dyDescent="0.55000000000000004">
      <c r="A1309">
        <v>1069.3603000000001</v>
      </c>
      <c r="B1309" s="1">
        <v>1E-3</v>
      </c>
      <c r="C1309" s="1">
        <v>1E-3</v>
      </c>
      <c r="D1309" s="2" t="s">
        <v>0</v>
      </c>
      <c r="E1309">
        <v>2</v>
      </c>
      <c r="F1309" s="2" t="s">
        <v>1</v>
      </c>
      <c r="G1309">
        <v>2</v>
      </c>
      <c r="H1309">
        <v>7.5</v>
      </c>
      <c r="I1309" s="2" t="s">
        <v>0</v>
      </c>
      <c r="J1309">
        <v>2</v>
      </c>
      <c r="K1309" s="2" t="s">
        <v>1</v>
      </c>
      <c r="L1309">
        <v>1</v>
      </c>
      <c r="M1309">
        <v>8.5</v>
      </c>
      <c r="N1309" s="2" t="s">
        <v>427</v>
      </c>
      <c r="O1309" t="str">
        <f>D1309&amp;"-"&amp;E1309&amp;"-"&amp;F1309&amp;"-"&amp;G1309&amp;"-"&amp;H1309</f>
        <v>X-2-f-2-7.5</v>
      </c>
      <c r="P1309" t="str">
        <f>I1309&amp;"-"&amp;J1309&amp;"-"&amp;K1309&amp;"-"&amp;L1309&amp;"-"&amp;M1309</f>
        <v>X-2-f-1-8.5</v>
      </c>
      <c r="Q1309">
        <f>A1309+R1309</f>
        <v>2560.262185</v>
      </c>
      <c r="R1309">
        <f>_xlfn.IFNA(VLOOKUP(P1309,PGOPHER!A$2:G$181,7,FALSE),_xlfn.IFNA(VLOOKUP(P1309,en!A$2:I$768,7,FALSE),-10000))</f>
        <v>1490.901885</v>
      </c>
      <c r="S1309">
        <f>IF(O1309=O1308,Q1308+S1308,Q1309)</f>
        <v>7680.7851270000001</v>
      </c>
      <c r="T1309">
        <f>IF(O1309=O1308,T1308+1,1)</f>
        <v>3</v>
      </c>
      <c r="U1309">
        <f>IF(O1309=O1310,"",S1309/T1309)</f>
        <v>2560.2617089999999</v>
      </c>
      <c r="V1309" t="str">
        <f>IF(U1309="","",IF(ABS(Q1309-U1309)&gt;V$1,"error",""))</f>
        <v/>
      </c>
    </row>
    <row r="1310" spans="1:22" x14ac:dyDescent="0.55000000000000004">
      <c r="A1310">
        <v>1153.8298</v>
      </c>
      <c r="B1310" s="1">
        <v>1.9300000000000001E-2</v>
      </c>
      <c r="C1310" s="1">
        <v>1.9300000000000001E-2</v>
      </c>
      <c r="D1310" s="2" t="s">
        <v>0</v>
      </c>
      <c r="E1310">
        <v>2</v>
      </c>
      <c r="F1310" s="2" t="s">
        <v>1</v>
      </c>
      <c r="G1310">
        <v>3</v>
      </c>
      <c r="H1310">
        <v>7.5</v>
      </c>
      <c r="I1310" s="2" t="s">
        <v>0</v>
      </c>
      <c r="J1310">
        <v>2</v>
      </c>
      <c r="K1310" s="2" t="s">
        <v>1</v>
      </c>
      <c r="L1310">
        <v>2</v>
      </c>
      <c r="M1310">
        <v>6.5</v>
      </c>
      <c r="N1310" s="2" t="s">
        <v>552</v>
      </c>
      <c r="O1310" t="str">
        <f>D1310&amp;"-"&amp;E1310&amp;"-"&amp;F1310&amp;"-"&amp;G1310&amp;"-"&amp;H1310</f>
        <v>X-2-f-3-7.5</v>
      </c>
      <c r="P1310" t="str">
        <f>I1310&amp;"-"&amp;J1310&amp;"-"&amp;K1310&amp;"-"&amp;L1310&amp;"-"&amp;M1310</f>
        <v>X-2-f-2-6.5</v>
      </c>
      <c r="Q1310">
        <f>A1310+R1310</f>
        <v>3658.8634619999998</v>
      </c>
      <c r="R1310">
        <f>_xlfn.IFNA(VLOOKUP(P1310,PGOPHER!A$2:G$181,7,FALSE),_xlfn.IFNA(VLOOKUP(P1310,en!A$2:I$768,7,FALSE),-10000))</f>
        <v>2505.0336619999998</v>
      </c>
      <c r="S1310">
        <f>IF(O1310=O1309,Q1309+S1309,Q1310)</f>
        <v>3658.8634619999998</v>
      </c>
      <c r="T1310">
        <f>IF(O1310=O1309,T1309+1,1)</f>
        <v>1</v>
      </c>
      <c r="U1310" t="str">
        <f>IF(O1310=O1311,"",S1310/T1310)</f>
        <v/>
      </c>
      <c r="V1310" t="str">
        <f>IF(U1310="","",IF(ABS(Q1310-U1310)&gt;V$1,"error",""))</f>
        <v/>
      </c>
    </row>
    <row r="1311" spans="1:22" x14ac:dyDescent="0.55000000000000004">
      <c r="A1311">
        <v>1036.5438999999999</v>
      </c>
      <c r="B1311" s="1">
        <v>1.6799999999999999E-2</v>
      </c>
      <c r="C1311" s="1">
        <v>1.6799999999999999E-2</v>
      </c>
      <c r="D1311" s="2" t="s">
        <v>0</v>
      </c>
      <c r="E1311">
        <v>2</v>
      </c>
      <c r="F1311" s="2" t="s">
        <v>1</v>
      </c>
      <c r="G1311">
        <v>3</v>
      </c>
      <c r="H1311">
        <v>7.5</v>
      </c>
      <c r="I1311" s="2" t="s">
        <v>0</v>
      </c>
      <c r="J1311">
        <v>2</v>
      </c>
      <c r="K1311" s="2" t="s">
        <v>1</v>
      </c>
      <c r="L1311">
        <v>2</v>
      </c>
      <c r="M1311">
        <v>8.5</v>
      </c>
      <c r="N1311" s="2" t="s">
        <v>551</v>
      </c>
      <c r="O1311" t="str">
        <f>D1311&amp;"-"&amp;E1311&amp;"-"&amp;F1311&amp;"-"&amp;G1311&amp;"-"&amp;H1311</f>
        <v>X-2-f-3-7.5</v>
      </c>
      <c r="P1311" t="str">
        <f>I1311&amp;"-"&amp;J1311&amp;"-"&amp;K1311&amp;"-"&amp;L1311&amp;"-"&amp;M1311</f>
        <v>X-2-f-2-8.5</v>
      </c>
      <c r="Q1311">
        <f>A1311+R1311</f>
        <v>3658.8649580000001</v>
      </c>
      <c r="R1311">
        <f>_xlfn.IFNA(VLOOKUP(P1311,PGOPHER!A$2:G$181,7,FALSE),_xlfn.IFNA(VLOOKUP(P1311,en!A$2:I$768,7,FALSE),-10000))</f>
        <v>2622.321058</v>
      </c>
      <c r="S1311">
        <f>IF(O1311=O1310,Q1310+S1310,Q1311)</f>
        <v>7317.7269239999996</v>
      </c>
      <c r="T1311">
        <f>IF(O1311=O1310,T1310+1,1)</f>
        <v>2</v>
      </c>
      <c r="U1311">
        <f>IF(O1311=O1312,"",S1311/T1311)</f>
        <v>3658.8634619999998</v>
      </c>
      <c r="V1311" t="str">
        <f>IF(U1311="","",IF(ABS(Q1311-U1311)&gt;V$1,"error",""))</f>
        <v/>
      </c>
    </row>
    <row r="1312" spans="1:22" x14ac:dyDescent="0.55000000000000004">
      <c r="A1312">
        <v>1118.0204000000001</v>
      </c>
      <c r="B1312" s="1">
        <v>1E-3</v>
      </c>
      <c r="C1312" s="1">
        <v>1E-3</v>
      </c>
      <c r="D1312" s="2" t="s">
        <v>0</v>
      </c>
      <c r="E1312">
        <v>2</v>
      </c>
      <c r="F1312" s="2" t="s">
        <v>1</v>
      </c>
      <c r="G1312">
        <v>4</v>
      </c>
      <c r="H1312">
        <v>7.5</v>
      </c>
      <c r="I1312" s="2" t="s">
        <v>0</v>
      </c>
      <c r="J1312">
        <v>2</v>
      </c>
      <c r="K1312" s="2" t="s">
        <v>1</v>
      </c>
      <c r="L1312">
        <v>3</v>
      </c>
      <c r="M1312">
        <v>6.5</v>
      </c>
      <c r="N1312" s="2" t="s">
        <v>632</v>
      </c>
      <c r="O1312" t="str">
        <f>D1312&amp;"-"&amp;E1312&amp;"-"&amp;F1312&amp;"-"&amp;G1312&amp;"-"&amp;H1312</f>
        <v>X-2-f-4-7.5</v>
      </c>
      <c r="P1312" t="str">
        <f>I1312&amp;"-"&amp;J1312&amp;"-"&amp;K1312&amp;"-"&amp;L1312&amp;"-"&amp;M1312</f>
        <v>X-2-f-3-6.5</v>
      </c>
      <c r="Q1312">
        <f>A1312+R1312</f>
        <v>4722.9499850000002</v>
      </c>
      <c r="R1312">
        <f>_xlfn.IFNA(VLOOKUP(P1312,PGOPHER!A$2:G$181,7,FALSE),_xlfn.IFNA(VLOOKUP(P1312,en!A$2:I$768,7,FALSE),-10000))</f>
        <v>3604.9295849999999</v>
      </c>
      <c r="S1312">
        <f>IF(O1312=O1311,Q1311+S1311,Q1312)</f>
        <v>4722.9499850000002</v>
      </c>
      <c r="T1312">
        <f>IF(O1312=O1311,T1311+1,1)</f>
        <v>1</v>
      </c>
      <c r="U1312" t="str">
        <f>IF(O1312=O1313,"",S1312/T1312)</f>
        <v/>
      </c>
      <c r="V1312" t="str">
        <f>IF(U1312="","",IF(ABS(Q1312-U1312)&gt;V$1,"error",""))</f>
        <v/>
      </c>
    </row>
    <row r="1313" spans="1:22" x14ac:dyDescent="0.55000000000000004">
      <c r="A1313">
        <v>1003.4871000000001</v>
      </c>
      <c r="B1313" s="1">
        <v>1E-3</v>
      </c>
      <c r="C1313" s="1">
        <v>1E-3</v>
      </c>
      <c r="D1313" s="2" t="s">
        <v>0</v>
      </c>
      <c r="E1313">
        <v>2</v>
      </c>
      <c r="F1313" s="2" t="s">
        <v>1</v>
      </c>
      <c r="G1313">
        <v>4</v>
      </c>
      <c r="H1313">
        <v>7.5</v>
      </c>
      <c r="I1313" s="2" t="s">
        <v>0</v>
      </c>
      <c r="J1313">
        <v>2</v>
      </c>
      <c r="K1313" s="2" t="s">
        <v>1</v>
      </c>
      <c r="L1313">
        <v>3</v>
      </c>
      <c r="M1313">
        <v>8.5</v>
      </c>
      <c r="N1313" s="2" t="s">
        <v>634</v>
      </c>
      <c r="O1313" t="str">
        <f>D1313&amp;"-"&amp;E1313&amp;"-"&amp;F1313&amp;"-"&amp;G1313&amp;"-"&amp;H1313</f>
        <v>X-2-f-4-7.5</v>
      </c>
      <c r="P1313" t="str">
        <f>I1313&amp;"-"&amp;J1313&amp;"-"&amp;K1313&amp;"-"&amp;L1313&amp;"-"&amp;M1313</f>
        <v>X-2-f-3-8.5</v>
      </c>
      <c r="Q1313">
        <f>A1313+R1313</f>
        <v>4722.950726</v>
      </c>
      <c r="R1313">
        <f>_xlfn.IFNA(VLOOKUP(P1313,PGOPHER!A$2:G$181,7,FALSE),_xlfn.IFNA(VLOOKUP(P1313,en!A$2:I$768,7,FALSE),-10000))</f>
        <v>3719.4636260000002</v>
      </c>
      <c r="S1313">
        <f>IF(O1313=O1312,Q1312+S1312,Q1313)</f>
        <v>9445.8999700000004</v>
      </c>
      <c r="T1313">
        <f>IF(O1313=O1312,T1312+1,1)</f>
        <v>2</v>
      </c>
      <c r="U1313">
        <f>IF(O1313=O1314,"",S1313/T1313)</f>
        <v>4722.9499850000002</v>
      </c>
      <c r="V1313" t="str">
        <f>IF(U1313="","",IF(ABS(Q1313-U1313)&gt;V$1,"error",""))</f>
        <v/>
      </c>
    </row>
    <row r="1314" spans="1:22" x14ac:dyDescent="0.55000000000000004">
      <c r="A1314">
        <v>1101.9391700000001</v>
      </c>
      <c r="B1314" s="1">
        <v>1E-3</v>
      </c>
      <c r="C1314" s="1">
        <v>1E-3</v>
      </c>
      <c r="D1314" s="2" t="s">
        <v>0</v>
      </c>
      <c r="E1314">
        <v>1</v>
      </c>
      <c r="F1314" s="2" t="s">
        <v>2</v>
      </c>
      <c r="G1314">
        <v>1</v>
      </c>
      <c r="H1314">
        <v>8.5</v>
      </c>
      <c r="I1314" s="2" t="s">
        <v>0</v>
      </c>
      <c r="J1314">
        <v>1</v>
      </c>
      <c r="K1314" s="2" t="s">
        <v>2</v>
      </c>
      <c r="L1314">
        <v>0</v>
      </c>
      <c r="M1314">
        <v>9.5</v>
      </c>
      <c r="N1314" s="2" t="s">
        <v>142</v>
      </c>
      <c r="O1314" t="str">
        <f>D1314&amp;"-"&amp;E1314&amp;"-"&amp;F1314&amp;"-"&amp;G1314&amp;"-"&amp;H1314</f>
        <v>X-1-e-1-8.5</v>
      </c>
      <c r="P1314" t="str">
        <f>I1314&amp;"-"&amp;J1314&amp;"-"&amp;K1314&amp;"-"&amp;L1314&amp;"-"&amp;M1314</f>
        <v>X-1-e-0-9.5</v>
      </c>
      <c r="Q1314">
        <f>A1314+R1314</f>
        <v>1428.4067880000002</v>
      </c>
      <c r="R1314">
        <f>_xlfn.IFNA(VLOOKUP(P1314,PGOPHER!A$2:G$181,7,FALSE),_xlfn.IFNA(VLOOKUP(P1314,en!A$2:I$768,7,FALSE),-10000))</f>
        <v>326.46761800000002</v>
      </c>
      <c r="S1314">
        <f>IF(O1314=O1313,Q1313+S1313,Q1314)</f>
        <v>1428.4067880000002</v>
      </c>
      <c r="T1314">
        <f>IF(O1314=O1313,T1313+1,1)</f>
        <v>1</v>
      </c>
      <c r="U1314" t="str">
        <f>IF(O1314=O1315,"",S1314/T1314)</f>
        <v/>
      </c>
      <c r="V1314" t="str">
        <f>IF(U1314="","",IF(ABS(Q1314-U1314)&gt;V$1,"error",""))</f>
        <v/>
      </c>
    </row>
    <row r="1315" spans="1:22" x14ac:dyDescent="0.55000000000000004">
      <c r="A1315">
        <v>1224.9277300000001</v>
      </c>
      <c r="B1315" s="1">
        <v>1E-3</v>
      </c>
      <c r="C1315" s="1">
        <v>1E-3</v>
      </c>
      <c r="D1315" s="2" t="s">
        <v>0</v>
      </c>
      <c r="E1315">
        <v>1</v>
      </c>
      <c r="F1315" s="2" t="s">
        <v>2</v>
      </c>
      <c r="G1315">
        <v>1</v>
      </c>
      <c r="H1315">
        <v>8.5</v>
      </c>
      <c r="I1315" s="2" t="s">
        <v>0</v>
      </c>
      <c r="J1315">
        <v>1</v>
      </c>
      <c r="K1315" s="2" t="s">
        <v>2</v>
      </c>
      <c r="L1315">
        <v>0</v>
      </c>
      <c r="M1315">
        <v>7.5</v>
      </c>
      <c r="N1315" s="2" t="s">
        <v>146</v>
      </c>
      <c r="O1315" t="str">
        <f>D1315&amp;"-"&amp;E1315&amp;"-"&amp;F1315&amp;"-"&amp;G1315&amp;"-"&amp;H1315</f>
        <v>X-1-e-1-8.5</v>
      </c>
      <c r="P1315" t="str">
        <f>I1315&amp;"-"&amp;J1315&amp;"-"&amp;K1315&amp;"-"&amp;L1315&amp;"-"&amp;M1315</f>
        <v>X-1-e-0-7.5</v>
      </c>
      <c r="Q1315">
        <f>A1315+R1315</f>
        <v>1428.4072530000001</v>
      </c>
      <c r="R1315">
        <f>_xlfn.IFNA(VLOOKUP(P1315,PGOPHER!A$2:G$181,7,FALSE),_xlfn.IFNA(VLOOKUP(P1315,en!A$2:I$768,7,FALSE),-10000))</f>
        <v>203.479523</v>
      </c>
      <c r="S1315">
        <f>IF(O1315=O1314,Q1314+S1314,Q1315)</f>
        <v>2856.8135760000005</v>
      </c>
      <c r="T1315">
        <f>IF(O1315=O1314,T1314+1,1)</f>
        <v>2</v>
      </c>
      <c r="U1315" t="str">
        <f>IF(O1315=O1316,"",S1315/T1315)</f>
        <v/>
      </c>
      <c r="V1315" t="str">
        <f>IF(U1315="","",IF(ABS(Q1315-U1315)&gt;V$1,"error",""))</f>
        <v/>
      </c>
    </row>
    <row r="1316" spans="1:22" x14ac:dyDescent="0.55000000000000004">
      <c r="A1316">
        <v>1224.9283499999999</v>
      </c>
      <c r="B1316" s="1">
        <v>1E-3</v>
      </c>
      <c r="C1316" s="1">
        <v>1E-3</v>
      </c>
      <c r="D1316" s="2" t="s">
        <v>0</v>
      </c>
      <c r="E1316">
        <v>1</v>
      </c>
      <c r="F1316" s="2" t="s">
        <v>2</v>
      </c>
      <c r="G1316">
        <v>1</v>
      </c>
      <c r="H1316">
        <v>8.5</v>
      </c>
      <c r="I1316" s="2" t="s">
        <v>0</v>
      </c>
      <c r="J1316">
        <v>1</v>
      </c>
      <c r="K1316" s="2" t="s">
        <v>2</v>
      </c>
      <c r="L1316">
        <v>0</v>
      </c>
      <c r="M1316">
        <v>7.5</v>
      </c>
      <c r="N1316" s="2" t="s">
        <v>143</v>
      </c>
      <c r="O1316" t="str">
        <f>D1316&amp;"-"&amp;E1316&amp;"-"&amp;F1316&amp;"-"&amp;G1316&amp;"-"&amp;H1316</f>
        <v>X-1-e-1-8.5</v>
      </c>
      <c r="P1316" t="str">
        <f>I1316&amp;"-"&amp;J1316&amp;"-"&amp;K1316&amp;"-"&amp;L1316&amp;"-"&amp;M1316</f>
        <v>X-1-e-0-7.5</v>
      </c>
      <c r="Q1316">
        <f>A1316+R1316</f>
        <v>1428.4078729999999</v>
      </c>
      <c r="R1316">
        <f>_xlfn.IFNA(VLOOKUP(P1316,PGOPHER!A$2:G$181,7,FALSE),_xlfn.IFNA(VLOOKUP(P1316,en!A$2:I$768,7,FALSE),-10000))</f>
        <v>203.479523</v>
      </c>
      <c r="S1316">
        <f>IF(O1316=O1315,Q1315+S1315,Q1316)</f>
        <v>4285.2208290000008</v>
      </c>
      <c r="T1316">
        <f>IF(O1316=O1315,T1315+1,1)</f>
        <v>3</v>
      </c>
      <c r="U1316" t="str">
        <f>IF(O1316=O1317,"",S1316/T1316)</f>
        <v/>
      </c>
      <c r="V1316" t="str">
        <f>IF(U1316="","",IF(ABS(Q1316-U1316)&gt;V$1,"error",""))</f>
        <v/>
      </c>
    </row>
    <row r="1317" spans="1:22" x14ac:dyDescent="0.55000000000000004">
      <c r="A1317">
        <v>1101.94</v>
      </c>
      <c r="B1317" s="1">
        <v>1E-3</v>
      </c>
      <c r="C1317" s="1">
        <v>1E-3</v>
      </c>
      <c r="D1317" s="2" t="s">
        <v>0</v>
      </c>
      <c r="E1317">
        <v>1</v>
      </c>
      <c r="F1317" s="2" t="s">
        <v>2</v>
      </c>
      <c r="G1317">
        <v>1</v>
      </c>
      <c r="H1317">
        <v>8.5</v>
      </c>
      <c r="I1317" s="2" t="s">
        <v>0</v>
      </c>
      <c r="J1317">
        <v>1</v>
      </c>
      <c r="K1317" s="2" t="s">
        <v>2</v>
      </c>
      <c r="L1317">
        <v>0</v>
      </c>
      <c r="M1317">
        <v>9.5</v>
      </c>
      <c r="N1317" s="2" t="s">
        <v>150</v>
      </c>
      <c r="O1317" t="str">
        <f>D1317&amp;"-"&amp;E1317&amp;"-"&amp;F1317&amp;"-"&amp;G1317&amp;"-"&amp;H1317</f>
        <v>X-1-e-1-8.5</v>
      </c>
      <c r="P1317" t="str">
        <f>I1317&amp;"-"&amp;J1317&amp;"-"&amp;K1317&amp;"-"&amp;L1317&amp;"-"&amp;M1317</f>
        <v>X-1-e-0-9.5</v>
      </c>
      <c r="Q1317">
        <f>A1317+R1317</f>
        <v>1428.4076180000002</v>
      </c>
      <c r="R1317">
        <f>_xlfn.IFNA(VLOOKUP(P1317,PGOPHER!A$2:G$181,7,FALSE),_xlfn.IFNA(VLOOKUP(P1317,en!A$2:I$768,7,FALSE),-10000))</f>
        <v>326.46761800000002</v>
      </c>
      <c r="S1317">
        <f>IF(O1317=O1316,Q1316+S1316,Q1317)</f>
        <v>5713.6287020000009</v>
      </c>
      <c r="T1317">
        <f>IF(O1317=O1316,T1316+1,1)</f>
        <v>4</v>
      </c>
      <c r="U1317" t="str">
        <f>IF(O1317=O1318,"",S1317/T1317)</f>
        <v/>
      </c>
      <c r="V1317" t="str">
        <f>IF(U1317="","",IF(ABS(Q1317-U1317)&gt;V$1,"error",""))</f>
        <v/>
      </c>
    </row>
    <row r="1318" spans="1:22" x14ac:dyDescent="0.55000000000000004">
      <c r="A1318">
        <v>1101.94</v>
      </c>
      <c r="B1318" s="1">
        <v>1.12E-2</v>
      </c>
      <c r="C1318" s="1">
        <v>1.12E-2</v>
      </c>
      <c r="D1318" s="2" t="s">
        <v>0</v>
      </c>
      <c r="E1318">
        <v>1</v>
      </c>
      <c r="F1318" s="2" t="s">
        <v>2</v>
      </c>
      <c r="G1318">
        <v>1</v>
      </c>
      <c r="H1318">
        <v>8.5</v>
      </c>
      <c r="I1318" s="2" t="s">
        <v>0</v>
      </c>
      <c r="J1318">
        <v>1</v>
      </c>
      <c r="K1318" s="2" t="s">
        <v>2</v>
      </c>
      <c r="L1318">
        <v>0</v>
      </c>
      <c r="M1318">
        <v>9.5</v>
      </c>
      <c r="N1318" s="2" t="s">
        <v>140</v>
      </c>
      <c r="O1318" t="str">
        <f>D1318&amp;"-"&amp;E1318&amp;"-"&amp;F1318&amp;"-"&amp;G1318&amp;"-"&amp;H1318</f>
        <v>X-1-e-1-8.5</v>
      </c>
      <c r="P1318" t="str">
        <f>I1318&amp;"-"&amp;J1318&amp;"-"&amp;K1318&amp;"-"&amp;L1318&amp;"-"&amp;M1318</f>
        <v>X-1-e-0-9.5</v>
      </c>
      <c r="Q1318">
        <f>A1318+R1318</f>
        <v>1428.4076180000002</v>
      </c>
      <c r="R1318">
        <f>_xlfn.IFNA(VLOOKUP(P1318,PGOPHER!A$2:G$181,7,FALSE),_xlfn.IFNA(VLOOKUP(P1318,en!A$2:I$768,7,FALSE),-10000))</f>
        <v>326.46761800000002</v>
      </c>
      <c r="S1318">
        <f>IF(O1318=O1317,Q1317+S1317,Q1318)</f>
        <v>7142.0363200000011</v>
      </c>
      <c r="T1318">
        <f>IF(O1318=O1317,T1317+1,1)</f>
        <v>5</v>
      </c>
      <c r="U1318" t="str">
        <f>IF(O1318=O1319,"",S1318/T1318)</f>
        <v/>
      </c>
      <c r="V1318" t="str">
        <f>IF(U1318="","",IF(ABS(Q1318-U1318)&gt;V$1,"error",""))</f>
        <v/>
      </c>
    </row>
    <row r="1319" spans="1:22" x14ac:dyDescent="0.55000000000000004">
      <c r="A1319">
        <v>1224.9277</v>
      </c>
      <c r="B1319" s="1">
        <v>2.2100000000000002E-2</v>
      </c>
      <c r="C1319" s="1">
        <v>2.2100000000000002E-2</v>
      </c>
      <c r="D1319" s="2" t="s">
        <v>0</v>
      </c>
      <c r="E1319">
        <v>1</v>
      </c>
      <c r="F1319" s="2" t="s">
        <v>2</v>
      </c>
      <c r="G1319">
        <v>1</v>
      </c>
      <c r="H1319">
        <v>8.5</v>
      </c>
      <c r="I1319" s="2" t="s">
        <v>0</v>
      </c>
      <c r="J1319">
        <v>1</v>
      </c>
      <c r="K1319" s="2" t="s">
        <v>2</v>
      </c>
      <c r="L1319">
        <v>0</v>
      </c>
      <c r="M1319">
        <v>7.5</v>
      </c>
      <c r="N1319" s="2" t="s">
        <v>136</v>
      </c>
      <c r="O1319" t="str">
        <f>D1319&amp;"-"&amp;E1319&amp;"-"&amp;F1319&amp;"-"&amp;G1319&amp;"-"&amp;H1319</f>
        <v>X-1-e-1-8.5</v>
      </c>
      <c r="P1319" t="str">
        <f>I1319&amp;"-"&amp;J1319&amp;"-"&amp;K1319&amp;"-"&amp;L1319&amp;"-"&amp;M1319</f>
        <v>X-1-e-0-7.5</v>
      </c>
      <c r="Q1319">
        <f>A1319+R1319</f>
        <v>1428.4072229999999</v>
      </c>
      <c r="R1319">
        <f>_xlfn.IFNA(VLOOKUP(P1319,PGOPHER!A$2:G$181,7,FALSE),_xlfn.IFNA(VLOOKUP(P1319,en!A$2:I$768,7,FALSE),-10000))</f>
        <v>203.479523</v>
      </c>
      <c r="S1319">
        <f>IF(O1319=O1318,Q1318+S1318,Q1319)</f>
        <v>8570.4439380000003</v>
      </c>
      <c r="T1319">
        <f>IF(O1319=O1318,T1318+1,1)</f>
        <v>6</v>
      </c>
      <c r="U1319" t="str">
        <f>IF(O1319=O1320,"",S1319/T1319)</f>
        <v/>
      </c>
      <c r="V1319" t="str">
        <f>IF(U1319="","",IF(ABS(Q1319-U1319)&gt;V$1,"error",""))</f>
        <v/>
      </c>
    </row>
    <row r="1320" spans="1:22" x14ac:dyDescent="0.55000000000000004">
      <c r="A1320">
        <v>1101.94091</v>
      </c>
      <c r="B1320" s="1">
        <v>1E-3</v>
      </c>
      <c r="C1320" s="1">
        <v>1E-3</v>
      </c>
      <c r="D1320" s="2" t="s">
        <v>0</v>
      </c>
      <c r="E1320">
        <v>1</v>
      </c>
      <c r="F1320" s="2" t="s">
        <v>2</v>
      </c>
      <c r="G1320">
        <v>1</v>
      </c>
      <c r="H1320">
        <v>8.5</v>
      </c>
      <c r="I1320" s="2" t="s">
        <v>0</v>
      </c>
      <c r="J1320">
        <v>1</v>
      </c>
      <c r="K1320" s="2" t="s">
        <v>2</v>
      </c>
      <c r="L1320">
        <v>0</v>
      </c>
      <c r="M1320">
        <v>9.5</v>
      </c>
      <c r="N1320" s="2" t="s">
        <v>147</v>
      </c>
      <c r="O1320" t="str">
        <f>D1320&amp;"-"&amp;E1320&amp;"-"&amp;F1320&amp;"-"&amp;G1320&amp;"-"&amp;H1320</f>
        <v>X-1-e-1-8.5</v>
      </c>
      <c r="P1320" t="str">
        <f>I1320&amp;"-"&amp;J1320&amp;"-"&amp;K1320&amp;"-"&amp;L1320&amp;"-"&amp;M1320</f>
        <v>X-1-e-0-9.5</v>
      </c>
      <c r="Q1320">
        <f>A1320+R1320</f>
        <v>1428.4085279999999</v>
      </c>
      <c r="R1320">
        <f>_xlfn.IFNA(VLOOKUP(P1320,PGOPHER!A$2:G$181,7,FALSE),_xlfn.IFNA(VLOOKUP(P1320,en!A$2:I$768,7,FALSE),-10000))</f>
        <v>326.46761800000002</v>
      </c>
      <c r="S1320">
        <f>IF(O1320=O1319,Q1319+S1319,Q1320)</f>
        <v>9998.8511610000005</v>
      </c>
      <c r="T1320">
        <f>IF(O1320=O1319,T1319+1,1)</f>
        <v>7</v>
      </c>
      <c r="U1320" t="str">
        <f>IF(O1320=O1321,"",S1320/T1320)</f>
        <v/>
      </c>
      <c r="V1320" t="str">
        <f>IF(U1320="","",IF(ABS(Q1320-U1320)&gt;V$1,"error",""))</f>
        <v/>
      </c>
    </row>
    <row r="1321" spans="1:22" x14ac:dyDescent="0.55000000000000004">
      <c r="A1321">
        <v>1101.9409000000001</v>
      </c>
      <c r="B1321" s="1">
        <v>1.03E-2</v>
      </c>
      <c r="C1321" s="1">
        <v>1.03E-2</v>
      </c>
      <c r="D1321" s="2" t="s">
        <v>0</v>
      </c>
      <c r="E1321">
        <v>1</v>
      </c>
      <c r="F1321" s="2" t="s">
        <v>2</v>
      </c>
      <c r="G1321">
        <v>1</v>
      </c>
      <c r="H1321">
        <v>8.5</v>
      </c>
      <c r="I1321" s="2" t="s">
        <v>0</v>
      </c>
      <c r="J1321">
        <v>1</v>
      </c>
      <c r="K1321" s="2" t="s">
        <v>2</v>
      </c>
      <c r="L1321">
        <v>0</v>
      </c>
      <c r="M1321">
        <v>9.5</v>
      </c>
      <c r="N1321" s="2" t="s">
        <v>139</v>
      </c>
      <c r="O1321" t="str">
        <f>D1321&amp;"-"&amp;E1321&amp;"-"&amp;F1321&amp;"-"&amp;G1321&amp;"-"&amp;H1321</f>
        <v>X-1-e-1-8.5</v>
      </c>
      <c r="P1321" t="str">
        <f>I1321&amp;"-"&amp;J1321&amp;"-"&amp;K1321&amp;"-"&amp;L1321&amp;"-"&amp;M1321</f>
        <v>X-1-e-0-9.5</v>
      </c>
      <c r="Q1321">
        <f>A1321+R1321</f>
        <v>1428.4085180000002</v>
      </c>
      <c r="R1321">
        <f>_xlfn.IFNA(VLOOKUP(P1321,PGOPHER!A$2:G$181,7,FALSE),_xlfn.IFNA(VLOOKUP(P1321,en!A$2:I$768,7,FALSE),-10000))</f>
        <v>326.46761800000002</v>
      </c>
      <c r="S1321">
        <f>IF(O1321=O1320,Q1320+S1320,Q1321)</f>
        <v>11427.259689</v>
      </c>
      <c r="T1321">
        <f>IF(O1321=O1320,T1320+1,1)</f>
        <v>8</v>
      </c>
      <c r="U1321">
        <f>IF(O1321=O1322,"",S1321/T1321)</f>
        <v>1428.4074611250001</v>
      </c>
      <c r="V1321" t="str">
        <f>IF(U1321="","",IF(ABS(Q1321-U1321)&gt;V$1,"error",""))</f>
        <v/>
      </c>
    </row>
    <row r="1322" spans="1:22" x14ac:dyDescent="0.55000000000000004">
      <c r="A1322">
        <v>1189.4644000000001</v>
      </c>
      <c r="B1322" s="1">
        <v>5.2599999999999999E-3</v>
      </c>
      <c r="C1322" s="1">
        <v>5.2599999999999999E-3</v>
      </c>
      <c r="D1322" s="2" t="s">
        <v>0</v>
      </c>
      <c r="E1322">
        <v>1</v>
      </c>
      <c r="F1322" s="2" t="s">
        <v>2</v>
      </c>
      <c r="G1322">
        <v>2</v>
      </c>
      <c r="H1322">
        <v>8.5</v>
      </c>
      <c r="I1322" s="2" t="s">
        <v>0</v>
      </c>
      <c r="J1322">
        <v>1</v>
      </c>
      <c r="K1322" s="2" t="s">
        <v>2</v>
      </c>
      <c r="L1322">
        <v>1</v>
      </c>
      <c r="M1322">
        <v>7.5</v>
      </c>
      <c r="N1322" s="2" t="s">
        <v>428</v>
      </c>
      <c r="O1322" t="str">
        <f>D1322&amp;"-"&amp;E1322&amp;"-"&amp;F1322&amp;"-"&amp;G1322&amp;"-"&amp;H1322</f>
        <v>X-1-e-2-8.5</v>
      </c>
      <c r="P1322" t="str">
        <f>I1322&amp;"-"&amp;J1322&amp;"-"&amp;K1322&amp;"-"&amp;L1322&amp;"-"&amp;M1322</f>
        <v>X-1-e-1-7.5</v>
      </c>
      <c r="Q1322">
        <f>A1322+R1322</f>
        <v>2561.2384959999999</v>
      </c>
      <c r="R1322">
        <f>_xlfn.IFNA(VLOOKUP(P1322,PGOPHER!A$2:G$181,7,FALSE),_xlfn.IFNA(VLOOKUP(P1322,en!A$2:I$768,7,FALSE),-10000))</f>
        <v>1371.7740960000001</v>
      </c>
      <c r="S1322">
        <f>IF(O1322=O1321,Q1321+S1321,Q1322)</f>
        <v>2561.2384959999999</v>
      </c>
      <c r="T1322">
        <f>IF(O1322=O1321,T1321+1,1)</f>
        <v>1</v>
      </c>
      <c r="U1322" t="str">
        <f>IF(O1322=O1323,"",S1322/T1322)</f>
        <v/>
      </c>
      <c r="V1322" t="str">
        <f>IF(U1322="","",IF(ABS(Q1322-U1322)&gt;V$1,"error",""))</f>
        <v/>
      </c>
    </row>
    <row r="1323" spans="1:22" x14ac:dyDescent="0.55000000000000004">
      <c r="A1323">
        <v>1069.2092</v>
      </c>
      <c r="B1323" s="1">
        <v>1E-3</v>
      </c>
      <c r="C1323" s="1">
        <v>1E-3</v>
      </c>
      <c r="D1323" s="2" t="s">
        <v>0</v>
      </c>
      <c r="E1323">
        <v>1</v>
      </c>
      <c r="F1323" s="2" t="s">
        <v>2</v>
      </c>
      <c r="G1323">
        <v>2</v>
      </c>
      <c r="H1323">
        <v>8.5</v>
      </c>
      <c r="I1323" s="2" t="s">
        <v>0</v>
      </c>
      <c r="J1323">
        <v>1</v>
      </c>
      <c r="K1323" s="2" t="s">
        <v>2</v>
      </c>
      <c r="L1323">
        <v>1</v>
      </c>
      <c r="M1323">
        <v>9.5</v>
      </c>
      <c r="N1323" s="2" t="s">
        <v>430</v>
      </c>
      <c r="O1323" t="str">
        <f>D1323&amp;"-"&amp;E1323&amp;"-"&amp;F1323&amp;"-"&amp;G1323&amp;"-"&amp;H1323</f>
        <v>X-1-e-2-8.5</v>
      </c>
      <c r="P1323" t="str">
        <f>I1323&amp;"-"&amp;J1323&amp;"-"&amp;K1323&amp;"-"&amp;L1323&amp;"-"&amp;M1323</f>
        <v>X-1-e-1-9.5</v>
      </c>
      <c r="Q1323">
        <f>A1323+R1323</f>
        <v>2561.238957</v>
      </c>
      <c r="R1323">
        <f>_xlfn.IFNA(VLOOKUP(P1323,PGOPHER!A$2:G$181,7,FALSE),_xlfn.IFNA(VLOOKUP(P1323,en!A$2:I$768,7,FALSE),-10000))</f>
        <v>1492.029757</v>
      </c>
      <c r="S1323">
        <f>IF(O1323=O1322,Q1322+S1322,Q1323)</f>
        <v>5122.4769919999999</v>
      </c>
      <c r="T1323">
        <f>IF(O1323=O1322,T1322+1,1)</f>
        <v>2</v>
      </c>
      <c r="U1323" t="str">
        <f>IF(O1323=O1324,"",S1323/T1323)</f>
        <v/>
      </c>
      <c r="V1323" t="str">
        <f>IF(U1323="","",IF(ABS(Q1323-U1323)&gt;V$1,"error",""))</f>
        <v/>
      </c>
    </row>
    <row r="1324" spans="1:22" x14ac:dyDescent="0.55000000000000004">
      <c r="A1324">
        <v>1069.2085</v>
      </c>
      <c r="B1324" s="1">
        <v>1E-3</v>
      </c>
      <c r="C1324" s="1">
        <v>1E-3</v>
      </c>
      <c r="D1324" s="2" t="s">
        <v>0</v>
      </c>
      <c r="E1324">
        <v>1</v>
      </c>
      <c r="F1324" s="2" t="s">
        <v>2</v>
      </c>
      <c r="G1324">
        <v>2</v>
      </c>
      <c r="H1324">
        <v>8.5</v>
      </c>
      <c r="I1324" s="2" t="s">
        <v>0</v>
      </c>
      <c r="J1324">
        <v>1</v>
      </c>
      <c r="K1324" s="2" t="s">
        <v>2</v>
      </c>
      <c r="L1324">
        <v>1</v>
      </c>
      <c r="M1324">
        <v>9.5</v>
      </c>
      <c r="N1324" s="2" t="s">
        <v>431</v>
      </c>
      <c r="O1324" t="str">
        <f>D1324&amp;"-"&amp;E1324&amp;"-"&amp;F1324&amp;"-"&amp;G1324&amp;"-"&amp;H1324</f>
        <v>X-1-e-2-8.5</v>
      </c>
      <c r="P1324" t="str">
        <f>I1324&amp;"-"&amp;J1324&amp;"-"&amp;K1324&amp;"-"&amp;L1324&amp;"-"&amp;M1324</f>
        <v>X-1-e-1-9.5</v>
      </c>
      <c r="Q1324">
        <f>A1324+R1324</f>
        <v>2561.238257</v>
      </c>
      <c r="R1324">
        <f>_xlfn.IFNA(VLOOKUP(P1324,PGOPHER!A$2:G$181,7,FALSE),_xlfn.IFNA(VLOOKUP(P1324,en!A$2:I$768,7,FALSE),-10000))</f>
        <v>1492.029757</v>
      </c>
      <c r="S1324">
        <f>IF(O1324=O1323,Q1323+S1323,Q1324)</f>
        <v>7683.7159489999995</v>
      </c>
      <c r="T1324">
        <f>IF(O1324=O1323,T1323+1,1)</f>
        <v>3</v>
      </c>
      <c r="U1324">
        <f>IF(O1324=O1325,"",S1324/T1324)</f>
        <v>2561.2386496666663</v>
      </c>
      <c r="V1324" t="str">
        <f>IF(U1324="","",IF(ABS(Q1324-U1324)&gt;V$1,"error",""))</f>
        <v/>
      </c>
    </row>
    <row r="1325" spans="1:22" x14ac:dyDescent="0.55000000000000004">
      <c r="A1325">
        <v>1036.3963000000001</v>
      </c>
      <c r="B1325" s="1">
        <v>1.83E-2</v>
      </c>
      <c r="C1325" s="1">
        <v>1.83E-2</v>
      </c>
      <c r="D1325" s="2" t="s">
        <v>0</v>
      </c>
      <c r="E1325">
        <v>1</v>
      </c>
      <c r="F1325" s="2" t="s">
        <v>2</v>
      </c>
      <c r="G1325">
        <v>3</v>
      </c>
      <c r="H1325">
        <v>8.5</v>
      </c>
      <c r="I1325" s="2" t="s">
        <v>0</v>
      </c>
      <c r="J1325">
        <v>1</v>
      </c>
      <c r="K1325" s="2" t="s">
        <v>2</v>
      </c>
      <c r="L1325">
        <v>2</v>
      </c>
      <c r="M1325">
        <v>9.5</v>
      </c>
      <c r="N1325" s="2" t="s">
        <v>557</v>
      </c>
      <c r="O1325" t="str">
        <f>D1325&amp;"-"&amp;E1325&amp;"-"&amp;F1325&amp;"-"&amp;G1325&amp;"-"&amp;H1325</f>
        <v>X-1-e-3-8.5</v>
      </c>
      <c r="P1325" t="str">
        <f>I1325&amp;"-"&amp;J1325&amp;"-"&amp;K1325&amp;"-"&amp;L1325&amp;"-"&amp;M1325</f>
        <v>X-1-e-2-9.5</v>
      </c>
      <c r="Q1325">
        <f>A1325+R1325</f>
        <v>3659.8062520000003</v>
      </c>
      <c r="R1325">
        <f>_xlfn.IFNA(VLOOKUP(P1325,PGOPHER!A$2:G$181,7,FALSE),_xlfn.IFNA(VLOOKUP(P1325,en!A$2:I$768,7,FALSE),-10000))</f>
        <v>2623.409952</v>
      </c>
      <c r="S1325">
        <f>IF(O1325=O1324,Q1324+S1324,Q1325)</f>
        <v>3659.8062520000003</v>
      </c>
      <c r="T1325">
        <f>IF(O1325=O1324,T1324+1,1)</f>
        <v>1</v>
      </c>
      <c r="U1325" t="str">
        <f>IF(O1325=O1326,"",S1325/T1325)</f>
        <v/>
      </c>
      <c r="V1325" t="str">
        <f>IF(U1325="","",IF(ABS(Q1325-U1325)&gt;V$1,"error",""))</f>
        <v/>
      </c>
    </row>
    <row r="1326" spans="1:22" x14ac:dyDescent="0.55000000000000004">
      <c r="A1326">
        <v>1153.9090000000001</v>
      </c>
      <c r="B1326" s="1">
        <v>1.8700000000000001E-2</v>
      </c>
      <c r="C1326" s="1">
        <v>1.8700000000000001E-2</v>
      </c>
      <c r="D1326" s="2" t="s">
        <v>0</v>
      </c>
      <c r="E1326">
        <v>1</v>
      </c>
      <c r="F1326" s="2" t="s">
        <v>2</v>
      </c>
      <c r="G1326">
        <v>3</v>
      </c>
      <c r="H1326">
        <v>8.5</v>
      </c>
      <c r="I1326" s="2" t="s">
        <v>0</v>
      </c>
      <c r="J1326">
        <v>1</v>
      </c>
      <c r="K1326" s="2" t="s">
        <v>2</v>
      </c>
      <c r="L1326">
        <v>2</v>
      </c>
      <c r="M1326">
        <v>7.5</v>
      </c>
      <c r="N1326" s="2" t="s">
        <v>554</v>
      </c>
      <c r="O1326" t="str">
        <f>D1326&amp;"-"&amp;E1326&amp;"-"&amp;F1326&amp;"-"&amp;G1326&amp;"-"&amp;H1326</f>
        <v>X-1-e-3-8.5</v>
      </c>
      <c r="P1326" t="str">
        <f>I1326&amp;"-"&amp;J1326&amp;"-"&amp;K1326&amp;"-"&amp;L1326&amp;"-"&amp;M1326</f>
        <v>X-1-e-2-7.5</v>
      </c>
      <c r="Q1326">
        <f>A1326+R1326</f>
        <v>3659.8056630000001</v>
      </c>
      <c r="R1326">
        <f>_xlfn.IFNA(VLOOKUP(P1326,PGOPHER!A$2:G$181,7,FALSE),_xlfn.IFNA(VLOOKUP(P1326,en!A$2:I$768,7,FALSE),-10000))</f>
        <v>2505.896663</v>
      </c>
      <c r="S1326">
        <f>IF(O1326=O1325,Q1325+S1325,Q1326)</f>
        <v>7319.6125040000006</v>
      </c>
      <c r="T1326">
        <f>IF(O1326=O1325,T1325+1,1)</f>
        <v>2</v>
      </c>
      <c r="U1326">
        <f>IF(O1326=O1327,"",S1326/T1326)</f>
        <v>3659.8062520000003</v>
      </c>
      <c r="V1326" t="str">
        <f>IF(U1326="","",IF(ABS(Q1326-U1326)&gt;V$1,"error",""))</f>
        <v/>
      </c>
    </row>
    <row r="1327" spans="1:22" x14ac:dyDescent="0.55000000000000004">
      <c r="A1327">
        <v>1003.3405</v>
      </c>
      <c r="B1327" s="1">
        <v>6.1599999999999997E-3</v>
      </c>
      <c r="C1327" s="1">
        <v>6.1599999999999997E-3</v>
      </c>
      <c r="D1327" s="2" t="s">
        <v>0</v>
      </c>
      <c r="E1327">
        <v>1</v>
      </c>
      <c r="F1327" s="2" t="s">
        <v>2</v>
      </c>
      <c r="G1327">
        <v>4</v>
      </c>
      <c r="H1327">
        <v>8.5</v>
      </c>
      <c r="I1327" s="2" t="s">
        <v>0</v>
      </c>
      <c r="J1327">
        <v>1</v>
      </c>
      <c r="K1327" s="2" t="s">
        <v>2</v>
      </c>
      <c r="L1327">
        <v>3</v>
      </c>
      <c r="M1327">
        <v>9.5</v>
      </c>
      <c r="N1327" s="2" t="s">
        <v>637</v>
      </c>
      <c r="O1327" t="str">
        <f>D1327&amp;"-"&amp;E1327&amp;"-"&amp;F1327&amp;"-"&amp;G1327&amp;"-"&amp;H1327</f>
        <v>X-1-e-4-8.5</v>
      </c>
      <c r="P1327" t="str">
        <f>I1327&amp;"-"&amp;J1327&amp;"-"&amp;K1327&amp;"-"&amp;L1327&amp;"-"&amp;M1327</f>
        <v>X-1-e-3-9.5</v>
      </c>
      <c r="Q1327">
        <f>A1327+R1327</f>
        <v>4723.8551189999998</v>
      </c>
      <c r="R1327">
        <f>_xlfn.IFNA(VLOOKUP(P1327,PGOPHER!A$2:G$181,7,FALSE),_xlfn.IFNA(VLOOKUP(P1327,en!A$2:I$768,7,FALSE),-10000))</f>
        <v>3720.514619</v>
      </c>
      <c r="S1327">
        <f>IF(O1327=O1326,Q1326+S1326,Q1327)</f>
        <v>4723.8551189999998</v>
      </c>
      <c r="T1327">
        <f>IF(O1327=O1326,T1326+1,1)</f>
        <v>1</v>
      </c>
      <c r="U1327" t="str">
        <f>IF(O1327=O1328,"",S1327/T1327)</f>
        <v/>
      </c>
      <c r="V1327" t="str">
        <f>IF(U1327="","",IF(ABS(Q1327-U1327)&gt;V$1,"error",""))</f>
        <v/>
      </c>
    </row>
    <row r="1328" spans="1:22" x14ac:dyDescent="0.55000000000000004">
      <c r="A1328">
        <v>1118.0962999999999</v>
      </c>
      <c r="B1328" s="1">
        <v>6.1599999999999997E-3</v>
      </c>
      <c r="C1328" s="1">
        <v>6.1599999999999997E-3</v>
      </c>
      <c r="D1328" s="2" t="s">
        <v>0</v>
      </c>
      <c r="E1328">
        <v>1</v>
      </c>
      <c r="F1328" s="2" t="s">
        <v>2</v>
      </c>
      <c r="G1328">
        <v>4</v>
      </c>
      <c r="H1328">
        <v>8.5</v>
      </c>
      <c r="I1328" s="2" t="s">
        <v>0</v>
      </c>
      <c r="J1328">
        <v>1</v>
      </c>
      <c r="K1328" s="2" t="s">
        <v>2</v>
      </c>
      <c r="L1328">
        <v>3</v>
      </c>
      <c r="M1328">
        <v>7.5</v>
      </c>
      <c r="N1328" s="2" t="s">
        <v>635</v>
      </c>
      <c r="O1328" t="str">
        <f>D1328&amp;"-"&amp;E1328&amp;"-"&amp;F1328&amp;"-"&amp;G1328&amp;"-"&amp;H1328</f>
        <v>X-1-e-4-8.5</v>
      </c>
      <c r="P1328" t="str">
        <f>I1328&amp;"-"&amp;J1328&amp;"-"&amp;K1328&amp;"-"&amp;L1328&amp;"-"&amp;M1328</f>
        <v>X-1-e-3-7.5</v>
      </c>
      <c r="Q1328">
        <f>A1328+R1328</f>
        <v>4723.8580019999999</v>
      </c>
      <c r="R1328">
        <f>_xlfn.IFNA(VLOOKUP(P1328,PGOPHER!A$2:G$181,7,FALSE),_xlfn.IFNA(VLOOKUP(P1328,en!A$2:I$768,7,FALSE),-10000))</f>
        <v>3605.7617019999998</v>
      </c>
      <c r="S1328">
        <f>IF(O1328=O1327,Q1327+S1327,Q1328)</f>
        <v>9447.7102379999997</v>
      </c>
      <c r="T1328">
        <f>IF(O1328=O1327,T1327+1,1)</f>
        <v>2</v>
      </c>
      <c r="U1328">
        <f>IF(O1328=O1329,"",S1328/T1328)</f>
        <v>4723.8551189999998</v>
      </c>
      <c r="V1328" t="str">
        <f>IF(U1328="","",IF(ABS(Q1328-U1328)&gt;V$1,"error",""))</f>
        <v/>
      </c>
    </row>
    <row r="1329" spans="1:22" x14ac:dyDescent="0.55000000000000004">
      <c r="A1329">
        <v>1093.5320899999999</v>
      </c>
      <c r="B1329" s="1">
        <v>1.25E-3</v>
      </c>
      <c r="C1329" s="1">
        <v>1.25E-3</v>
      </c>
      <c r="D1329" s="2" t="s">
        <v>0</v>
      </c>
      <c r="E1329">
        <v>2</v>
      </c>
      <c r="F1329" s="2" t="s">
        <v>1</v>
      </c>
      <c r="G1329">
        <v>1</v>
      </c>
      <c r="H1329">
        <v>8.5</v>
      </c>
      <c r="I1329" s="2" t="s">
        <v>0</v>
      </c>
      <c r="J1329">
        <v>2</v>
      </c>
      <c r="K1329" s="2" t="s">
        <v>1</v>
      </c>
      <c r="L1329">
        <v>0</v>
      </c>
      <c r="M1329">
        <v>9.5</v>
      </c>
      <c r="N1329" s="2" t="s">
        <v>144</v>
      </c>
      <c r="O1329" t="str">
        <f>D1329&amp;"-"&amp;E1329&amp;"-"&amp;F1329&amp;"-"&amp;G1329&amp;"-"&amp;H1329</f>
        <v>X-2-f-1-8.5</v>
      </c>
      <c r="P1329" t="str">
        <f>I1329&amp;"-"&amp;J1329&amp;"-"&amp;K1329&amp;"-"&amp;L1329&amp;"-"&amp;M1329</f>
        <v>X-2-f-0-9.5</v>
      </c>
      <c r="Q1329">
        <f>A1329+R1329</f>
        <v>1490.9006939999999</v>
      </c>
      <c r="R1329">
        <f>_xlfn.IFNA(VLOOKUP(P1329,PGOPHER!A$2:G$181,7,FALSE),_xlfn.IFNA(VLOOKUP(P1329,en!A$2:I$768,7,FALSE),-10000))</f>
        <v>397.368604</v>
      </c>
      <c r="S1329">
        <f>IF(O1329=O1328,Q1328+S1328,Q1329)</f>
        <v>1490.9006939999999</v>
      </c>
      <c r="T1329">
        <f>IF(O1329=O1328,T1328+1,1)</f>
        <v>1</v>
      </c>
      <c r="U1329" t="str">
        <f>IF(O1329=O1330,"",S1329/T1329)</f>
        <v/>
      </c>
      <c r="V1329" t="str">
        <f>IF(U1329="","",IF(ABS(Q1329-U1329)&gt;V$1,"error",""))</f>
        <v/>
      </c>
    </row>
    <row r="1330" spans="1:22" x14ac:dyDescent="0.55000000000000004">
      <c r="A1330">
        <v>1230.5494000000001</v>
      </c>
      <c r="B1330" s="1">
        <v>1E-3</v>
      </c>
      <c r="C1330" s="1">
        <v>1E-3</v>
      </c>
      <c r="D1330" s="2" t="s">
        <v>0</v>
      </c>
      <c r="E1330">
        <v>2</v>
      </c>
      <c r="F1330" s="2" t="s">
        <v>1</v>
      </c>
      <c r="G1330">
        <v>1</v>
      </c>
      <c r="H1330">
        <v>8.5</v>
      </c>
      <c r="I1330" s="2" t="s">
        <v>0</v>
      </c>
      <c r="J1330">
        <v>2</v>
      </c>
      <c r="K1330" s="2" t="s">
        <v>1</v>
      </c>
      <c r="L1330">
        <v>0</v>
      </c>
      <c r="M1330">
        <v>7.5</v>
      </c>
      <c r="N1330" s="2" t="s">
        <v>148</v>
      </c>
      <c r="O1330" t="str">
        <f>D1330&amp;"-"&amp;E1330&amp;"-"&amp;F1330&amp;"-"&amp;G1330&amp;"-"&amp;H1330</f>
        <v>X-2-f-1-8.5</v>
      </c>
      <c r="P1330" t="str">
        <f>I1330&amp;"-"&amp;J1330&amp;"-"&amp;K1330&amp;"-"&amp;L1330&amp;"-"&amp;M1330</f>
        <v>X-2-f-0-7.5</v>
      </c>
      <c r="Q1330">
        <f>A1330+R1330</f>
        <v>1490.901531</v>
      </c>
      <c r="R1330">
        <f>_xlfn.IFNA(VLOOKUP(P1330,PGOPHER!A$2:G$181,7,FALSE),_xlfn.IFNA(VLOOKUP(P1330,en!A$2:I$768,7,FALSE),-10000))</f>
        <v>260.35213099999999</v>
      </c>
      <c r="S1330">
        <f>IF(O1330=O1329,Q1329+S1329,Q1330)</f>
        <v>2981.8013879999999</v>
      </c>
      <c r="T1330">
        <f>IF(O1330=O1329,T1329+1,1)</f>
        <v>2</v>
      </c>
      <c r="U1330" t="str">
        <f>IF(O1330=O1331,"",S1330/T1330)</f>
        <v/>
      </c>
      <c r="V1330" t="str">
        <f>IF(U1330="","",IF(ABS(Q1330-U1330)&gt;V$1,"error",""))</f>
        <v/>
      </c>
    </row>
    <row r="1331" spans="1:22" x14ac:dyDescent="0.55000000000000004">
      <c r="A1331">
        <v>1230.55</v>
      </c>
      <c r="B1331" s="1">
        <v>1E-3</v>
      </c>
      <c r="C1331" s="1">
        <v>1E-3</v>
      </c>
      <c r="D1331" s="2" t="s">
        <v>0</v>
      </c>
      <c r="E1331">
        <v>2</v>
      </c>
      <c r="F1331" s="2" t="s">
        <v>1</v>
      </c>
      <c r="G1331">
        <v>1</v>
      </c>
      <c r="H1331">
        <v>8.5</v>
      </c>
      <c r="I1331" s="2" t="s">
        <v>0</v>
      </c>
      <c r="J1331">
        <v>2</v>
      </c>
      <c r="K1331" s="2" t="s">
        <v>1</v>
      </c>
      <c r="L1331">
        <v>0</v>
      </c>
      <c r="M1331">
        <v>7.5</v>
      </c>
      <c r="N1331" s="2" t="s">
        <v>145</v>
      </c>
      <c r="O1331" t="str">
        <f>D1331&amp;"-"&amp;E1331&amp;"-"&amp;F1331&amp;"-"&amp;G1331&amp;"-"&amp;H1331</f>
        <v>X-2-f-1-8.5</v>
      </c>
      <c r="P1331" t="str">
        <f>I1331&amp;"-"&amp;J1331&amp;"-"&amp;K1331&amp;"-"&amp;L1331&amp;"-"&amp;M1331</f>
        <v>X-2-f-0-7.5</v>
      </c>
      <c r="Q1331">
        <f>A1331+R1331</f>
        <v>1490.9021309999998</v>
      </c>
      <c r="R1331">
        <f>_xlfn.IFNA(VLOOKUP(P1331,PGOPHER!A$2:G$181,7,FALSE),_xlfn.IFNA(VLOOKUP(P1331,en!A$2:I$768,7,FALSE),-10000))</f>
        <v>260.35213099999999</v>
      </c>
      <c r="S1331">
        <f>IF(O1331=O1330,Q1330+S1330,Q1331)</f>
        <v>4472.7029189999994</v>
      </c>
      <c r="T1331">
        <f>IF(O1331=O1330,T1330+1,1)</f>
        <v>3</v>
      </c>
      <c r="U1331" t="str">
        <f>IF(O1331=O1332,"",S1331/T1331)</f>
        <v/>
      </c>
      <c r="V1331" t="str">
        <f>IF(U1331="","",IF(ABS(Q1331-U1331)&gt;V$1,"error",""))</f>
        <v/>
      </c>
    </row>
    <row r="1332" spans="1:22" x14ac:dyDescent="0.55000000000000004">
      <c r="A1332">
        <v>1093.5338999999999</v>
      </c>
      <c r="B1332" s="1">
        <v>5.0899999999999999E-3</v>
      </c>
      <c r="C1332" s="1">
        <v>5.0899999999999999E-3</v>
      </c>
      <c r="D1332" s="2" t="s">
        <v>0</v>
      </c>
      <c r="E1332">
        <v>2</v>
      </c>
      <c r="F1332" s="2" t="s">
        <v>1</v>
      </c>
      <c r="G1332">
        <v>1</v>
      </c>
      <c r="H1332">
        <v>8.5</v>
      </c>
      <c r="I1332" s="2" t="s">
        <v>0</v>
      </c>
      <c r="J1332">
        <v>2</v>
      </c>
      <c r="K1332" s="2" t="s">
        <v>1</v>
      </c>
      <c r="L1332">
        <v>0</v>
      </c>
      <c r="M1332">
        <v>9.5</v>
      </c>
      <c r="N1332" s="2" t="s">
        <v>141</v>
      </c>
      <c r="O1332" t="str">
        <f>D1332&amp;"-"&amp;E1332&amp;"-"&amp;F1332&amp;"-"&amp;G1332&amp;"-"&amp;H1332</f>
        <v>X-2-f-1-8.5</v>
      </c>
      <c r="P1332" t="str">
        <f>I1332&amp;"-"&amp;J1332&amp;"-"&amp;K1332&amp;"-"&amp;L1332&amp;"-"&amp;M1332</f>
        <v>X-2-f-0-9.5</v>
      </c>
      <c r="Q1332">
        <f>A1332+R1332</f>
        <v>1490.9025039999999</v>
      </c>
      <c r="R1332">
        <f>_xlfn.IFNA(VLOOKUP(P1332,PGOPHER!A$2:G$181,7,FALSE),_xlfn.IFNA(VLOOKUP(P1332,en!A$2:I$768,7,FALSE),-10000))</f>
        <v>397.368604</v>
      </c>
      <c r="S1332">
        <f>IF(O1332=O1331,Q1331+S1331,Q1332)</f>
        <v>5963.6050499999992</v>
      </c>
      <c r="T1332">
        <f>IF(O1332=O1331,T1331+1,1)</f>
        <v>4</v>
      </c>
      <c r="U1332" t="str">
        <f>IF(O1332=O1333,"",S1332/T1332)</f>
        <v/>
      </c>
      <c r="V1332" t="str">
        <f>IF(U1332="","",IF(ABS(Q1332-U1332)&gt;V$1,"error",""))</f>
        <v/>
      </c>
    </row>
    <row r="1333" spans="1:22" x14ac:dyDescent="0.55000000000000004">
      <c r="A1333">
        <v>1230.55</v>
      </c>
      <c r="B1333" s="1">
        <v>1E-3</v>
      </c>
      <c r="C1333" s="1">
        <v>1E-3</v>
      </c>
      <c r="D1333" s="2" t="s">
        <v>0</v>
      </c>
      <c r="E1333">
        <v>2</v>
      </c>
      <c r="F1333" s="2" t="s">
        <v>1</v>
      </c>
      <c r="G1333">
        <v>1</v>
      </c>
      <c r="H1333">
        <v>8.5</v>
      </c>
      <c r="I1333" s="2" t="s">
        <v>0</v>
      </c>
      <c r="J1333">
        <v>2</v>
      </c>
      <c r="K1333" s="2" t="s">
        <v>1</v>
      </c>
      <c r="L1333">
        <v>0</v>
      </c>
      <c r="M1333">
        <v>7.5</v>
      </c>
      <c r="N1333" s="2" t="s">
        <v>138</v>
      </c>
      <c r="O1333" t="str">
        <f>D1333&amp;"-"&amp;E1333&amp;"-"&amp;F1333&amp;"-"&amp;G1333&amp;"-"&amp;H1333</f>
        <v>X-2-f-1-8.5</v>
      </c>
      <c r="P1333" t="str">
        <f>I1333&amp;"-"&amp;J1333&amp;"-"&amp;K1333&amp;"-"&amp;L1333&amp;"-"&amp;M1333</f>
        <v>X-2-f-0-7.5</v>
      </c>
      <c r="Q1333">
        <f>A1333+R1333</f>
        <v>1490.9021309999998</v>
      </c>
      <c r="R1333">
        <f>_xlfn.IFNA(VLOOKUP(P1333,PGOPHER!A$2:G$181,7,FALSE),_xlfn.IFNA(VLOOKUP(P1333,en!A$2:I$768,7,FALSE),-10000))</f>
        <v>260.35213099999999</v>
      </c>
      <c r="S1333">
        <f>IF(O1333=O1332,Q1332+S1332,Q1333)</f>
        <v>7454.5075539999989</v>
      </c>
      <c r="T1333">
        <f>IF(O1333=O1332,T1332+1,1)</f>
        <v>5</v>
      </c>
      <c r="U1333" t="str">
        <f>IF(O1333=O1334,"",S1333/T1333)</f>
        <v/>
      </c>
      <c r="V1333" t="str">
        <f>IF(U1333="","",IF(ABS(Q1333-U1333)&gt;V$1,"error",""))</f>
        <v/>
      </c>
    </row>
    <row r="1334" spans="1:22" x14ac:dyDescent="0.55000000000000004">
      <c r="A1334">
        <v>1093.53388</v>
      </c>
      <c r="B1334" s="1">
        <v>1E-3</v>
      </c>
      <c r="C1334" s="1">
        <v>1E-3</v>
      </c>
      <c r="D1334" s="2" t="s">
        <v>0</v>
      </c>
      <c r="E1334">
        <v>2</v>
      </c>
      <c r="F1334" s="2" t="s">
        <v>1</v>
      </c>
      <c r="G1334">
        <v>1</v>
      </c>
      <c r="H1334">
        <v>8.5</v>
      </c>
      <c r="I1334" s="2" t="s">
        <v>0</v>
      </c>
      <c r="J1334">
        <v>2</v>
      </c>
      <c r="K1334" s="2" t="s">
        <v>1</v>
      </c>
      <c r="L1334">
        <v>0</v>
      </c>
      <c r="M1334">
        <v>9.5</v>
      </c>
      <c r="N1334" s="2" t="s">
        <v>149</v>
      </c>
      <c r="O1334" t="str">
        <f>D1334&amp;"-"&amp;E1334&amp;"-"&amp;F1334&amp;"-"&amp;G1334&amp;"-"&amp;H1334</f>
        <v>X-2-f-1-8.5</v>
      </c>
      <c r="P1334" t="str">
        <f>I1334&amp;"-"&amp;J1334&amp;"-"&amp;K1334&amp;"-"&amp;L1334&amp;"-"&amp;M1334</f>
        <v>X-2-f-0-9.5</v>
      </c>
      <c r="Q1334">
        <f>A1334+R1334</f>
        <v>1490.902484</v>
      </c>
      <c r="R1334">
        <f>_xlfn.IFNA(VLOOKUP(P1334,PGOPHER!A$2:G$181,7,FALSE),_xlfn.IFNA(VLOOKUP(P1334,en!A$2:I$768,7,FALSE),-10000))</f>
        <v>397.368604</v>
      </c>
      <c r="S1334">
        <f>IF(O1334=O1333,Q1333+S1333,Q1334)</f>
        <v>8945.4096849999987</v>
      </c>
      <c r="T1334">
        <f>IF(O1334=O1333,T1333+1,1)</f>
        <v>6</v>
      </c>
      <c r="U1334" t="str">
        <f>IF(O1334=O1335,"",S1334/T1334)</f>
        <v/>
      </c>
      <c r="V1334" t="str">
        <f>IF(U1334="","",IF(ABS(Q1334-U1334)&gt;V$1,"error",""))</f>
        <v/>
      </c>
    </row>
    <row r="1335" spans="1:22" x14ac:dyDescent="0.55000000000000004">
      <c r="A1335">
        <v>1230.55</v>
      </c>
      <c r="B1335" s="1">
        <v>1E-3</v>
      </c>
      <c r="C1335" s="1">
        <v>1E-3</v>
      </c>
      <c r="D1335" s="2" t="s">
        <v>0</v>
      </c>
      <c r="E1335">
        <v>2</v>
      </c>
      <c r="F1335" s="2" t="s">
        <v>1</v>
      </c>
      <c r="G1335">
        <v>1</v>
      </c>
      <c r="H1335">
        <v>8.5</v>
      </c>
      <c r="I1335" s="2" t="s">
        <v>0</v>
      </c>
      <c r="J1335">
        <v>2</v>
      </c>
      <c r="K1335" s="2" t="s">
        <v>1</v>
      </c>
      <c r="L1335">
        <v>0</v>
      </c>
      <c r="M1335">
        <v>7.5</v>
      </c>
      <c r="N1335" s="2" t="s">
        <v>151</v>
      </c>
      <c r="O1335" t="str">
        <f>D1335&amp;"-"&amp;E1335&amp;"-"&amp;F1335&amp;"-"&amp;G1335&amp;"-"&amp;H1335</f>
        <v>X-2-f-1-8.5</v>
      </c>
      <c r="P1335" t="str">
        <f>I1335&amp;"-"&amp;J1335&amp;"-"&amp;K1335&amp;"-"&amp;L1335&amp;"-"&amp;M1335</f>
        <v>X-2-f-0-7.5</v>
      </c>
      <c r="Q1335">
        <f>A1335+R1335</f>
        <v>1490.9021309999998</v>
      </c>
      <c r="R1335">
        <f>_xlfn.IFNA(VLOOKUP(P1335,PGOPHER!A$2:G$181,7,FALSE),_xlfn.IFNA(VLOOKUP(P1335,en!A$2:I$768,7,FALSE),-10000))</f>
        <v>260.35213099999999</v>
      </c>
      <c r="S1335">
        <f>IF(O1335=O1334,Q1334+S1334,Q1335)</f>
        <v>10436.312168999999</v>
      </c>
      <c r="T1335">
        <f>IF(O1335=O1334,T1334+1,1)</f>
        <v>7</v>
      </c>
      <c r="U1335" t="str">
        <f>IF(O1335=O1336,"",S1335/T1335)</f>
        <v/>
      </c>
      <c r="V1335" t="str">
        <f>IF(U1335="","",IF(ABS(Q1335-U1335)&gt;V$1,"error",""))</f>
        <v/>
      </c>
    </row>
    <row r="1336" spans="1:22" x14ac:dyDescent="0.55000000000000004">
      <c r="A1336">
        <v>1230.5494000000001</v>
      </c>
      <c r="B1336" s="1">
        <v>1E-3</v>
      </c>
      <c r="C1336" s="1">
        <v>1E-3</v>
      </c>
      <c r="D1336" s="2" t="s">
        <v>0</v>
      </c>
      <c r="E1336">
        <v>2</v>
      </c>
      <c r="F1336" s="2" t="s">
        <v>1</v>
      </c>
      <c r="G1336">
        <v>1</v>
      </c>
      <c r="H1336">
        <v>8.5</v>
      </c>
      <c r="I1336" s="2" t="s">
        <v>0</v>
      </c>
      <c r="J1336">
        <v>2</v>
      </c>
      <c r="K1336" s="2" t="s">
        <v>1</v>
      </c>
      <c r="L1336">
        <v>0</v>
      </c>
      <c r="M1336">
        <v>7.5</v>
      </c>
      <c r="N1336" s="2" t="s">
        <v>137</v>
      </c>
      <c r="O1336" t="str">
        <f>D1336&amp;"-"&amp;E1336&amp;"-"&amp;F1336&amp;"-"&amp;G1336&amp;"-"&amp;H1336</f>
        <v>X-2-f-1-8.5</v>
      </c>
      <c r="P1336" t="str">
        <f>I1336&amp;"-"&amp;J1336&amp;"-"&amp;K1336&amp;"-"&amp;L1336&amp;"-"&amp;M1336</f>
        <v>X-2-f-0-7.5</v>
      </c>
      <c r="Q1336">
        <f>A1336+R1336</f>
        <v>1490.901531</v>
      </c>
      <c r="R1336">
        <f>_xlfn.IFNA(VLOOKUP(P1336,PGOPHER!A$2:G$181,7,FALSE),_xlfn.IFNA(VLOOKUP(P1336,en!A$2:I$768,7,FALSE),-10000))</f>
        <v>260.35213099999999</v>
      </c>
      <c r="S1336">
        <f>IF(O1336=O1335,Q1335+S1335,Q1336)</f>
        <v>11927.2143</v>
      </c>
      <c r="T1336">
        <f>IF(O1336=O1335,T1335+1,1)</f>
        <v>8</v>
      </c>
      <c r="U1336">
        <f>IF(O1336=O1337,"",S1336/T1336)</f>
        <v>1490.9017875</v>
      </c>
      <c r="V1336" t="str">
        <f>IF(U1336="","",IF(ABS(Q1336-U1336)&gt;V$1,"error",""))</f>
        <v/>
      </c>
    </row>
    <row r="1337" spans="1:22" x14ac:dyDescent="0.55000000000000004">
      <c r="A1337">
        <v>1060.9519</v>
      </c>
      <c r="B1337" s="1">
        <v>1.9099999999999999E-2</v>
      </c>
      <c r="C1337" s="1">
        <v>1.9099999999999999E-2</v>
      </c>
      <c r="D1337" s="2" t="s">
        <v>0</v>
      </c>
      <c r="E1337">
        <v>2</v>
      </c>
      <c r="F1337" s="2" t="s">
        <v>1</v>
      </c>
      <c r="G1337">
        <v>2</v>
      </c>
      <c r="H1337">
        <v>8.5</v>
      </c>
      <c r="I1337" s="2" t="s">
        <v>0</v>
      </c>
      <c r="J1337">
        <v>2</v>
      </c>
      <c r="K1337" s="2" t="s">
        <v>1</v>
      </c>
      <c r="L1337">
        <v>1</v>
      </c>
      <c r="M1337">
        <v>9.5</v>
      </c>
      <c r="N1337" s="2" t="s">
        <v>432</v>
      </c>
      <c r="O1337" t="str">
        <f>D1337&amp;"-"&amp;E1337&amp;"-"&amp;F1337&amp;"-"&amp;G1337&amp;"-"&amp;H1337</f>
        <v>X-2-f-2-8.5</v>
      </c>
      <c r="P1337" t="str">
        <f>I1337&amp;"-"&amp;J1337&amp;"-"&amp;K1337&amp;"-"&amp;L1337&amp;"-"&amp;M1337</f>
        <v>X-2-f-1-9.5</v>
      </c>
      <c r="Q1337">
        <f>A1337+R1337</f>
        <v>2622.3221140000001</v>
      </c>
      <c r="R1337">
        <f>_xlfn.IFNA(VLOOKUP(P1337,PGOPHER!A$2:G$181,7,FALSE),_xlfn.IFNA(VLOOKUP(P1337,en!A$2:I$768,7,FALSE),-10000))</f>
        <v>1561.370214</v>
      </c>
      <c r="S1337">
        <f>IF(O1337=O1336,Q1336+S1336,Q1337)</f>
        <v>2622.3221140000001</v>
      </c>
      <c r="T1337">
        <f>IF(O1337=O1336,T1336+1,1)</f>
        <v>1</v>
      </c>
      <c r="U1337" t="str">
        <f>IF(O1337=O1338,"",S1337/T1337)</f>
        <v/>
      </c>
      <c r="V1337" t="str">
        <f>IF(U1337="","",IF(ABS(Q1337-U1337)&gt;V$1,"error",""))</f>
        <v/>
      </c>
    </row>
    <row r="1338" spans="1:22" x14ac:dyDescent="0.55000000000000004">
      <c r="A1338">
        <v>1194.9229</v>
      </c>
      <c r="B1338" s="1">
        <v>1.9E-2</v>
      </c>
      <c r="C1338" s="1">
        <v>1.9E-2</v>
      </c>
      <c r="D1338" s="2" t="s">
        <v>0</v>
      </c>
      <c r="E1338">
        <v>2</v>
      </c>
      <c r="F1338" s="2" t="s">
        <v>1</v>
      </c>
      <c r="G1338">
        <v>2</v>
      </c>
      <c r="H1338">
        <v>8.5</v>
      </c>
      <c r="I1338" s="2" t="s">
        <v>0</v>
      </c>
      <c r="J1338">
        <v>2</v>
      </c>
      <c r="K1338" s="2" t="s">
        <v>1</v>
      </c>
      <c r="L1338">
        <v>1</v>
      </c>
      <c r="M1338">
        <v>7.5</v>
      </c>
      <c r="N1338" s="2" t="s">
        <v>429</v>
      </c>
      <c r="O1338" t="str">
        <f>D1338&amp;"-"&amp;E1338&amp;"-"&amp;F1338&amp;"-"&amp;G1338&amp;"-"&amp;H1338</f>
        <v>X-2-f-2-8.5</v>
      </c>
      <c r="P1338" t="str">
        <f>I1338&amp;"-"&amp;J1338&amp;"-"&amp;K1338&amp;"-"&amp;L1338&amp;"-"&amp;M1338</f>
        <v>X-2-f-1-7.5</v>
      </c>
      <c r="Q1338">
        <f>A1338+R1338</f>
        <v>2622.3194080000003</v>
      </c>
      <c r="R1338">
        <f>_xlfn.IFNA(VLOOKUP(P1338,PGOPHER!A$2:G$181,7,FALSE),_xlfn.IFNA(VLOOKUP(P1338,en!A$2:I$768,7,FALSE),-10000))</f>
        <v>1427.396508</v>
      </c>
      <c r="S1338">
        <f>IF(O1338=O1337,Q1337+S1337,Q1338)</f>
        <v>5244.6442280000001</v>
      </c>
      <c r="T1338">
        <f>IF(O1338=O1337,T1337+1,1)</f>
        <v>2</v>
      </c>
      <c r="U1338">
        <f>IF(O1338=O1339,"",S1338/T1338)</f>
        <v>2622.3221140000001</v>
      </c>
      <c r="V1338" t="str">
        <f>IF(U1338="","",IF(ABS(Q1338-U1338)&gt;V$1,"error",""))</f>
        <v/>
      </c>
    </row>
    <row r="1339" spans="1:22" x14ac:dyDescent="0.55000000000000004">
      <c r="A1339">
        <v>1159.2016000000001</v>
      </c>
      <c r="B1339" s="1">
        <v>1E-3</v>
      </c>
      <c r="C1339" s="1">
        <v>1E-3</v>
      </c>
      <c r="D1339" s="2" t="s">
        <v>0</v>
      </c>
      <c r="E1339">
        <v>2</v>
      </c>
      <c r="F1339" s="2" t="s">
        <v>1</v>
      </c>
      <c r="G1339">
        <v>3</v>
      </c>
      <c r="H1339">
        <v>8.5</v>
      </c>
      <c r="I1339" s="2" t="s">
        <v>0</v>
      </c>
      <c r="J1339">
        <v>2</v>
      </c>
      <c r="K1339" s="2" t="s">
        <v>1</v>
      </c>
      <c r="L1339">
        <v>2</v>
      </c>
      <c r="M1339">
        <v>7.5</v>
      </c>
      <c r="N1339" s="2" t="s">
        <v>556</v>
      </c>
      <c r="O1339" t="str">
        <f>D1339&amp;"-"&amp;E1339&amp;"-"&amp;F1339&amp;"-"&amp;G1339&amp;"-"&amp;H1339</f>
        <v>X-2-f-3-8.5</v>
      </c>
      <c r="P1339" t="str">
        <f>I1339&amp;"-"&amp;J1339&amp;"-"&amp;K1339&amp;"-"&amp;L1339&amp;"-"&amp;M1339</f>
        <v>X-2-f-2-7.5</v>
      </c>
      <c r="Q1339">
        <f>A1339+R1339</f>
        <v>3719.4639400000005</v>
      </c>
      <c r="R1339">
        <f>_xlfn.IFNA(VLOOKUP(P1339,PGOPHER!A$2:G$181,7,FALSE),_xlfn.IFNA(VLOOKUP(P1339,en!A$2:I$768,7,FALSE),-10000))</f>
        <v>2560.2623400000002</v>
      </c>
      <c r="S1339">
        <f>IF(O1339=O1338,Q1338+S1338,Q1339)</f>
        <v>3719.4639400000005</v>
      </c>
      <c r="T1339">
        <f>IF(O1339=O1338,T1338+1,1)</f>
        <v>1</v>
      </c>
      <c r="U1339" t="str">
        <f>IF(O1339=O1340,"",S1339/T1339)</f>
        <v/>
      </c>
      <c r="V1339" t="str">
        <f>IF(U1339="","",IF(ABS(Q1339-U1339)&gt;V$1,"error",""))</f>
        <v/>
      </c>
    </row>
    <row r="1340" spans="1:22" x14ac:dyDescent="0.55000000000000004">
      <c r="A1340">
        <v>1028.2867000000001</v>
      </c>
      <c r="B1340" s="1">
        <v>1E-3</v>
      </c>
      <c r="C1340" s="1">
        <v>1E-3</v>
      </c>
      <c r="D1340" s="2" t="s">
        <v>0</v>
      </c>
      <c r="E1340">
        <v>2</v>
      </c>
      <c r="F1340" s="2" t="s">
        <v>1</v>
      </c>
      <c r="G1340">
        <v>3</v>
      </c>
      <c r="H1340">
        <v>8.5</v>
      </c>
      <c r="I1340" s="2" t="s">
        <v>0</v>
      </c>
      <c r="J1340">
        <v>2</v>
      </c>
      <c r="K1340" s="2" t="s">
        <v>1</v>
      </c>
      <c r="L1340">
        <v>2</v>
      </c>
      <c r="M1340">
        <v>9.5</v>
      </c>
      <c r="N1340" s="2" t="s">
        <v>555</v>
      </c>
      <c r="O1340" t="str">
        <f>D1340&amp;"-"&amp;E1340&amp;"-"&amp;F1340&amp;"-"&amp;G1340&amp;"-"&amp;H1340</f>
        <v>X-2-f-3-8.5</v>
      </c>
      <c r="P1340" t="str">
        <f>I1340&amp;"-"&amp;J1340&amp;"-"&amp;K1340&amp;"-"&amp;L1340&amp;"-"&amp;M1340</f>
        <v>X-2-f-2-9.5</v>
      </c>
      <c r="Q1340">
        <f>A1340+R1340</f>
        <v>3719.4636330000003</v>
      </c>
      <c r="R1340">
        <f>_xlfn.IFNA(VLOOKUP(P1340,PGOPHER!A$2:G$181,7,FALSE),_xlfn.IFNA(VLOOKUP(P1340,en!A$2:I$768,7,FALSE),-10000))</f>
        <v>2691.1769330000002</v>
      </c>
      <c r="S1340">
        <f>IF(O1340=O1339,Q1339+S1339,Q1340)</f>
        <v>7438.9278800000011</v>
      </c>
      <c r="T1340">
        <f>IF(O1340=O1339,T1339+1,1)</f>
        <v>2</v>
      </c>
      <c r="U1340">
        <f>IF(O1340=O1341,"",S1340/T1340)</f>
        <v>3719.4639400000005</v>
      </c>
      <c r="V1340" t="str">
        <f>IF(U1340="","",IF(ABS(Q1340-U1340)&gt;V$1,"error",""))</f>
        <v/>
      </c>
    </row>
    <row r="1341" spans="1:22" x14ac:dyDescent="0.55000000000000004">
      <c r="A1341">
        <v>1123.2140999999999</v>
      </c>
      <c r="B1341" s="1">
        <v>1.66E-2</v>
      </c>
      <c r="C1341" s="1">
        <v>1.66E-2</v>
      </c>
      <c r="D1341" s="2" t="s">
        <v>0</v>
      </c>
      <c r="E1341">
        <v>2</v>
      </c>
      <c r="F1341" s="2" t="s">
        <v>1</v>
      </c>
      <c r="G1341">
        <v>4</v>
      </c>
      <c r="H1341">
        <v>8.5</v>
      </c>
      <c r="I1341" s="2" t="s">
        <v>0</v>
      </c>
      <c r="J1341">
        <v>2</v>
      </c>
      <c r="K1341" s="2" t="s">
        <v>1</v>
      </c>
      <c r="L1341">
        <v>3</v>
      </c>
      <c r="M1341">
        <v>7.5</v>
      </c>
      <c r="N1341" s="2" t="s">
        <v>636</v>
      </c>
      <c r="O1341" t="str">
        <f>D1341&amp;"-"&amp;E1341&amp;"-"&amp;F1341&amp;"-"&amp;G1341&amp;"-"&amp;H1341</f>
        <v>X-2-f-4-8.5</v>
      </c>
      <c r="P1341" t="str">
        <f>I1341&amp;"-"&amp;J1341&amp;"-"&amp;K1341&amp;"-"&amp;L1341&amp;"-"&amp;M1341</f>
        <v>X-2-f-3-7.5</v>
      </c>
      <c r="Q1341">
        <f>A1341+R1341</f>
        <v>4782.0788810000004</v>
      </c>
      <c r="R1341">
        <f>_xlfn.IFNA(VLOOKUP(P1341,PGOPHER!A$2:G$181,7,FALSE),_xlfn.IFNA(VLOOKUP(P1341,en!A$2:I$768,7,FALSE),-10000))</f>
        <v>3658.8647810000002</v>
      </c>
      <c r="S1341">
        <f>IF(O1341=O1340,Q1340+S1340,Q1341)</f>
        <v>4782.0788810000004</v>
      </c>
      <c r="T1341">
        <f>IF(O1341=O1340,T1340+1,1)</f>
        <v>1</v>
      </c>
      <c r="U1341" t="str">
        <f>IF(O1341=O1342,"",S1341/T1341)</f>
        <v/>
      </c>
      <c r="V1341" t="str">
        <f>IF(U1341="","",IF(ABS(Q1341-U1341)&gt;V$1,"error",""))</f>
        <v/>
      </c>
    </row>
    <row r="1342" spans="1:22" x14ac:dyDescent="0.55000000000000004">
      <c r="A1342">
        <v>995.37639999999999</v>
      </c>
      <c r="B1342" s="1">
        <v>1.66E-2</v>
      </c>
      <c r="C1342" s="1">
        <v>1.66E-2</v>
      </c>
      <c r="D1342" s="2" t="s">
        <v>0</v>
      </c>
      <c r="E1342">
        <v>2</v>
      </c>
      <c r="F1342" s="2" t="s">
        <v>1</v>
      </c>
      <c r="G1342">
        <v>4</v>
      </c>
      <c r="H1342">
        <v>8.5</v>
      </c>
      <c r="I1342" s="2" t="s">
        <v>0</v>
      </c>
      <c r="J1342">
        <v>2</v>
      </c>
      <c r="K1342" s="2" t="s">
        <v>1</v>
      </c>
      <c r="L1342">
        <v>3</v>
      </c>
      <c r="M1342">
        <v>9.5</v>
      </c>
      <c r="N1342" s="2" t="s">
        <v>638</v>
      </c>
      <c r="O1342" t="str">
        <f>D1342&amp;"-"&amp;E1342&amp;"-"&amp;F1342&amp;"-"&amp;G1342&amp;"-"&amp;H1342</f>
        <v>X-2-f-4-8.5</v>
      </c>
      <c r="P1342" t="str">
        <f>I1342&amp;"-"&amp;J1342&amp;"-"&amp;K1342&amp;"-"&amp;L1342&amp;"-"&amp;M1342</f>
        <v>X-2-f-3-9.5</v>
      </c>
      <c r="Q1342">
        <f>A1342+R1342</f>
        <v>4782.0792080000001</v>
      </c>
      <c r="R1342">
        <f>_xlfn.IFNA(VLOOKUP(P1342,PGOPHER!A$2:G$181,7,FALSE),_xlfn.IFNA(VLOOKUP(P1342,en!A$2:I$768,7,FALSE),-10000))</f>
        <v>3786.702808</v>
      </c>
      <c r="S1342">
        <f>IF(O1342=O1341,Q1341+S1341,Q1342)</f>
        <v>9564.1577620000007</v>
      </c>
      <c r="T1342">
        <f>IF(O1342=O1341,T1341+1,1)</f>
        <v>2</v>
      </c>
      <c r="U1342">
        <f>IF(O1342=O1343,"",S1342/T1342)</f>
        <v>4782.0788810000004</v>
      </c>
      <c r="V1342" t="str">
        <f>IF(U1342="","",IF(ABS(Q1342-U1342)&gt;V$1,"error",""))</f>
        <v/>
      </c>
    </row>
    <row r="1343" spans="1:22" x14ac:dyDescent="0.55000000000000004">
      <c r="A1343">
        <v>1093.37284</v>
      </c>
      <c r="B1343" s="1">
        <v>1E-3</v>
      </c>
      <c r="C1343" s="1">
        <v>1E-3</v>
      </c>
      <c r="D1343" s="2" t="s">
        <v>0</v>
      </c>
      <c r="E1343">
        <v>1</v>
      </c>
      <c r="F1343" s="2" t="s">
        <v>2</v>
      </c>
      <c r="G1343">
        <v>1</v>
      </c>
      <c r="H1343">
        <v>9.5</v>
      </c>
      <c r="I1343" s="2" t="s">
        <v>0</v>
      </c>
      <c r="J1343">
        <v>1</v>
      </c>
      <c r="K1343" s="2" t="s">
        <v>2</v>
      </c>
      <c r="L1343">
        <v>0</v>
      </c>
      <c r="M1343">
        <v>10.5</v>
      </c>
      <c r="N1343" s="2" t="s">
        <v>158</v>
      </c>
      <c r="O1343" t="str">
        <f>D1343&amp;"-"&amp;E1343&amp;"-"&amp;F1343&amp;"-"&amp;G1343&amp;"-"&amp;H1343</f>
        <v>X-1-e-1-9.5</v>
      </c>
      <c r="P1343" t="str">
        <f>I1343&amp;"-"&amp;J1343&amp;"-"&amp;K1343&amp;"-"&amp;L1343&amp;"-"&amp;M1343</f>
        <v>X-1-e-0-10.5</v>
      </c>
      <c r="Q1343">
        <f>A1343+R1343</f>
        <v>1492.0291</v>
      </c>
      <c r="R1343">
        <f>_xlfn.IFNA(VLOOKUP(P1343,PGOPHER!A$2:G$181,7,FALSE),_xlfn.IFNA(VLOOKUP(P1343,en!A$2:I$768,7,FALSE),-10000))</f>
        <v>398.65625999999997</v>
      </c>
      <c r="S1343">
        <f>IF(O1343=O1342,Q1342+S1342,Q1343)</f>
        <v>1492.0291</v>
      </c>
      <c r="T1343">
        <f>IF(O1343=O1342,T1342+1,1)</f>
        <v>1</v>
      </c>
      <c r="U1343" t="str">
        <f>IF(O1343=O1344,"",S1343/T1343)</f>
        <v/>
      </c>
      <c r="V1343" t="str">
        <f>IF(U1343="","",IF(ABS(Q1343-U1343)&gt;V$1,"error",""))</f>
        <v/>
      </c>
    </row>
    <row r="1344" spans="1:22" x14ac:dyDescent="0.55000000000000004">
      <c r="A1344">
        <v>1230.6315400000001</v>
      </c>
      <c r="B1344" s="1">
        <v>1E-3</v>
      </c>
      <c r="C1344" s="1">
        <v>1E-3</v>
      </c>
      <c r="D1344" s="2" t="s">
        <v>0</v>
      </c>
      <c r="E1344">
        <v>1</v>
      </c>
      <c r="F1344" s="2" t="s">
        <v>2</v>
      </c>
      <c r="G1344">
        <v>1</v>
      </c>
      <c r="H1344">
        <v>9.5</v>
      </c>
      <c r="I1344" s="2" t="s">
        <v>0</v>
      </c>
      <c r="J1344">
        <v>1</v>
      </c>
      <c r="K1344" s="2" t="s">
        <v>2</v>
      </c>
      <c r="L1344">
        <v>0</v>
      </c>
      <c r="M1344">
        <v>8.5</v>
      </c>
      <c r="N1344" s="2" t="s">
        <v>162</v>
      </c>
      <c r="O1344" t="str">
        <f>D1344&amp;"-"&amp;E1344&amp;"-"&amp;F1344&amp;"-"&amp;G1344&amp;"-"&amp;H1344</f>
        <v>X-1-e-1-9.5</v>
      </c>
      <c r="P1344" t="str">
        <f>I1344&amp;"-"&amp;J1344&amp;"-"&amp;K1344&amp;"-"&amp;L1344&amp;"-"&amp;M1344</f>
        <v>X-1-e-0-8.5</v>
      </c>
      <c r="Q1344">
        <f>A1344+R1344</f>
        <v>1492.0295970000002</v>
      </c>
      <c r="R1344">
        <f>_xlfn.IFNA(VLOOKUP(P1344,PGOPHER!A$2:G$181,7,FALSE),_xlfn.IFNA(VLOOKUP(P1344,en!A$2:I$768,7,FALSE),-10000))</f>
        <v>261.39805699999999</v>
      </c>
      <c r="S1344">
        <f>IF(O1344=O1343,Q1343+S1343,Q1344)</f>
        <v>2984.0581999999999</v>
      </c>
      <c r="T1344">
        <f>IF(O1344=O1343,T1343+1,1)</f>
        <v>2</v>
      </c>
      <c r="U1344" t="str">
        <f>IF(O1344=O1345,"",S1344/T1344)</f>
        <v/>
      </c>
      <c r="V1344" t="str">
        <f>IF(U1344="","",IF(ABS(Q1344-U1344)&gt;V$1,"error",""))</f>
        <v/>
      </c>
    </row>
    <row r="1345" spans="1:22" x14ac:dyDescent="0.55000000000000004">
      <c r="A1345">
        <v>1230.6316999999999</v>
      </c>
      <c r="B1345" s="1">
        <v>1E-3</v>
      </c>
      <c r="C1345" s="1">
        <v>1E-3</v>
      </c>
      <c r="D1345" s="2" t="s">
        <v>0</v>
      </c>
      <c r="E1345">
        <v>1</v>
      </c>
      <c r="F1345" s="2" t="s">
        <v>2</v>
      </c>
      <c r="G1345">
        <v>1</v>
      </c>
      <c r="H1345">
        <v>9.5</v>
      </c>
      <c r="I1345" s="2" t="s">
        <v>0</v>
      </c>
      <c r="J1345">
        <v>1</v>
      </c>
      <c r="K1345" s="2" t="s">
        <v>2</v>
      </c>
      <c r="L1345">
        <v>0</v>
      </c>
      <c r="M1345">
        <v>8.5</v>
      </c>
      <c r="N1345" s="2" t="s">
        <v>159</v>
      </c>
      <c r="O1345" t="str">
        <f>D1345&amp;"-"&amp;E1345&amp;"-"&amp;F1345&amp;"-"&amp;G1345&amp;"-"&amp;H1345</f>
        <v>X-1-e-1-9.5</v>
      </c>
      <c r="P1345" t="str">
        <f>I1345&amp;"-"&amp;J1345&amp;"-"&amp;K1345&amp;"-"&amp;L1345&amp;"-"&amp;M1345</f>
        <v>X-1-e-0-8.5</v>
      </c>
      <c r="Q1345">
        <f>A1345+R1345</f>
        <v>1492.0297569999998</v>
      </c>
      <c r="R1345">
        <f>_xlfn.IFNA(VLOOKUP(P1345,PGOPHER!A$2:G$181,7,FALSE),_xlfn.IFNA(VLOOKUP(P1345,en!A$2:I$768,7,FALSE),-10000))</f>
        <v>261.39805699999999</v>
      </c>
      <c r="S1345">
        <f>IF(O1345=O1344,Q1344+S1344,Q1345)</f>
        <v>4476.0877970000001</v>
      </c>
      <c r="T1345">
        <f>IF(O1345=O1344,T1344+1,1)</f>
        <v>3</v>
      </c>
      <c r="U1345" t="str">
        <f>IF(O1345=O1346,"",S1345/T1345)</f>
        <v/>
      </c>
      <c r="V1345" t="str">
        <f>IF(U1345="","",IF(ABS(Q1345-U1345)&gt;V$1,"error",""))</f>
        <v/>
      </c>
    </row>
    <row r="1346" spans="1:22" x14ac:dyDescent="0.55000000000000004">
      <c r="A1346">
        <v>1093.3743999999999</v>
      </c>
      <c r="B1346" s="1">
        <v>6.8900000000000003E-3</v>
      </c>
      <c r="C1346" s="1">
        <v>6.8900000000000003E-3</v>
      </c>
      <c r="D1346" s="2" t="s">
        <v>0</v>
      </c>
      <c r="E1346">
        <v>1</v>
      </c>
      <c r="F1346" s="2" t="s">
        <v>2</v>
      </c>
      <c r="G1346">
        <v>1</v>
      </c>
      <c r="H1346">
        <v>9.5</v>
      </c>
      <c r="I1346" s="2" t="s">
        <v>0</v>
      </c>
      <c r="J1346">
        <v>1</v>
      </c>
      <c r="K1346" s="2" t="s">
        <v>2</v>
      </c>
      <c r="L1346">
        <v>0</v>
      </c>
      <c r="M1346">
        <v>10.5</v>
      </c>
      <c r="N1346" s="2" t="s">
        <v>155</v>
      </c>
      <c r="O1346" t="str">
        <f>D1346&amp;"-"&amp;E1346&amp;"-"&amp;F1346&amp;"-"&amp;G1346&amp;"-"&amp;H1346</f>
        <v>X-1-e-1-9.5</v>
      </c>
      <c r="P1346" t="str">
        <f>I1346&amp;"-"&amp;J1346&amp;"-"&amp;K1346&amp;"-"&amp;L1346&amp;"-"&amp;M1346</f>
        <v>X-1-e-0-10.5</v>
      </c>
      <c r="Q1346">
        <f>A1346+R1346</f>
        <v>1492.0306599999999</v>
      </c>
      <c r="R1346">
        <f>_xlfn.IFNA(VLOOKUP(P1346,PGOPHER!A$2:G$181,7,FALSE),_xlfn.IFNA(VLOOKUP(P1346,en!A$2:I$768,7,FALSE),-10000))</f>
        <v>398.65625999999997</v>
      </c>
      <c r="S1346">
        <f>IF(O1346=O1345,Q1345+S1345,Q1346)</f>
        <v>5968.1175540000004</v>
      </c>
      <c r="T1346">
        <f>IF(O1346=O1345,T1345+1,1)</f>
        <v>4</v>
      </c>
      <c r="U1346" t="str">
        <f>IF(O1346=O1347,"",S1346/T1346)</f>
        <v/>
      </c>
      <c r="V1346" t="str">
        <f>IF(U1346="","",IF(ABS(Q1346-U1346)&gt;V$1,"error",""))</f>
        <v/>
      </c>
    </row>
    <row r="1347" spans="1:22" x14ac:dyDescent="0.55000000000000004">
      <c r="A1347">
        <v>1230.6316999999999</v>
      </c>
      <c r="B1347" s="1">
        <v>5.2399999999999999E-3</v>
      </c>
      <c r="C1347" s="1">
        <v>5.2399999999999999E-3</v>
      </c>
      <c r="D1347" s="2" t="s">
        <v>0</v>
      </c>
      <c r="E1347">
        <v>1</v>
      </c>
      <c r="F1347" s="2" t="s">
        <v>2</v>
      </c>
      <c r="G1347">
        <v>1</v>
      </c>
      <c r="H1347">
        <v>9.5</v>
      </c>
      <c r="I1347" s="2" t="s">
        <v>0</v>
      </c>
      <c r="J1347">
        <v>1</v>
      </c>
      <c r="K1347" s="2" t="s">
        <v>2</v>
      </c>
      <c r="L1347">
        <v>0</v>
      </c>
      <c r="M1347">
        <v>8.5</v>
      </c>
      <c r="N1347" s="2" t="s">
        <v>153</v>
      </c>
      <c r="O1347" t="str">
        <f>D1347&amp;"-"&amp;E1347&amp;"-"&amp;F1347&amp;"-"&amp;G1347&amp;"-"&amp;H1347</f>
        <v>X-1-e-1-9.5</v>
      </c>
      <c r="P1347" t="str">
        <f>I1347&amp;"-"&amp;J1347&amp;"-"&amp;K1347&amp;"-"&amp;L1347&amp;"-"&amp;M1347</f>
        <v>X-1-e-0-8.5</v>
      </c>
      <c r="Q1347">
        <f>A1347+R1347</f>
        <v>1492.0297569999998</v>
      </c>
      <c r="R1347">
        <f>_xlfn.IFNA(VLOOKUP(P1347,PGOPHER!A$2:G$181,7,FALSE),_xlfn.IFNA(VLOOKUP(P1347,en!A$2:I$768,7,FALSE),-10000))</f>
        <v>261.39805699999999</v>
      </c>
      <c r="S1347">
        <f>IF(O1347=O1346,Q1346+S1346,Q1347)</f>
        <v>7460.1482140000007</v>
      </c>
      <c r="T1347">
        <f>IF(O1347=O1346,T1346+1,1)</f>
        <v>5</v>
      </c>
      <c r="U1347" t="str">
        <f>IF(O1347=O1348,"",S1347/T1347)</f>
        <v/>
      </c>
      <c r="V1347" t="str">
        <f>IF(U1347="","",IF(ABS(Q1347-U1347)&gt;V$1,"error",""))</f>
        <v/>
      </c>
    </row>
    <row r="1348" spans="1:22" x14ac:dyDescent="0.55000000000000004">
      <c r="A1348">
        <v>1093.37436</v>
      </c>
      <c r="B1348" s="1">
        <v>1E-3</v>
      </c>
      <c r="C1348" s="1">
        <v>1E-3</v>
      </c>
      <c r="D1348" s="2" t="s">
        <v>0</v>
      </c>
      <c r="E1348">
        <v>1</v>
      </c>
      <c r="F1348" s="2" t="s">
        <v>2</v>
      </c>
      <c r="G1348">
        <v>1</v>
      </c>
      <c r="H1348">
        <v>9.5</v>
      </c>
      <c r="I1348" s="2" t="s">
        <v>0</v>
      </c>
      <c r="J1348">
        <v>1</v>
      </c>
      <c r="K1348" s="2" t="s">
        <v>2</v>
      </c>
      <c r="L1348">
        <v>0</v>
      </c>
      <c r="M1348">
        <v>10.5</v>
      </c>
      <c r="N1348" s="2" t="s">
        <v>163</v>
      </c>
      <c r="O1348" t="str">
        <f>D1348&amp;"-"&amp;E1348&amp;"-"&amp;F1348&amp;"-"&amp;G1348&amp;"-"&amp;H1348</f>
        <v>X-1-e-1-9.5</v>
      </c>
      <c r="P1348" t="str">
        <f>I1348&amp;"-"&amp;J1348&amp;"-"&amp;K1348&amp;"-"&amp;L1348&amp;"-"&amp;M1348</f>
        <v>X-1-e-0-10.5</v>
      </c>
      <c r="Q1348">
        <f>A1348+R1348</f>
        <v>1492.03062</v>
      </c>
      <c r="R1348">
        <f>_xlfn.IFNA(VLOOKUP(P1348,PGOPHER!A$2:G$181,7,FALSE),_xlfn.IFNA(VLOOKUP(P1348,en!A$2:I$768,7,FALSE),-10000))</f>
        <v>398.65625999999997</v>
      </c>
      <c r="S1348">
        <f>IF(O1348=O1347,Q1347+S1347,Q1348)</f>
        <v>8952.177971000001</v>
      </c>
      <c r="T1348">
        <f>IF(O1348=O1347,T1347+1,1)</f>
        <v>6</v>
      </c>
      <c r="U1348" t="str">
        <f>IF(O1348=O1349,"",S1348/T1348)</f>
        <v/>
      </c>
      <c r="V1348" t="str">
        <f>IF(U1348="","",IF(ABS(Q1348-U1348)&gt;V$1,"error",""))</f>
        <v/>
      </c>
    </row>
    <row r="1349" spans="1:22" x14ac:dyDescent="0.55000000000000004">
      <c r="A1349">
        <v>1230.6316999999999</v>
      </c>
      <c r="B1349" s="1">
        <v>1E-3</v>
      </c>
      <c r="C1349" s="1">
        <v>1E-3</v>
      </c>
      <c r="D1349" s="2" t="s">
        <v>0</v>
      </c>
      <c r="E1349">
        <v>1</v>
      </c>
      <c r="F1349" s="2" t="s">
        <v>2</v>
      </c>
      <c r="G1349">
        <v>1</v>
      </c>
      <c r="H1349">
        <v>9.5</v>
      </c>
      <c r="I1349" s="2" t="s">
        <v>0</v>
      </c>
      <c r="J1349">
        <v>1</v>
      </c>
      <c r="K1349" s="2" t="s">
        <v>2</v>
      </c>
      <c r="L1349">
        <v>0</v>
      </c>
      <c r="M1349">
        <v>8.5</v>
      </c>
      <c r="N1349" s="2" t="s">
        <v>166</v>
      </c>
      <c r="O1349" t="str">
        <f>D1349&amp;"-"&amp;E1349&amp;"-"&amp;F1349&amp;"-"&amp;G1349&amp;"-"&amp;H1349</f>
        <v>X-1-e-1-9.5</v>
      </c>
      <c r="P1349" t="str">
        <f>I1349&amp;"-"&amp;J1349&amp;"-"&amp;K1349&amp;"-"&amp;L1349&amp;"-"&amp;M1349</f>
        <v>X-1-e-0-8.5</v>
      </c>
      <c r="Q1349">
        <f>A1349+R1349</f>
        <v>1492.0297569999998</v>
      </c>
      <c r="R1349">
        <f>_xlfn.IFNA(VLOOKUP(P1349,PGOPHER!A$2:G$181,7,FALSE),_xlfn.IFNA(VLOOKUP(P1349,en!A$2:I$768,7,FALSE),-10000))</f>
        <v>261.39805699999999</v>
      </c>
      <c r="S1349">
        <f>IF(O1349=O1348,Q1348+S1348,Q1349)</f>
        <v>10444.208591000001</v>
      </c>
      <c r="T1349">
        <f>IF(O1349=O1348,T1348+1,1)</f>
        <v>7</v>
      </c>
      <c r="U1349" t="str">
        <f>IF(O1349=O1350,"",S1349/T1349)</f>
        <v/>
      </c>
      <c r="V1349" t="str">
        <f>IF(U1349="","",IF(ABS(Q1349-U1349)&gt;V$1,"error",""))</f>
        <v/>
      </c>
    </row>
    <row r="1350" spans="1:22" x14ac:dyDescent="0.55000000000000004">
      <c r="A1350">
        <v>1230.6315</v>
      </c>
      <c r="B1350" s="1">
        <v>5.0200000000000002E-3</v>
      </c>
      <c r="C1350" s="1">
        <v>5.0200000000000002E-3</v>
      </c>
      <c r="D1350" s="2" t="s">
        <v>0</v>
      </c>
      <c r="E1350">
        <v>1</v>
      </c>
      <c r="F1350" s="2" t="s">
        <v>2</v>
      </c>
      <c r="G1350">
        <v>1</v>
      </c>
      <c r="H1350">
        <v>9.5</v>
      </c>
      <c r="I1350" s="2" t="s">
        <v>0</v>
      </c>
      <c r="J1350">
        <v>1</v>
      </c>
      <c r="K1350" s="2" t="s">
        <v>2</v>
      </c>
      <c r="L1350">
        <v>0</v>
      </c>
      <c r="M1350">
        <v>8.5</v>
      </c>
      <c r="N1350" s="2" t="s">
        <v>152</v>
      </c>
      <c r="O1350" t="str">
        <f>D1350&amp;"-"&amp;E1350&amp;"-"&amp;F1350&amp;"-"&amp;G1350&amp;"-"&amp;H1350</f>
        <v>X-1-e-1-9.5</v>
      </c>
      <c r="P1350" t="str">
        <f>I1350&amp;"-"&amp;J1350&amp;"-"&amp;K1350&amp;"-"&amp;L1350&amp;"-"&amp;M1350</f>
        <v>X-1-e-0-8.5</v>
      </c>
      <c r="Q1350">
        <f>A1350+R1350</f>
        <v>1492.0295569999998</v>
      </c>
      <c r="R1350">
        <f>_xlfn.IFNA(VLOOKUP(P1350,PGOPHER!A$2:G$181,7,FALSE),_xlfn.IFNA(VLOOKUP(P1350,en!A$2:I$768,7,FALSE),-10000))</f>
        <v>261.39805699999999</v>
      </c>
      <c r="S1350">
        <f>IF(O1350=O1349,Q1349+S1349,Q1350)</f>
        <v>11936.238348000001</v>
      </c>
      <c r="T1350">
        <f>IF(O1350=O1349,T1349+1,1)</f>
        <v>8</v>
      </c>
      <c r="U1350">
        <f>IF(O1350=O1351,"",S1350/T1350)</f>
        <v>1492.0297935000001</v>
      </c>
      <c r="V1350" t="str">
        <f>IF(U1350="","",IF(ABS(Q1350-U1350)&gt;V$1,"error",""))</f>
        <v/>
      </c>
    </row>
    <row r="1351" spans="1:22" x14ac:dyDescent="0.55000000000000004">
      <c r="A1351">
        <v>1060.7973</v>
      </c>
      <c r="B1351" s="1">
        <v>2.0500000000000001E-2</v>
      </c>
      <c r="C1351" s="1">
        <v>2.0500000000000001E-2</v>
      </c>
      <c r="D1351" s="2" t="s">
        <v>0</v>
      </c>
      <c r="E1351">
        <v>1</v>
      </c>
      <c r="F1351" s="2" t="s">
        <v>2</v>
      </c>
      <c r="G1351">
        <v>2</v>
      </c>
      <c r="H1351">
        <v>9.5</v>
      </c>
      <c r="I1351" s="2" t="s">
        <v>0</v>
      </c>
      <c r="J1351">
        <v>1</v>
      </c>
      <c r="K1351" s="2" t="s">
        <v>2</v>
      </c>
      <c r="L1351">
        <v>1</v>
      </c>
      <c r="M1351">
        <v>10.5</v>
      </c>
      <c r="N1351" s="2" t="s">
        <v>435</v>
      </c>
      <c r="O1351" t="str">
        <f>D1351&amp;"-"&amp;E1351&amp;"-"&amp;F1351&amp;"-"&amp;G1351&amp;"-"&amp;H1351</f>
        <v>X-1-e-2-9.5</v>
      </c>
      <c r="P1351" t="str">
        <f>I1351&amp;"-"&amp;J1351&amp;"-"&amp;K1351&amp;"-"&amp;L1351&amp;"-"&amp;M1351</f>
        <v>X-1-e-1-10.5</v>
      </c>
      <c r="Q1351">
        <f>A1351+R1351</f>
        <v>2623.4104859999998</v>
      </c>
      <c r="R1351">
        <f>_xlfn.IFNA(VLOOKUP(P1351,PGOPHER!A$2:G$181,7,FALSE),_xlfn.IFNA(VLOOKUP(P1351,en!A$2:I$768,7,FALSE),-10000))</f>
        <v>1562.613186</v>
      </c>
      <c r="S1351">
        <f>IF(O1351=O1350,Q1350+S1350,Q1351)</f>
        <v>2623.4104859999998</v>
      </c>
      <c r="T1351">
        <f>IF(O1351=O1350,T1350+1,1)</f>
        <v>1</v>
      </c>
      <c r="U1351" t="str">
        <f>IF(O1351=O1352,"",S1351/T1351)</f>
        <v/>
      </c>
      <c r="V1351" t="str">
        <f>IF(U1351="","",IF(ABS(Q1351-U1351)&gt;V$1,"error",""))</f>
        <v/>
      </c>
    </row>
    <row r="1352" spans="1:22" x14ac:dyDescent="0.55000000000000004">
      <c r="A1352">
        <v>1195.0016000000001</v>
      </c>
      <c r="B1352" s="1">
        <v>1.8800000000000001E-2</v>
      </c>
      <c r="C1352" s="1">
        <v>1.8800000000000001E-2</v>
      </c>
      <c r="D1352" s="2" t="s">
        <v>0</v>
      </c>
      <c r="E1352">
        <v>1</v>
      </c>
      <c r="F1352" s="2" t="s">
        <v>2</v>
      </c>
      <c r="G1352">
        <v>2</v>
      </c>
      <c r="H1352">
        <v>9.5</v>
      </c>
      <c r="I1352" s="2" t="s">
        <v>0</v>
      </c>
      <c r="J1352">
        <v>1</v>
      </c>
      <c r="K1352" s="2" t="s">
        <v>2</v>
      </c>
      <c r="L1352">
        <v>1</v>
      </c>
      <c r="M1352">
        <v>8.5</v>
      </c>
      <c r="N1352" s="2" t="s">
        <v>433</v>
      </c>
      <c r="O1352" t="str">
        <f>D1352&amp;"-"&amp;E1352&amp;"-"&amp;F1352&amp;"-"&amp;G1352&amp;"-"&amp;H1352</f>
        <v>X-1-e-2-9.5</v>
      </c>
      <c r="P1352" t="str">
        <f>I1352&amp;"-"&amp;J1352&amp;"-"&amp;K1352&amp;"-"&amp;L1352&amp;"-"&amp;M1352</f>
        <v>X-1-e-1-8.5</v>
      </c>
      <c r="Q1352">
        <f>A1352+R1352</f>
        <v>2623.4092559999999</v>
      </c>
      <c r="R1352">
        <f>_xlfn.IFNA(VLOOKUP(P1352,PGOPHER!A$2:G$181,7,FALSE),_xlfn.IFNA(VLOOKUP(P1352,en!A$2:I$768,7,FALSE),-10000))</f>
        <v>1428.4076560000001</v>
      </c>
      <c r="S1352">
        <f>IF(O1352=O1351,Q1351+S1351,Q1352)</f>
        <v>5246.8209719999995</v>
      </c>
      <c r="T1352">
        <f>IF(O1352=O1351,T1351+1,1)</f>
        <v>2</v>
      </c>
      <c r="U1352">
        <f>IF(O1352=O1353,"",S1352/T1352)</f>
        <v>2623.4104859999998</v>
      </c>
      <c r="V1352" t="str">
        <f>IF(U1352="","",IF(ABS(Q1352-U1352)&gt;V$1,"error",""))</f>
        <v/>
      </c>
    </row>
    <row r="1353" spans="1:22" x14ac:dyDescent="0.55000000000000004">
      <c r="A1353">
        <v>1028.1359</v>
      </c>
      <c r="B1353" s="1">
        <v>5.6499999999999996E-3</v>
      </c>
      <c r="C1353" s="1">
        <v>5.6499999999999996E-3</v>
      </c>
      <c r="D1353" s="2" t="s">
        <v>0</v>
      </c>
      <c r="E1353">
        <v>1</v>
      </c>
      <c r="F1353" s="2" t="s">
        <v>2</v>
      </c>
      <c r="G1353">
        <v>3</v>
      </c>
      <c r="H1353">
        <v>9.5</v>
      </c>
      <c r="I1353" s="2" t="s">
        <v>0</v>
      </c>
      <c r="J1353">
        <v>1</v>
      </c>
      <c r="K1353" s="2" t="s">
        <v>2</v>
      </c>
      <c r="L1353">
        <v>2</v>
      </c>
      <c r="M1353">
        <v>10.5</v>
      </c>
      <c r="N1353" s="2" t="s">
        <v>561</v>
      </c>
      <c r="O1353" t="str">
        <f>D1353&amp;"-"&amp;E1353&amp;"-"&amp;F1353&amp;"-"&amp;G1353&amp;"-"&amp;H1353</f>
        <v>X-1-e-3-9.5</v>
      </c>
      <c r="P1353" t="str">
        <f>I1353&amp;"-"&amp;J1353&amp;"-"&amp;K1353&amp;"-"&amp;L1353&amp;"-"&amp;M1353</f>
        <v>X-1-e-2-10.5</v>
      </c>
      <c r="Q1353">
        <f>A1353+R1353</f>
        <v>3720.5155340000001</v>
      </c>
      <c r="R1353">
        <f>_xlfn.IFNA(VLOOKUP(P1353,PGOPHER!A$2:G$181,7,FALSE),_xlfn.IFNA(VLOOKUP(P1353,en!A$2:I$768,7,FALSE),-10000))</f>
        <v>2692.3796339999999</v>
      </c>
      <c r="S1353">
        <f>IF(O1353=O1352,Q1352+S1352,Q1353)</f>
        <v>3720.5155340000001</v>
      </c>
      <c r="T1353">
        <f>IF(O1353=O1352,T1352+1,1)</f>
        <v>1</v>
      </c>
      <c r="U1353" t="str">
        <f>IF(O1353=O1354,"",S1353/T1353)</f>
        <v/>
      </c>
      <c r="V1353" t="str">
        <f>IF(U1353="","",IF(ABS(Q1353-U1353)&gt;V$1,"error",""))</f>
        <v/>
      </c>
    </row>
    <row r="1354" spans="1:22" x14ac:dyDescent="0.55000000000000004">
      <c r="A1354">
        <v>1159.2760000000001</v>
      </c>
      <c r="B1354" s="1">
        <v>1E-3</v>
      </c>
      <c r="C1354" s="1">
        <v>1E-3</v>
      </c>
      <c r="D1354" s="2" t="s">
        <v>0</v>
      </c>
      <c r="E1354">
        <v>1</v>
      </c>
      <c r="F1354" s="2" t="s">
        <v>2</v>
      </c>
      <c r="G1354">
        <v>3</v>
      </c>
      <c r="H1354">
        <v>9.5</v>
      </c>
      <c r="I1354" s="2" t="s">
        <v>0</v>
      </c>
      <c r="J1354">
        <v>1</v>
      </c>
      <c r="K1354" s="2" t="s">
        <v>2</v>
      </c>
      <c r="L1354">
        <v>2</v>
      </c>
      <c r="M1354">
        <v>8.5</v>
      </c>
      <c r="N1354" s="2" t="s">
        <v>558</v>
      </c>
      <c r="O1354" t="str">
        <f>D1354&amp;"-"&amp;E1354&amp;"-"&amp;F1354&amp;"-"&amp;G1354&amp;"-"&amp;H1354</f>
        <v>X-1-e-3-9.5</v>
      </c>
      <c r="P1354" t="str">
        <f>I1354&amp;"-"&amp;J1354&amp;"-"&amp;K1354&amp;"-"&amp;L1354&amp;"-"&amp;M1354</f>
        <v>X-1-e-2-8.5</v>
      </c>
      <c r="Q1354">
        <f>A1354+R1354</f>
        <v>3720.5145579999999</v>
      </c>
      <c r="R1354">
        <f>_xlfn.IFNA(VLOOKUP(P1354,PGOPHER!A$2:G$181,7,FALSE),_xlfn.IFNA(VLOOKUP(P1354,en!A$2:I$768,7,FALSE),-10000))</f>
        <v>2561.238558</v>
      </c>
      <c r="S1354">
        <f>IF(O1354=O1353,Q1353+S1353,Q1354)</f>
        <v>7441.0310680000002</v>
      </c>
      <c r="T1354">
        <f>IF(O1354=O1353,T1353+1,1)</f>
        <v>2</v>
      </c>
      <c r="U1354">
        <f>IF(O1354=O1355,"",S1354/T1354)</f>
        <v>3720.5155340000001</v>
      </c>
      <c r="V1354" t="str">
        <f>IF(U1354="","",IF(ABS(Q1354-U1354)&gt;V$1,"error",""))</f>
        <v/>
      </c>
    </row>
    <row r="1355" spans="1:22" x14ac:dyDescent="0.55000000000000004">
      <c r="A1355">
        <v>1123.2831000000001</v>
      </c>
      <c r="B1355" s="1">
        <v>1.6899999999999998E-2</v>
      </c>
      <c r="C1355" s="1">
        <v>1.6899999999999998E-2</v>
      </c>
      <c r="D1355" s="2" t="s">
        <v>0</v>
      </c>
      <c r="E1355">
        <v>1</v>
      </c>
      <c r="F1355" s="2" t="s">
        <v>2</v>
      </c>
      <c r="G1355">
        <v>4</v>
      </c>
      <c r="H1355">
        <v>9.5</v>
      </c>
      <c r="I1355" s="2" t="s">
        <v>0</v>
      </c>
      <c r="J1355">
        <v>1</v>
      </c>
      <c r="K1355" s="2" t="s">
        <v>2</v>
      </c>
      <c r="L1355">
        <v>3</v>
      </c>
      <c r="M1355">
        <v>8.5</v>
      </c>
      <c r="N1355" s="2" t="s">
        <v>639</v>
      </c>
      <c r="O1355" t="str">
        <f>D1355&amp;"-"&amp;E1355&amp;"-"&amp;F1355&amp;"-"&amp;G1355&amp;"-"&amp;H1355</f>
        <v>X-1-e-4-9.5</v>
      </c>
      <c r="P1355" t="str">
        <f>I1355&amp;"-"&amp;J1355&amp;"-"&amp;K1355&amp;"-"&amp;L1355&amp;"-"&amp;M1355</f>
        <v>X-1-e-3-8.5</v>
      </c>
      <c r="Q1355">
        <f>A1355+R1355</f>
        <v>4783.0893900000001</v>
      </c>
      <c r="R1355">
        <f>_xlfn.IFNA(VLOOKUP(P1355,PGOPHER!A$2:G$181,7,FALSE),_xlfn.IFNA(VLOOKUP(P1355,en!A$2:I$768,7,FALSE),-10000))</f>
        <v>3659.80629</v>
      </c>
      <c r="S1355">
        <f>IF(O1355=O1354,Q1354+S1354,Q1355)</f>
        <v>4783.0893900000001</v>
      </c>
      <c r="T1355">
        <f>IF(O1355=O1354,T1354+1,1)</f>
        <v>1</v>
      </c>
      <c r="U1355" t="str">
        <f>IF(O1355=O1356,"",S1355/T1355)</f>
        <v/>
      </c>
      <c r="V1355" t="str">
        <f>IF(U1355="","",IF(ABS(Q1355-U1355)&gt;V$1,"error",""))</f>
        <v/>
      </c>
    </row>
    <row r="1356" spans="1:22" x14ac:dyDescent="0.55000000000000004">
      <c r="A1356">
        <v>995.22969999999998</v>
      </c>
      <c r="B1356" s="1">
        <v>1.6899999999999998E-2</v>
      </c>
      <c r="C1356" s="1">
        <v>1.6899999999999998E-2</v>
      </c>
      <c r="D1356" s="2" t="s">
        <v>0</v>
      </c>
      <c r="E1356">
        <v>1</v>
      </c>
      <c r="F1356" s="2" t="s">
        <v>2</v>
      </c>
      <c r="G1356">
        <v>4</v>
      </c>
      <c r="H1356">
        <v>9.5</v>
      </c>
      <c r="I1356" s="2" t="s">
        <v>0</v>
      </c>
      <c r="J1356">
        <v>1</v>
      </c>
      <c r="K1356" s="2" t="s">
        <v>2</v>
      </c>
      <c r="L1356">
        <v>3</v>
      </c>
      <c r="M1356">
        <v>10.5</v>
      </c>
      <c r="N1356" s="2" t="s">
        <v>641</v>
      </c>
      <c r="O1356" t="str">
        <f>D1356&amp;"-"&amp;E1356&amp;"-"&amp;F1356&amp;"-"&amp;G1356&amp;"-"&amp;H1356</f>
        <v>X-1-e-4-9.5</v>
      </c>
      <c r="P1356" t="str">
        <f>I1356&amp;"-"&amp;J1356&amp;"-"&amp;K1356&amp;"-"&amp;L1356&amp;"-"&amp;M1356</f>
        <v>X-1-e-3-10.5</v>
      </c>
      <c r="Q1356">
        <f>A1356+R1356</f>
        <v>4783.0906150000001</v>
      </c>
      <c r="R1356">
        <f>_xlfn.IFNA(VLOOKUP(P1356,PGOPHER!A$2:G$181,7,FALSE),_xlfn.IFNA(VLOOKUP(P1356,en!A$2:I$768,7,FALSE),-10000))</f>
        <v>3787.8609150000002</v>
      </c>
      <c r="S1356">
        <f>IF(O1356=O1355,Q1355+S1355,Q1356)</f>
        <v>9566.1787800000002</v>
      </c>
      <c r="T1356">
        <f>IF(O1356=O1355,T1355+1,1)</f>
        <v>2</v>
      </c>
      <c r="U1356">
        <f>IF(O1356=O1357,"",S1356/T1356)</f>
        <v>4783.0893900000001</v>
      </c>
      <c r="V1356" t="str">
        <f>IF(U1356="","",IF(ABS(Q1356-U1356)&gt;V$1,"error",""))</f>
        <v/>
      </c>
    </row>
    <row r="1357" spans="1:22" x14ac:dyDescent="0.55000000000000004">
      <c r="A1357">
        <v>1084.8405299999999</v>
      </c>
      <c r="B1357" s="1">
        <v>1.64E-3</v>
      </c>
      <c r="C1357" s="1">
        <v>1.64E-3</v>
      </c>
      <c r="D1357" s="2" t="s">
        <v>0</v>
      </c>
      <c r="E1357">
        <v>2</v>
      </c>
      <c r="F1357" s="2" t="s">
        <v>1</v>
      </c>
      <c r="G1357">
        <v>1</v>
      </c>
      <c r="H1357">
        <v>9.5</v>
      </c>
      <c r="I1357" s="2" t="s">
        <v>0</v>
      </c>
      <c r="J1357">
        <v>2</v>
      </c>
      <c r="K1357" s="2" t="s">
        <v>1</v>
      </c>
      <c r="L1357">
        <v>0</v>
      </c>
      <c r="M1357">
        <v>10.5</v>
      </c>
      <c r="N1357" s="2" t="s">
        <v>160</v>
      </c>
      <c r="O1357" t="str">
        <f>D1357&amp;"-"&amp;E1357&amp;"-"&amp;F1357&amp;"-"&amp;G1357&amp;"-"&amp;H1357</f>
        <v>X-2-f-1-9.5</v>
      </c>
      <c r="P1357" t="str">
        <f>I1357&amp;"-"&amp;J1357&amp;"-"&amp;K1357&amp;"-"&amp;L1357&amp;"-"&amp;M1357</f>
        <v>X-2-f-0-10.5</v>
      </c>
      <c r="Q1357">
        <f>A1357+R1357</f>
        <v>1561.368845</v>
      </c>
      <c r="R1357">
        <f>_xlfn.IFNA(VLOOKUP(P1357,PGOPHER!A$2:G$181,7,FALSE),_xlfn.IFNA(VLOOKUP(P1357,en!A$2:I$768,7,FALSE),-10000))</f>
        <v>476.52831500000002</v>
      </c>
      <c r="S1357">
        <f>IF(O1357=O1356,Q1356+S1356,Q1357)</f>
        <v>1561.368845</v>
      </c>
      <c r="T1357">
        <f>IF(O1357=O1356,T1356+1,1)</f>
        <v>1</v>
      </c>
      <c r="U1357" t="str">
        <f>IF(O1357=O1358,"",S1357/T1357)</f>
        <v/>
      </c>
      <c r="V1357" t="str">
        <f>IF(U1357="","",IF(ABS(Q1357-U1357)&gt;V$1,"error",""))</f>
        <v/>
      </c>
    </row>
    <row r="1358" spans="1:22" x14ac:dyDescent="0.55000000000000004">
      <c r="A1358">
        <v>1236.0679</v>
      </c>
      <c r="B1358" s="1">
        <v>2.2260000000000001E-3</v>
      </c>
      <c r="C1358" s="1">
        <v>2.2260000000000001E-3</v>
      </c>
      <c r="D1358" s="2" t="s">
        <v>0</v>
      </c>
      <c r="E1358">
        <v>2</v>
      </c>
      <c r="F1358" s="2" t="s">
        <v>1</v>
      </c>
      <c r="G1358">
        <v>1</v>
      </c>
      <c r="H1358">
        <v>9.5</v>
      </c>
      <c r="I1358" s="2" t="s">
        <v>0</v>
      </c>
      <c r="J1358">
        <v>2</v>
      </c>
      <c r="K1358" s="2" t="s">
        <v>1</v>
      </c>
      <c r="L1358">
        <v>0</v>
      </c>
      <c r="M1358">
        <v>8.5</v>
      </c>
      <c r="N1358" s="2" t="s">
        <v>164</v>
      </c>
      <c r="O1358" t="str">
        <f>D1358&amp;"-"&amp;E1358&amp;"-"&amp;F1358&amp;"-"&amp;G1358&amp;"-"&amp;H1358</f>
        <v>X-2-f-1-9.5</v>
      </c>
      <c r="P1358" t="str">
        <f>I1358&amp;"-"&amp;J1358&amp;"-"&amp;K1358&amp;"-"&amp;L1358&amp;"-"&amp;M1358</f>
        <v>X-2-f-0-8.5</v>
      </c>
      <c r="Q1358">
        <f>A1358+R1358</f>
        <v>1561.3686259999999</v>
      </c>
      <c r="R1358">
        <f>_xlfn.IFNA(VLOOKUP(P1358,PGOPHER!A$2:G$181,7,FALSE),_xlfn.IFNA(VLOOKUP(P1358,en!A$2:I$768,7,FALSE),-10000))</f>
        <v>325.300726</v>
      </c>
      <c r="S1358">
        <f>IF(O1358=O1357,Q1357+S1357,Q1358)</f>
        <v>3122.7376899999999</v>
      </c>
      <c r="T1358">
        <f>IF(O1358=O1357,T1357+1,1)</f>
        <v>2</v>
      </c>
      <c r="U1358" t="str">
        <f>IF(O1358=O1359,"",S1358/T1358)</f>
        <v/>
      </c>
      <c r="V1358" t="str">
        <f>IF(U1358="","",IF(ABS(Q1358-U1358)&gt;V$1,"error",""))</f>
        <v/>
      </c>
    </row>
    <row r="1359" spans="1:22" x14ac:dyDescent="0.55000000000000004">
      <c r="A1359">
        <v>1236.0695800000001</v>
      </c>
      <c r="B1359" s="1">
        <v>1E-3</v>
      </c>
      <c r="C1359" s="1">
        <v>1E-3</v>
      </c>
      <c r="D1359" s="2" t="s">
        <v>0</v>
      </c>
      <c r="E1359">
        <v>2</v>
      </c>
      <c r="F1359" s="2" t="s">
        <v>1</v>
      </c>
      <c r="G1359">
        <v>1</v>
      </c>
      <c r="H1359">
        <v>9.5</v>
      </c>
      <c r="I1359" s="2" t="s">
        <v>0</v>
      </c>
      <c r="J1359">
        <v>2</v>
      </c>
      <c r="K1359" s="2" t="s">
        <v>1</v>
      </c>
      <c r="L1359">
        <v>0</v>
      </c>
      <c r="M1359">
        <v>8.5</v>
      </c>
      <c r="N1359" s="2" t="s">
        <v>161</v>
      </c>
      <c r="O1359" t="str">
        <f>D1359&amp;"-"&amp;E1359&amp;"-"&amp;F1359&amp;"-"&amp;G1359&amp;"-"&amp;H1359</f>
        <v>X-2-f-1-9.5</v>
      </c>
      <c r="P1359" t="str">
        <f>I1359&amp;"-"&amp;J1359&amp;"-"&amp;K1359&amp;"-"&amp;L1359&amp;"-"&amp;M1359</f>
        <v>X-2-f-0-8.5</v>
      </c>
      <c r="Q1359">
        <f>A1359+R1359</f>
        <v>1561.370306</v>
      </c>
      <c r="R1359">
        <f>_xlfn.IFNA(VLOOKUP(P1359,PGOPHER!A$2:G$181,7,FALSE),_xlfn.IFNA(VLOOKUP(P1359,en!A$2:I$768,7,FALSE),-10000))</f>
        <v>325.300726</v>
      </c>
      <c r="S1359">
        <f>IF(O1359=O1358,Q1358+S1358,Q1359)</f>
        <v>4684.1063159999994</v>
      </c>
      <c r="T1359">
        <f>IF(O1359=O1358,T1358+1,1)</f>
        <v>3</v>
      </c>
      <c r="U1359" t="str">
        <f>IF(O1359=O1360,"",S1359/T1359)</f>
        <v/>
      </c>
      <c r="V1359" t="str">
        <f>IF(U1359="","",IF(ABS(Q1359-U1359)&gt;V$1,"error",""))</f>
        <v/>
      </c>
    </row>
    <row r="1360" spans="1:22" x14ac:dyDescent="0.55000000000000004">
      <c r="A1360">
        <v>1084.8426999999999</v>
      </c>
      <c r="B1360" s="1">
        <v>8.2799999999999992E-3</v>
      </c>
      <c r="C1360" s="1">
        <v>8.2799999999999992E-3</v>
      </c>
      <c r="D1360" s="2" t="s">
        <v>0</v>
      </c>
      <c r="E1360">
        <v>2</v>
      </c>
      <c r="F1360" s="2" t="s">
        <v>1</v>
      </c>
      <c r="G1360">
        <v>1</v>
      </c>
      <c r="H1360">
        <v>9.5</v>
      </c>
      <c r="I1360" s="2" t="s">
        <v>0</v>
      </c>
      <c r="J1360">
        <v>2</v>
      </c>
      <c r="K1360" s="2" t="s">
        <v>1</v>
      </c>
      <c r="L1360">
        <v>0</v>
      </c>
      <c r="M1360">
        <v>10.5</v>
      </c>
      <c r="N1360" s="2" t="s">
        <v>157</v>
      </c>
      <c r="O1360" t="str">
        <f>D1360&amp;"-"&amp;E1360&amp;"-"&amp;F1360&amp;"-"&amp;G1360&amp;"-"&amp;H1360</f>
        <v>X-2-f-1-9.5</v>
      </c>
      <c r="P1360" t="str">
        <f>I1360&amp;"-"&amp;J1360&amp;"-"&amp;K1360&amp;"-"&amp;L1360&amp;"-"&amp;M1360</f>
        <v>X-2-f-0-10.5</v>
      </c>
      <c r="Q1360">
        <f>A1360+R1360</f>
        <v>1561.3710149999999</v>
      </c>
      <c r="R1360">
        <f>_xlfn.IFNA(VLOOKUP(P1360,PGOPHER!A$2:G$181,7,FALSE),_xlfn.IFNA(VLOOKUP(P1360,en!A$2:I$768,7,FALSE),-10000))</f>
        <v>476.52831500000002</v>
      </c>
      <c r="S1360">
        <f>IF(O1360=O1359,Q1359+S1359,Q1360)</f>
        <v>6245.4766219999992</v>
      </c>
      <c r="T1360">
        <f>IF(O1360=O1359,T1359+1,1)</f>
        <v>4</v>
      </c>
      <c r="U1360" t="str">
        <f>IF(O1360=O1361,"",S1360/T1360)</f>
        <v/>
      </c>
      <c r="V1360" t="str">
        <f>IF(U1360="","",IF(ABS(Q1360-U1360)&gt;V$1,"error",""))</f>
        <v/>
      </c>
    </row>
    <row r="1361" spans="1:22" x14ac:dyDescent="0.55000000000000004">
      <c r="A1361">
        <v>1084.8426999999999</v>
      </c>
      <c r="B1361" s="1">
        <v>1.408E-3</v>
      </c>
      <c r="C1361" s="1">
        <v>1.408E-3</v>
      </c>
      <c r="D1361" s="2" t="s">
        <v>0</v>
      </c>
      <c r="E1361">
        <v>2</v>
      </c>
      <c r="F1361" s="2" t="s">
        <v>1</v>
      </c>
      <c r="G1361">
        <v>1</v>
      </c>
      <c r="H1361">
        <v>9.5</v>
      </c>
      <c r="I1361" s="2" t="s">
        <v>0</v>
      </c>
      <c r="J1361">
        <v>2</v>
      </c>
      <c r="K1361" s="2" t="s">
        <v>1</v>
      </c>
      <c r="L1361">
        <v>0</v>
      </c>
      <c r="M1361">
        <v>10.5</v>
      </c>
      <c r="N1361" s="2" t="s">
        <v>167</v>
      </c>
      <c r="O1361" t="str">
        <f>D1361&amp;"-"&amp;E1361&amp;"-"&amp;F1361&amp;"-"&amp;G1361&amp;"-"&amp;H1361</f>
        <v>X-2-f-1-9.5</v>
      </c>
      <c r="P1361" t="str">
        <f>I1361&amp;"-"&amp;J1361&amp;"-"&amp;K1361&amp;"-"&amp;L1361&amp;"-"&amp;M1361</f>
        <v>X-2-f-0-10.5</v>
      </c>
      <c r="Q1361">
        <f>A1361+R1361</f>
        <v>1561.3710149999999</v>
      </c>
      <c r="R1361">
        <f>_xlfn.IFNA(VLOOKUP(P1361,PGOPHER!A$2:G$181,7,FALSE),_xlfn.IFNA(VLOOKUP(P1361,en!A$2:I$768,7,FALSE),-10000))</f>
        <v>476.52831500000002</v>
      </c>
      <c r="S1361">
        <f>IF(O1361=O1360,Q1360+S1360,Q1361)</f>
        <v>7806.8476369999989</v>
      </c>
      <c r="T1361">
        <f>IF(O1361=O1360,T1360+1,1)</f>
        <v>5</v>
      </c>
      <c r="U1361" t="str">
        <f>IF(O1361=O1362,"",S1361/T1361)</f>
        <v/>
      </c>
      <c r="V1361" t="str">
        <f>IF(U1361="","",IF(ABS(Q1361-U1361)&gt;V$1,"error",""))</f>
        <v/>
      </c>
    </row>
    <row r="1362" spans="1:22" x14ac:dyDescent="0.55000000000000004">
      <c r="A1362">
        <v>1236.0679</v>
      </c>
      <c r="B1362" s="1">
        <v>2.8000000000000001E-2</v>
      </c>
      <c r="C1362" s="1">
        <v>2.8000000000000001E-2</v>
      </c>
      <c r="D1362" s="2" t="s">
        <v>0</v>
      </c>
      <c r="E1362">
        <v>2</v>
      </c>
      <c r="F1362" s="2" t="s">
        <v>1</v>
      </c>
      <c r="G1362">
        <v>1</v>
      </c>
      <c r="H1362">
        <v>9.5</v>
      </c>
      <c r="I1362" s="2" t="s">
        <v>0</v>
      </c>
      <c r="J1362">
        <v>2</v>
      </c>
      <c r="K1362" s="2" t="s">
        <v>1</v>
      </c>
      <c r="L1362">
        <v>0</v>
      </c>
      <c r="M1362">
        <v>8.5</v>
      </c>
      <c r="N1362" s="2" t="s">
        <v>154</v>
      </c>
      <c r="O1362" t="str">
        <f>D1362&amp;"-"&amp;E1362&amp;"-"&amp;F1362&amp;"-"&amp;G1362&amp;"-"&amp;H1362</f>
        <v>X-2-f-1-9.5</v>
      </c>
      <c r="P1362" t="str">
        <f>I1362&amp;"-"&amp;J1362&amp;"-"&amp;K1362&amp;"-"&amp;L1362&amp;"-"&amp;M1362</f>
        <v>X-2-f-0-8.5</v>
      </c>
      <c r="Q1362">
        <f>A1362+R1362</f>
        <v>1561.3686259999999</v>
      </c>
      <c r="R1362">
        <f>_xlfn.IFNA(VLOOKUP(P1362,PGOPHER!A$2:G$181,7,FALSE),_xlfn.IFNA(VLOOKUP(P1362,en!A$2:I$768,7,FALSE),-10000))</f>
        <v>325.300726</v>
      </c>
      <c r="S1362">
        <f>IF(O1362=O1361,Q1361+S1361,Q1362)</f>
        <v>9368.2186519999996</v>
      </c>
      <c r="T1362">
        <f>IF(O1362=O1361,T1361+1,1)</f>
        <v>6</v>
      </c>
      <c r="U1362" t="str">
        <f>IF(O1362=O1363,"",S1362/T1362)</f>
        <v/>
      </c>
      <c r="V1362" t="str">
        <f>IF(U1362="","",IF(ABS(Q1362-U1362)&gt;V$1,"error",""))</f>
        <v/>
      </c>
    </row>
    <row r="1363" spans="1:22" x14ac:dyDescent="0.55000000000000004">
      <c r="A1363">
        <v>1084.8425199999999</v>
      </c>
      <c r="B1363" s="1">
        <v>1.2099999999999999E-3</v>
      </c>
      <c r="C1363" s="1">
        <v>1.2099999999999999E-3</v>
      </c>
      <c r="D1363" s="2" t="s">
        <v>0</v>
      </c>
      <c r="E1363">
        <v>2</v>
      </c>
      <c r="F1363" s="2" t="s">
        <v>1</v>
      </c>
      <c r="G1363">
        <v>1</v>
      </c>
      <c r="H1363">
        <v>9.5</v>
      </c>
      <c r="I1363" s="2" t="s">
        <v>0</v>
      </c>
      <c r="J1363">
        <v>2</v>
      </c>
      <c r="K1363" s="2" t="s">
        <v>1</v>
      </c>
      <c r="L1363">
        <v>0</v>
      </c>
      <c r="M1363">
        <v>10.5</v>
      </c>
      <c r="N1363" s="2" t="s">
        <v>165</v>
      </c>
      <c r="O1363" t="str">
        <f>D1363&amp;"-"&amp;E1363&amp;"-"&amp;F1363&amp;"-"&amp;G1363&amp;"-"&amp;H1363</f>
        <v>X-2-f-1-9.5</v>
      </c>
      <c r="P1363" t="str">
        <f>I1363&amp;"-"&amp;J1363&amp;"-"&amp;K1363&amp;"-"&amp;L1363&amp;"-"&amp;M1363</f>
        <v>X-2-f-0-10.5</v>
      </c>
      <c r="Q1363">
        <f>A1363+R1363</f>
        <v>1561.3708349999999</v>
      </c>
      <c r="R1363">
        <f>_xlfn.IFNA(VLOOKUP(P1363,PGOPHER!A$2:G$181,7,FALSE),_xlfn.IFNA(VLOOKUP(P1363,en!A$2:I$768,7,FALSE),-10000))</f>
        <v>476.52831500000002</v>
      </c>
      <c r="S1363">
        <f>IF(O1363=O1362,Q1362+S1362,Q1363)</f>
        <v>10929.587277999999</v>
      </c>
      <c r="T1363">
        <f>IF(O1363=O1362,T1362+1,1)</f>
        <v>7</v>
      </c>
      <c r="U1363" t="str">
        <f>IF(O1363=O1364,"",S1363/T1363)</f>
        <v/>
      </c>
      <c r="V1363" t="str">
        <f>IF(U1363="","",IF(ABS(Q1363-U1363)&gt;V$1,"error",""))</f>
        <v/>
      </c>
    </row>
    <row r="1364" spans="1:22" x14ac:dyDescent="0.55000000000000004">
      <c r="A1364">
        <v>1084.8425</v>
      </c>
      <c r="B1364" s="1">
        <v>8.0599999999999995E-3</v>
      </c>
      <c r="C1364" s="1">
        <v>8.0599999999999995E-3</v>
      </c>
      <c r="D1364" s="2" t="s">
        <v>0</v>
      </c>
      <c r="E1364">
        <v>2</v>
      </c>
      <c r="F1364" s="2" t="s">
        <v>1</v>
      </c>
      <c r="G1364">
        <v>1</v>
      </c>
      <c r="H1364">
        <v>9.5</v>
      </c>
      <c r="I1364" s="2" t="s">
        <v>0</v>
      </c>
      <c r="J1364">
        <v>2</v>
      </c>
      <c r="K1364" s="2" t="s">
        <v>1</v>
      </c>
      <c r="L1364">
        <v>0</v>
      </c>
      <c r="M1364">
        <v>10.5</v>
      </c>
      <c r="N1364" s="2" t="s">
        <v>156</v>
      </c>
      <c r="O1364" t="str">
        <f>D1364&amp;"-"&amp;E1364&amp;"-"&amp;F1364&amp;"-"&amp;G1364&amp;"-"&amp;H1364</f>
        <v>X-2-f-1-9.5</v>
      </c>
      <c r="P1364" t="str">
        <f>I1364&amp;"-"&amp;J1364&amp;"-"&amp;K1364&amp;"-"&amp;L1364&amp;"-"&amp;M1364</f>
        <v>X-2-f-0-10.5</v>
      </c>
      <c r="Q1364">
        <f>A1364+R1364</f>
        <v>1561.370815</v>
      </c>
      <c r="R1364">
        <f>_xlfn.IFNA(VLOOKUP(P1364,PGOPHER!A$2:G$181,7,FALSE),_xlfn.IFNA(VLOOKUP(P1364,en!A$2:I$768,7,FALSE),-10000))</f>
        <v>476.52831500000002</v>
      </c>
      <c r="S1364">
        <f>IF(O1364=O1363,Q1363+S1363,Q1364)</f>
        <v>12490.958112999999</v>
      </c>
      <c r="T1364">
        <f>IF(O1364=O1363,T1363+1,1)</f>
        <v>8</v>
      </c>
      <c r="U1364">
        <f>IF(O1364=O1365,"",S1364/T1364)</f>
        <v>1561.3697641249998</v>
      </c>
      <c r="V1364" t="str">
        <f>IF(U1364="","",IF(ABS(Q1364-U1364)&gt;V$1,"error",""))</f>
        <v/>
      </c>
    </row>
    <row r="1365" spans="1:22" x14ac:dyDescent="0.55000000000000004">
      <c r="A1365">
        <v>1052.4142999999999</v>
      </c>
      <c r="B1365" s="1">
        <v>5.5199999999999997E-3</v>
      </c>
      <c r="C1365" s="1">
        <v>5.5199999999999997E-3</v>
      </c>
      <c r="D1365" s="2" t="s">
        <v>0</v>
      </c>
      <c r="E1365">
        <v>2</v>
      </c>
      <c r="F1365" s="2" t="s">
        <v>1</v>
      </c>
      <c r="G1365">
        <v>2</v>
      </c>
      <c r="H1365">
        <v>9.5</v>
      </c>
      <c r="I1365" s="2" t="s">
        <v>0</v>
      </c>
      <c r="J1365">
        <v>2</v>
      </c>
      <c r="K1365" s="2" t="s">
        <v>1</v>
      </c>
      <c r="L1365">
        <v>1</v>
      </c>
      <c r="M1365">
        <v>10.5</v>
      </c>
      <c r="N1365" s="2" t="s">
        <v>436</v>
      </c>
      <c r="O1365" t="str">
        <f>D1365&amp;"-"&amp;E1365&amp;"-"&amp;F1365&amp;"-"&amp;G1365&amp;"-"&amp;H1365</f>
        <v>X-2-f-2-9.5</v>
      </c>
      <c r="P1365" t="str">
        <f>I1365&amp;"-"&amp;J1365&amp;"-"&amp;K1365&amp;"-"&amp;L1365&amp;"-"&amp;M1365</f>
        <v>X-2-f-1-10.5</v>
      </c>
      <c r="Q1365">
        <f>A1365+R1365</f>
        <v>2691.1778359999998</v>
      </c>
      <c r="R1365">
        <f>_xlfn.IFNA(VLOOKUP(P1365,PGOPHER!A$2:G$181,7,FALSE),_xlfn.IFNA(VLOOKUP(P1365,en!A$2:I$768,7,FALSE),-10000))</f>
        <v>1638.7635359999999</v>
      </c>
      <c r="S1365">
        <f>IF(O1365=O1364,Q1364+S1364,Q1365)</f>
        <v>2691.1778359999998</v>
      </c>
      <c r="T1365">
        <f>IF(O1365=O1364,T1364+1,1)</f>
        <v>1</v>
      </c>
      <c r="U1365" t="str">
        <f>IF(O1365=O1366,"",S1365/T1365)</f>
        <v/>
      </c>
      <c r="V1365" t="str">
        <f>IF(U1365="","",IF(ABS(Q1365-U1365)&gt;V$1,"error",""))</f>
        <v/>
      </c>
    </row>
    <row r="1366" spans="1:22" x14ac:dyDescent="0.55000000000000004">
      <c r="A1366">
        <v>1200.2746</v>
      </c>
      <c r="B1366" s="1">
        <v>8.5500000000000003E-3</v>
      </c>
      <c r="C1366" s="1">
        <v>8.5500000000000003E-3</v>
      </c>
      <c r="D1366" s="2" t="s">
        <v>0</v>
      </c>
      <c r="E1366">
        <v>2</v>
      </c>
      <c r="F1366" s="2" t="s">
        <v>1</v>
      </c>
      <c r="G1366">
        <v>2</v>
      </c>
      <c r="H1366">
        <v>9.5</v>
      </c>
      <c r="I1366" s="2" t="s">
        <v>0</v>
      </c>
      <c r="J1366">
        <v>2</v>
      </c>
      <c r="K1366" s="2" t="s">
        <v>1</v>
      </c>
      <c r="L1366">
        <v>1</v>
      </c>
      <c r="M1366">
        <v>8.5</v>
      </c>
      <c r="N1366" s="2" t="s">
        <v>434</v>
      </c>
      <c r="O1366" t="str">
        <f>D1366&amp;"-"&amp;E1366&amp;"-"&amp;F1366&amp;"-"&amp;G1366&amp;"-"&amp;H1366</f>
        <v>X-2-f-2-9.5</v>
      </c>
      <c r="P1366" t="str">
        <f>I1366&amp;"-"&amp;J1366&amp;"-"&amp;K1366&amp;"-"&amp;L1366&amp;"-"&amp;M1366</f>
        <v>X-2-f-1-8.5</v>
      </c>
      <c r="Q1366">
        <f>A1366+R1366</f>
        <v>2691.176485</v>
      </c>
      <c r="R1366">
        <f>_xlfn.IFNA(VLOOKUP(P1366,PGOPHER!A$2:G$181,7,FALSE),_xlfn.IFNA(VLOOKUP(P1366,en!A$2:I$768,7,FALSE),-10000))</f>
        <v>1490.901885</v>
      </c>
      <c r="S1366">
        <f>IF(O1366=O1365,Q1365+S1365,Q1366)</f>
        <v>5382.3556719999997</v>
      </c>
      <c r="T1366">
        <f>IF(O1366=O1365,T1365+1,1)</f>
        <v>2</v>
      </c>
      <c r="U1366">
        <f>IF(O1366=O1367,"",S1366/T1366)</f>
        <v>2691.1778359999998</v>
      </c>
      <c r="V1366" t="str">
        <f>IF(U1366="","",IF(ABS(Q1366-U1366)&gt;V$1,"error",""))</f>
        <v/>
      </c>
    </row>
    <row r="1367" spans="1:22" x14ac:dyDescent="0.55000000000000004">
      <c r="A1367">
        <v>1164.3811000000001</v>
      </c>
      <c r="B1367" s="1">
        <v>1.6799999999999999E-2</v>
      </c>
      <c r="C1367" s="1">
        <v>1.6799999999999999E-2</v>
      </c>
      <c r="D1367" s="2" t="s">
        <v>0</v>
      </c>
      <c r="E1367">
        <v>2</v>
      </c>
      <c r="F1367" s="2" t="s">
        <v>1</v>
      </c>
      <c r="G1367">
        <v>3</v>
      </c>
      <c r="H1367">
        <v>9.5</v>
      </c>
      <c r="I1367" s="2" t="s">
        <v>0</v>
      </c>
      <c r="J1367">
        <v>2</v>
      </c>
      <c r="K1367" s="2" t="s">
        <v>1</v>
      </c>
      <c r="L1367">
        <v>2</v>
      </c>
      <c r="M1367">
        <v>8.5</v>
      </c>
      <c r="N1367" s="2" t="s">
        <v>560</v>
      </c>
      <c r="O1367" t="str">
        <f>D1367&amp;"-"&amp;E1367&amp;"-"&amp;F1367&amp;"-"&amp;G1367&amp;"-"&amp;H1367</f>
        <v>X-2-f-3-9.5</v>
      </c>
      <c r="P1367" t="str">
        <f>I1367&amp;"-"&amp;J1367&amp;"-"&amp;K1367&amp;"-"&amp;L1367&amp;"-"&amp;M1367</f>
        <v>X-2-f-2-8.5</v>
      </c>
      <c r="Q1367">
        <f>A1367+R1367</f>
        <v>3786.7021580000001</v>
      </c>
      <c r="R1367">
        <f>_xlfn.IFNA(VLOOKUP(P1367,PGOPHER!A$2:G$181,7,FALSE),_xlfn.IFNA(VLOOKUP(P1367,en!A$2:I$768,7,FALSE),-10000))</f>
        <v>2622.321058</v>
      </c>
      <c r="S1367">
        <f>IF(O1367=O1366,Q1366+S1366,Q1367)</f>
        <v>3786.7021580000001</v>
      </c>
      <c r="T1367">
        <f>IF(O1367=O1366,T1366+1,1)</f>
        <v>1</v>
      </c>
      <c r="U1367" t="str">
        <f>IF(O1367=O1368,"",S1367/T1367)</f>
        <v/>
      </c>
      <c r="V1367" t="str">
        <f>IF(U1367="","",IF(ABS(Q1367-U1367)&gt;V$1,"error",""))</f>
        <v/>
      </c>
    </row>
    <row r="1368" spans="1:22" x14ac:dyDescent="0.55000000000000004">
      <c r="A1368">
        <v>1019.8986</v>
      </c>
      <c r="B1368" s="1">
        <v>1.7299999999999999E-2</v>
      </c>
      <c r="C1368" s="1">
        <v>1.7299999999999999E-2</v>
      </c>
      <c r="D1368" s="2" t="s">
        <v>0</v>
      </c>
      <c r="E1368">
        <v>2</v>
      </c>
      <c r="F1368" s="2" t="s">
        <v>1</v>
      </c>
      <c r="G1368">
        <v>3</v>
      </c>
      <c r="H1368">
        <v>9.5</v>
      </c>
      <c r="I1368" s="2" t="s">
        <v>0</v>
      </c>
      <c r="J1368">
        <v>2</v>
      </c>
      <c r="K1368" s="2" t="s">
        <v>1</v>
      </c>
      <c r="L1368">
        <v>2</v>
      </c>
      <c r="M1368">
        <v>10.5</v>
      </c>
      <c r="N1368" s="2" t="s">
        <v>559</v>
      </c>
      <c r="O1368" t="str">
        <f>D1368&amp;"-"&amp;E1368&amp;"-"&amp;F1368&amp;"-"&amp;G1368&amp;"-"&amp;H1368</f>
        <v>X-2-f-3-9.5</v>
      </c>
      <c r="P1368" t="str">
        <f>I1368&amp;"-"&amp;J1368&amp;"-"&amp;K1368&amp;"-"&amp;L1368&amp;"-"&amp;M1368</f>
        <v>X-2-f-2-10.5</v>
      </c>
      <c r="Q1368">
        <f>A1368+R1368</f>
        <v>3786.7032009999998</v>
      </c>
      <c r="R1368">
        <f>_xlfn.IFNA(VLOOKUP(P1368,PGOPHER!A$2:G$181,7,FALSE),_xlfn.IFNA(VLOOKUP(P1368,en!A$2:I$768,7,FALSE),-10000))</f>
        <v>2766.8046009999998</v>
      </c>
      <c r="S1368">
        <f>IF(O1368=O1367,Q1367+S1367,Q1368)</f>
        <v>7573.4043160000001</v>
      </c>
      <c r="T1368">
        <f>IF(O1368=O1367,T1367+1,1)</f>
        <v>2</v>
      </c>
      <c r="U1368">
        <f>IF(O1368=O1369,"",S1368/T1368)</f>
        <v>3786.7021580000001</v>
      </c>
      <c r="V1368" t="str">
        <f>IF(U1368="","",IF(ABS(Q1368-U1368)&gt;V$1,"error",""))</f>
        <v/>
      </c>
    </row>
    <row r="1369" spans="1:22" x14ac:dyDescent="0.55000000000000004">
      <c r="A1369">
        <v>1128.2128</v>
      </c>
      <c r="B1369" s="1">
        <v>1E-3</v>
      </c>
      <c r="C1369" s="1">
        <v>1E-3</v>
      </c>
      <c r="D1369" s="2" t="s">
        <v>0</v>
      </c>
      <c r="E1369">
        <v>2</v>
      </c>
      <c r="F1369" s="2" t="s">
        <v>1</v>
      </c>
      <c r="G1369">
        <v>4</v>
      </c>
      <c r="H1369">
        <v>9.5</v>
      </c>
      <c r="I1369" s="2" t="s">
        <v>0</v>
      </c>
      <c r="J1369">
        <v>2</v>
      </c>
      <c r="K1369" s="2" t="s">
        <v>1</v>
      </c>
      <c r="L1369">
        <v>3</v>
      </c>
      <c r="M1369">
        <v>8.5</v>
      </c>
      <c r="N1369" s="2" t="s">
        <v>640</v>
      </c>
      <c r="O1369" t="str">
        <f>D1369&amp;"-"&amp;E1369&amp;"-"&amp;F1369&amp;"-"&amp;G1369&amp;"-"&amp;H1369</f>
        <v>X-2-f-4-9.5</v>
      </c>
      <c r="P1369" t="str">
        <f>I1369&amp;"-"&amp;J1369&amp;"-"&amp;K1369&amp;"-"&amp;L1369&amp;"-"&amp;M1369</f>
        <v>X-2-f-3-8.5</v>
      </c>
      <c r="Q1369">
        <f>A1369+R1369</f>
        <v>4847.676426</v>
      </c>
      <c r="R1369">
        <f>_xlfn.IFNA(VLOOKUP(P1369,PGOPHER!A$2:G$181,7,FALSE),_xlfn.IFNA(VLOOKUP(P1369,en!A$2:I$768,7,FALSE),-10000))</f>
        <v>3719.4636260000002</v>
      </c>
      <c r="S1369">
        <f>IF(O1369=O1368,Q1368+S1368,Q1369)</f>
        <v>4847.676426</v>
      </c>
      <c r="T1369">
        <f>IF(O1369=O1368,T1368+1,1)</f>
        <v>1</v>
      </c>
      <c r="U1369" t="str">
        <f>IF(O1369=O1370,"",S1369/T1369)</f>
        <v/>
      </c>
      <c r="V1369" t="str">
        <f>IF(U1369="","",IF(ABS(Q1369-U1369)&gt;V$1,"error",""))</f>
        <v/>
      </c>
    </row>
    <row r="1370" spans="1:22" x14ac:dyDescent="0.55000000000000004">
      <c r="A1370">
        <v>987.13260000000002</v>
      </c>
      <c r="B1370" s="1">
        <v>1E-3</v>
      </c>
      <c r="C1370" s="1">
        <v>1E-3</v>
      </c>
      <c r="D1370" s="2" t="s">
        <v>0</v>
      </c>
      <c r="E1370">
        <v>2</v>
      </c>
      <c r="F1370" s="2" t="s">
        <v>1</v>
      </c>
      <c r="G1370">
        <v>4</v>
      </c>
      <c r="H1370">
        <v>9.5</v>
      </c>
      <c r="I1370" s="2" t="s">
        <v>0</v>
      </c>
      <c r="J1370">
        <v>2</v>
      </c>
      <c r="K1370" s="2" t="s">
        <v>1</v>
      </c>
      <c r="L1370">
        <v>3</v>
      </c>
      <c r="M1370">
        <v>10.5</v>
      </c>
      <c r="N1370" s="2" t="s">
        <v>642</v>
      </c>
      <c r="O1370" t="str">
        <f>D1370&amp;"-"&amp;E1370&amp;"-"&amp;F1370&amp;"-"&amp;G1370&amp;"-"&amp;H1370</f>
        <v>X-2-f-4-9.5</v>
      </c>
      <c r="P1370" t="str">
        <f>I1370&amp;"-"&amp;J1370&amp;"-"&amp;K1370&amp;"-"&amp;L1370&amp;"-"&amp;M1370</f>
        <v>X-2-f-3-10.5</v>
      </c>
      <c r="Q1370">
        <f>A1370+R1370</f>
        <v>4847.6765249999999</v>
      </c>
      <c r="R1370">
        <f>_xlfn.IFNA(VLOOKUP(P1370,PGOPHER!A$2:G$181,7,FALSE),_xlfn.IFNA(VLOOKUP(P1370,en!A$2:I$768,7,FALSE),-10000))</f>
        <v>3860.5439249999999</v>
      </c>
      <c r="S1370">
        <f>IF(O1370=O1369,Q1369+S1369,Q1370)</f>
        <v>9695.352852</v>
      </c>
      <c r="T1370">
        <f>IF(O1370=O1369,T1369+1,1)</f>
        <v>2</v>
      </c>
      <c r="U1370">
        <f>IF(O1370=O1371,"",S1370/T1370)</f>
        <v>4847.676426</v>
      </c>
      <c r="V1370" t="str">
        <f>IF(U1370="","",IF(ABS(Q1370-U1370)&gt;V$1,"error",""))</f>
        <v/>
      </c>
    </row>
    <row r="1371" spans="1:22" x14ac:dyDescent="0.55000000000000004">
      <c r="A1371">
        <v>1084.6782800000001</v>
      </c>
      <c r="B1371" s="1">
        <v>1.56E-3</v>
      </c>
      <c r="C1371" s="1">
        <v>1.56E-3</v>
      </c>
      <c r="D1371" s="2" t="s">
        <v>0</v>
      </c>
      <c r="E1371">
        <v>1</v>
      </c>
      <c r="F1371" s="2" t="s">
        <v>2</v>
      </c>
      <c r="G1371">
        <v>1</v>
      </c>
      <c r="H1371">
        <v>10.5</v>
      </c>
      <c r="I1371" s="2" t="s">
        <v>0</v>
      </c>
      <c r="J1371">
        <v>1</v>
      </c>
      <c r="K1371" s="2" t="s">
        <v>2</v>
      </c>
      <c r="L1371">
        <v>0</v>
      </c>
      <c r="M1371">
        <v>11.5</v>
      </c>
      <c r="N1371" s="2" t="s">
        <v>173</v>
      </c>
      <c r="O1371" t="str">
        <f>D1371&amp;"-"&amp;E1371&amp;"-"&amp;F1371&amp;"-"&amp;G1371&amp;"-"&amp;H1371</f>
        <v>X-1-e-1-10.5</v>
      </c>
      <c r="P1371" t="str">
        <f>I1371&amp;"-"&amp;J1371&amp;"-"&amp;K1371&amp;"-"&amp;L1371&amp;"-"&amp;M1371</f>
        <v>X-1-e-0-11.5</v>
      </c>
      <c r="Q1371">
        <f>A1371+R1371</f>
        <v>1562.6117040000001</v>
      </c>
      <c r="R1371">
        <f>_xlfn.IFNA(VLOOKUP(P1371,PGOPHER!A$2:G$181,7,FALSE),_xlfn.IFNA(VLOOKUP(P1371,en!A$2:I$768,7,FALSE),-10000))</f>
        <v>477.933424</v>
      </c>
      <c r="S1371">
        <f>IF(O1371=O1370,Q1370+S1370,Q1371)</f>
        <v>1562.6117040000001</v>
      </c>
      <c r="T1371">
        <f>IF(O1371=O1370,T1370+1,1)</f>
        <v>1</v>
      </c>
      <c r="U1371" t="str">
        <f>IF(O1371=O1372,"",S1371/T1371)</f>
        <v/>
      </c>
      <c r="V1371" t="str">
        <f>IF(U1371="","",IF(ABS(Q1371-U1371)&gt;V$1,"error",""))</f>
        <v/>
      </c>
    </row>
    <row r="1372" spans="1:22" x14ac:dyDescent="0.55000000000000004">
      <c r="A1372">
        <v>1236.14572</v>
      </c>
      <c r="B1372" s="1">
        <v>1E-3</v>
      </c>
      <c r="C1372" s="1">
        <v>1E-3</v>
      </c>
      <c r="D1372" s="2" t="s">
        <v>0</v>
      </c>
      <c r="E1372">
        <v>1</v>
      </c>
      <c r="F1372" s="2" t="s">
        <v>2</v>
      </c>
      <c r="G1372">
        <v>1</v>
      </c>
      <c r="H1372">
        <v>10.5</v>
      </c>
      <c r="I1372" s="2" t="s">
        <v>0</v>
      </c>
      <c r="J1372">
        <v>1</v>
      </c>
      <c r="K1372" s="2" t="s">
        <v>2</v>
      </c>
      <c r="L1372">
        <v>0</v>
      </c>
      <c r="M1372">
        <v>9.5</v>
      </c>
      <c r="N1372" s="2" t="s">
        <v>177</v>
      </c>
      <c r="O1372" t="str">
        <f>D1372&amp;"-"&amp;E1372&amp;"-"&amp;F1372&amp;"-"&amp;G1372&amp;"-"&amp;H1372</f>
        <v>X-1-e-1-10.5</v>
      </c>
      <c r="P1372" t="str">
        <f>I1372&amp;"-"&amp;J1372&amp;"-"&amp;K1372&amp;"-"&amp;L1372&amp;"-"&amp;M1372</f>
        <v>X-1-e-0-9.5</v>
      </c>
      <c r="Q1372">
        <f>A1372+R1372</f>
        <v>1562.6133380000001</v>
      </c>
      <c r="R1372">
        <f>_xlfn.IFNA(VLOOKUP(P1372,PGOPHER!A$2:G$181,7,FALSE),_xlfn.IFNA(VLOOKUP(P1372,en!A$2:I$768,7,FALSE),-10000))</f>
        <v>326.46761800000002</v>
      </c>
      <c r="S1372">
        <f>IF(O1372=O1371,Q1371+S1371,Q1372)</f>
        <v>3125.2234080000003</v>
      </c>
      <c r="T1372">
        <f>IF(O1372=O1371,T1371+1,1)</f>
        <v>2</v>
      </c>
      <c r="U1372" t="str">
        <f>IF(O1372=O1373,"",S1372/T1372)</f>
        <v/>
      </c>
      <c r="V1372" t="str">
        <f>IF(U1372="","",IF(ABS(Q1372-U1372)&gt;V$1,"error",""))</f>
        <v/>
      </c>
    </row>
    <row r="1373" spans="1:22" x14ac:dyDescent="0.55000000000000004">
      <c r="A1373">
        <v>1236.14336</v>
      </c>
      <c r="B1373" s="1">
        <v>2.7569999999999999E-3</v>
      </c>
      <c r="C1373" s="1">
        <v>2.7569999999999999E-3</v>
      </c>
      <c r="D1373" s="2" t="s">
        <v>0</v>
      </c>
      <c r="E1373">
        <v>1</v>
      </c>
      <c r="F1373" s="2" t="s">
        <v>2</v>
      </c>
      <c r="G1373">
        <v>1</v>
      </c>
      <c r="H1373">
        <v>10.5</v>
      </c>
      <c r="I1373" s="2" t="s">
        <v>0</v>
      </c>
      <c r="J1373">
        <v>1</v>
      </c>
      <c r="K1373" s="2" t="s">
        <v>2</v>
      </c>
      <c r="L1373">
        <v>0</v>
      </c>
      <c r="M1373">
        <v>9.5</v>
      </c>
      <c r="N1373" s="2" t="s">
        <v>174</v>
      </c>
      <c r="O1373" t="str">
        <f>D1373&amp;"-"&amp;E1373&amp;"-"&amp;F1373&amp;"-"&amp;G1373&amp;"-"&amp;H1373</f>
        <v>X-1-e-1-10.5</v>
      </c>
      <c r="P1373" t="str">
        <f>I1373&amp;"-"&amp;J1373&amp;"-"&amp;K1373&amp;"-"&amp;L1373&amp;"-"&amp;M1373</f>
        <v>X-1-e-0-9.5</v>
      </c>
      <c r="Q1373">
        <f>A1373+R1373</f>
        <v>1562.6109780000002</v>
      </c>
      <c r="R1373">
        <f>_xlfn.IFNA(VLOOKUP(P1373,PGOPHER!A$2:G$181,7,FALSE),_xlfn.IFNA(VLOOKUP(P1373,en!A$2:I$768,7,FALSE),-10000))</f>
        <v>326.46761800000002</v>
      </c>
      <c r="S1373">
        <f>IF(O1373=O1372,Q1372+S1372,Q1373)</f>
        <v>4687.8367460000009</v>
      </c>
      <c r="T1373">
        <f>IF(O1373=O1372,T1372+1,1)</f>
        <v>3</v>
      </c>
      <c r="U1373" t="str">
        <f>IF(O1373=O1374,"",S1373/T1373)</f>
        <v/>
      </c>
      <c r="V1373" t="str">
        <f>IF(U1373="","",IF(ABS(Q1373-U1373)&gt;V$1,"error",""))</f>
        <v/>
      </c>
    </row>
    <row r="1374" spans="1:22" x14ac:dyDescent="0.55000000000000004">
      <c r="A1374">
        <v>1084.6804999999999</v>
      </c>
      <c r="B1374" s="1">
        <v>9.9399999999999992E-3</v>
      </c>
      <c r="C1374" s="1">
        <v>9.9399999999999992E-3</v>
      </c>
      <c r="D1374" s="2" t="s">
        <v>0</v>
      </c>
      <c r="E1374">
        <v>1</v>
      </c>
      <c r="F1374" s="2" t="s">
        <v>2</v>
      </c>
      <c r="G1374">
        <v>1</v>
      </c>
      <c r="H1374">
        <v>10.5</v>
      </c>
      <c r="I1374" s="2" t="s">
        <v>0</v>
      </c>
      <c r="J1374">
        <v>1</v>
      </c>
      <c r="K1374" s="2" t="s">
        <v>2</v>
      </c>
      <c r="L1374">
        <v>0</v>
      </c>
      <c r="M1374">
        <v>11.5</v>
      </c>
      <c r="N1374" s="2" t="s">
        <v>171</v>
      </c>
      <c r="O1374" t="str">
        <f>D1374&amp;"-"&amp;E1374&amp;"-"&amp;F1374&amp;"-"&amp;G1374&amp;"-"&amp;H1374</f>
        <v>X-1-e-1-10.5</v>
      </c>
      <c r="P1374" t="str">
        <f>I1374&amp;"-"&amp;J1374&amp;"-"&amp;K1374&amp;"-"&amp;L1374&amp;"-"&amp;M1374</f>
        <v>X-1-e-0-11.5</v>
      </c>
      <c r="Q1374">
        <f>A1374+R1374</f>
        <v>1562.613924</v>
      </c>
      <c r="R1374">
        <f>_xlfn.IFNA(VLOOKUP(P1374,PGOPHER!A$2:G$181,7,FALSE),_xlfn.IFNA(VLOOKUP(P1374,en!A$2:I$768,7,FALSE),-10000))</f>
        <v>477.933424</v>
      </c>
      <c r="S1374">
        <f>IF(O1374=O1373,Q1373+S1373,Q1374)</f>
        <v>6250.4477240000015</v>
      </c>
      <c r="T1374">
        <f>IF(O1374=O1373,T1373+1,1)</f>
        <v>4</v>
      </c>
      <c r="U1374" t="str">
        <f>IF(O1374=O1375,"",S1374/T1374)</f>
        <v/>
      </c>
      <c r="V1374" t="str">
        <f>IF(U1374="","",IF(ABS(Q1374-U1374)&gt;V$1,"error",""))</f>
        <v/>
      </c>
    </row>
    <row r="1375" spans="1:22" x14ac:dyDescent="0.55000000000000004">
      <c r="A1375">
        <v>1084.6804999999999</v>
      </c>
      <c r="B1375" s="1">
        <v>1E-3</v>
      </c>
      <c r="C1375" s="1">
        <v>1E-3</v>
      </c>
      <c r="D1375" s="2" t="s">
        <v>0</v>
      </c>
      <c r="E1375">
        <v>1</v>
      </c>
      <c r="F1375" s="2" t="s">
        <v>2</v>
      </c>
      <c r="G1375">
        <v>1</v>
      </c>
      <c r="H1375">
        <v>10.5</v>
      </c>
      <c r="I1375" s="2" t="s">
        <v>0</v>
      </c>
      <c r="J1375">
        <v>1</v>
      </c>
      <c r="K1375" s="2" t="s">
        <v>2</v>
      </c>
      <c r="L1375">
        <v>0</v>
      </c>
      <c r="M1375">
        <v>11.5</v>
      </c>
      <c r="N1375" s="2" t="s">
        <v>181</v>
      </c>
      <c r="O1375" t="str">
        <f>D1375&amp;"-"&amp;E1375&amp;"-"&amp;F1375&amp;"-"&amp;G1375&amp;"-"&amp;H1375</f>
        <v>X-1-e-1-10.5</v>
      </c>
      <c r="P1375" t="str">
        <f>I1375&amp;"-"&amp;J1375&amp;"-"&amp;K1375&amp;"-"&amp;L1375&amp;"-"&amp;M1375</f>
        <v>X-1-e-0-11.5</v>
      </c>
      <c r="Q1375">
        <f>A1375+R1375</f>
        <v>1562.613924</v>
      </c>
      <c r="R1375">
        <f>_xlfn.IFNA(VLOOKUP(P1375,PGOPHER!A$2:G$181,7,FALSE),_xlfn.IFNA(VLOOKUP(P1375,en!A$2:I$768,7,FALSE),-10000))</f>
        <v>477.933424</v>
      </c>
      <c r="S1375">
        <f>IF(O1375=O1374,Q1374+S1374,Q1375)</f>
        <v>7813.0616480000017</v>
      </c>
      <c r="T1375">
        <f>IF(O1375=O1374,T1374+1,1)</f>
        <v>5</v>
      </c>
      <c r="U1375" t="str">
        <f>IF(O1375=O1376,"",S1375/T1375)</f>
        <v/>
      </c>
      <c r="V1375" t="str">
        <f>IF(U1375="","",IF(ABS(Q1375-U1375)&gt;V$1,"error",""))</f>
        <v/>
      </c>
    </row>
    <row r="1376" spans="1:22" x14ac:dyDescent="0.55000000000000004">
      <c r="A1376">
        <v>1236.1457</v>
      </c>
      <c r="B1376" s="1">
        <v>2.9600000000000001E-2</v>
      </c>
      <c r="C1376" s="1">
        <v>2.9600000000000001E-2</v>
      </c>
      <c r="D1376" s="2" t="s">
        <v>0</v>
      </c>
      <c r="E1376">
        <v>1</v>
      </c>
      <c r="F1376" s="2" t="s">
        <v>2</v>
      </c>
      <c r="G1376">
        <v>1</v>
      </c>
      <c r="H1376">
        <v>10.5</v>
      </c>
      <c r="I1376" s="2" t="s">
        <v>0</v>
      </c>
      <c r="J1376">
        <v>1</v>
      </c>
      <c r="K1376" s="2" t="s">
        <v>2</v>
      </c>
      <c r="L1376">
        <v>0</v>
      </c>
      <c r="M1376">
        <v>9.5</v>
      </c>
      <c r="N1376" s="2" t="s">
        <v>168</v>
      </c>
      <c r="O1376" t="str">
        <f>D1376&amp;"-"&amp;E1376&amp;"-"&amp;F1376&amp;"-"&amp;G1376&amp;"-"&amp;H1376</f>
        <v>X-1-e-1-10.5</v>
      </c>
      <c r="P1376" t="str">
        <f>I1376&amp;"-"&amp;J1376&amp;"-"&amp;K1376&amp;"-"&amp;L1376&amp;"-"&amp;M1376</f>
        <v>X-1-e-0-9.5</v>
      </c>
      <c r="Q1376">
        <f>A1376+R1376</f>
        <v>1562.6133180000002</v>
      </c>
      <c r="R1376">
        <f>_xlfn.IFNA(VLOOKUP(P1376,PGOPHER!A$2:G$181,7,FALSE),_xlfn.IFNA(VLOOKUP(P1376,en!A$2:I$768,7,FALSE),-10000))</f>
        <v>326.46761800000002</v>
      </c>
      <c r="S1376">
        <f>IF(O1376=O1375,Q1375+S1375,Q1376)</f>
        <v>9375.6755720000019</v>
      </c>
      <c r="T1376">
        <f>IF(O1376=O1375,T1375+1,1)</f>
        <v>6</v>
      </c>
      <c r="U1376" t="str">
        <f>IF(O1376=O1377,"",S1376/T1376)</f>
        <v/>
      </c>
      <c r="V1376" t="str">
        <f>IF(U1376="","",IF(ABS(Q1376-U1376)&gt;V$1,"error",""))</f>
        <v/>
      </c>
    </row>
    <row r="1377" spans="1:22" x14ac:dyDescent="0.55000000000000004">
      <c r="A1377">
        <v>1084.6797899999999</v>
      </c>
      <c r="B1377" s="1">
        <v>1E-3</v>
      </c>
      <c r="C1377" s="1">
        <v>1E-3</v>
      </c>
      <c r="D1377" s="2" t="s">
        <v>0</v>
      </c>
      <c r="E1377">
        <v>1</v>
      </c>
      <c r="F1377" s="2" t="s">
        <v>2</v>
      </c>
      <c r="G1377">
        <v>1</v>
      </c>
      <c r="H1377">
        <v>10.5</v>
      </c>
      <c r="I1377" s="2" t="s">
        <v>0</v>
      </c>
      <c r="J1377">
        <v>1</v>
      </c>
      <c r="K1377" s="2" t="s">
        <v>2</v>
      </c>
      <c r="L1377">
        <v>0</v>
      </c>
      <c r="M1377">
        <v>11.5</v>
      </c>
      <c r="N1377" s="2" t="s">
        <v>178</v>
      </c>
      <c r="O1377" t="str">
        <f>D1377&amp;"-"&amp;E1377&amp;"-"&amp;F1377&amp;"-"&amp;G1377&amp;"-"&amp;H1377</f>
        <v>X-1-e-1-10.5</v>
      </c>
      <c r="P1377" t="str">
        <f>I1377&amp;"-"&amp;J1377&amp;"-"&amp;K1377&amp;"-"&amp;L1377&amp;"-"&amp;M1377</f>
        <v>X-1-e-0-11.5</v>
      </c>
      <c r="Q1377">
        <f>A1377+R1377</f>
        <v>1562.613214</v>
      </c>
      <c r="R1377">
        <f>_xlfn.IFNA(VLOOKUP(P1377,PGOPHER!A$2:G$181,7,FALSE),_xlfn.IFNA(VLOOKUP(P1377,en!A$2:I$768,7,FALSE),-10000))</f>
        <v>477.933424</v>
      </c>
      <c r="S1377">
        <f>IF(O1377=O1376,Q1376+S1376,Q1377)</f>
        <v>10938.288890000002</v>
      </c>
      <c r="T1377">
        <f>IF(O1377=O1376,T1376+1,1)</f>
        <v>7</v>
      </c>
      <c r="U1377" t="str">
        <f>IF(O1377=O1378,"",S1377/T1377)</f>
        <v/>
      </c>
      <c r="V1377" t="str">
        <f>IF(U1377="","",IF(ABS(Q1377-U1377)&gt;V$1,"error",""))</f>
        <v/>
      </c>
    </row>
    <row r="1378" spans="1:22" x14ac:dyDescent="0.55000000000000004">
      <c r="A1378">
        <v>1084.6797999999999</v>
      </c>
      <c r="B1378" s="1">
        <v>1.0699999999999999E-2</v>
      </c>
      <c r="C1378" s="1">
        <v>1.0699999999999999E-2</v>
      </c>
      <c r="D1378" s="2" t="s">
        <v>0</v>
      </c>
      <c r="E1378">
        <v>1</v>
      </c>
      <c r="F1378" s="2" t="s">
        <v>2</v>
      </c>
      <c r="G1378">
        <v>1</v>
      </c>
      <c r="H1378">
        <v>10.5</v>
      </c>
      <c r="I1378" s="2" t="s">
        <v>0</v>
      </c>
      <c r="J1378">
        <v>1</v>
      </c>
      <c r="K1378" s="2" t="s">
        <v>2</v>
      </c>
      <c r="L1378">
        <v>0</v>
      </c>
      <c r="M1378">
        <v>11.5</v>
      </c>
      <c r="N1378" s="2" t="s">
        <v>170</v>
      </c>
      <c r="O1378" t="str">
        <f>D1378&amp;"-"&amp;E1378&amp;"-"&amp;F1378&amp;"-"&amp;G1378&amp;"-"&amp;H1378</f>
        <v>X-1-e-1-10.5</v>
      </c>
      <c r="P1378" t="str">
        <f>I1378&amp;"-"&amp;J1378&amp;"-"&amp;K1378&amp;"-"&amp;L1378&amp;"-"&amp;M1378</f>
        <v>X-1-e-0-11.5</v>
      </c>
      <c r="Q1378">
        <f>A1378+R1378</f>
        <v>1562.6132239999999</v>
      </c>
      <c r="R1378">
        <f>_xlfn.IFNA(VLOOKUP(P1378,PGOPHER!A$2:G$181,7,FALSE),_xlfn.IFNA(VLOOKUP(P1378,en!A$2:I$768,7,FALSE),-10000))</f>
        <v>477.933424</v>
      </c>
      <c r="S1378">
        <f>IF(O1378=O1377,Q1377+S1377,Q1378)</f>
        <v>12500.902104000001</v>
      </c>
      <c r="T1378">
        <f>IF(O1378=O1377,T1377+1,1)</f>
        <v>8</v>
      </c>
      <c r="U1378">
        <f>IF(O1378=O1379,"",S1378/T1378)</f>
        <v>1562.6127630000001</v>
      </c>
      <c r="V1378" t="str">
        <f>IF(U1378="","",IF(ABS(Q1378-U1378)&gt;V$1,"error",""))</f>
        <v/>
      </c>
    </row>
    <row r="1379" spans="1:22" x14ac:dyDescent="0.55000000000000004">
      <c r="A1379">
        <v>1052.2556</v>
      </c>
      <c r="B1379" s="1">
        <v>7.1999999999999998E-3</v>
      </c>
      <c r="C1379" s="1">
        <v>7.1999999999999998E-3</v>
      </c>
      <c r="D1379" s="2" t="s">
        <v>0</v>
      </c>
      <c r="E1379">
        <v>1</v>
      </c>
      <c r="F1379" s="2" t="s">
        <v>2</v>
      </c>
      <c r="G1379">
        <v>2</v>
      </c>
      <c r="H1379">
        <v>10.5</v>
      </c>
      <c r="I1379" s="2" t="s">
        <v>0</v>
      </c>
      <c r="J1379">
        <v>1</v>
      </c>
      <c r="K1379" s="2" t="s">
        <v>2</v>
      </c>
      <c r="L1379">
        <v>1</v>
      </c>
      <c r="M1379">
        <v>11.5</v>
      </c>
      <c r="N1379" s="2" t="s">
        <v>440</v>
      </c>
      <c r="O1379" t="str">
        <f>D1379&amp;"-"&amp;E1379&amp;"-"&amp;F1379&amp;"-"&amp;G1379&amp;"-"&amp;H1379</f>
        <v>X-1-e-2-10.5</v>
      </c>
      <c r="P1379" t="str">
        <f>I1379&amp;"-"&amp;J1379&amp;"-"&amp;K1379&amp;"-"&amp;L1379&amp;"-"&amp;M1379</f>
        <v>X-1-e-1-11.5</v>
      </c>
      <c r="Q1379">
        <f>A1379+R1379</f>
        <v>2692.379234</v>
      </c>
      <c r="R1379">
        <f>_xlfn.IFNA(VLOOKUP(P1379,PGOPHER!A$2:G$181,7,FALSE),_xlfn.IFNA(VLOOKUP(P1379,en!A$2:I$768,7,FALSE),-10000))</f>
        <v>1640.123634</v>
      </c>
      <c r="S1379">
        <f>IF(O1379=O1378,Q1378+S1378,Q1379)</f>
        <v>2692.379234</v>
      </c>
      <c r="T1379">
        <f>IF(O1379=O1378,T1378+1,1)</f>
        <v>1</v>
      </c>
      <c r="U1379" t="str">
        <f>IF(O1379=O1380,"",S1379/T1379)</f>
        <v/>
      </c>
      <c r="V1379" t="str">
        <f>IF(U1379="","",IF(ABS(Q1379-U1379)&gt;V$1,"error",""))</f>
        <v/>
      </c>
    </row>
    <row r="1380" spans="1:22" x14ac:dyDescent="0.55000000000000004">
      <c r="A1380">
        <v>1200.3492000000001</v>
      </c>
      <c r="B1380" s="1">
        <v>8.1899999999999994E-3</v>
      </c>
      <c r="C1380" s="1">
        <v>8.1899999999999994E-3</v>
      </c>
      <c r="D1380" s="2" t="s">
        <v>0</v>
      </c>
      <c r="E1380">
        <v>1</v>
      </c>
      <c r="F1380" s="2" t="s">
        <v>2</v>
      </c>
      <c r="G1380">
        <v>2</v>
      </c>
      <c r="H1380">
        <v>10.5</v>
      </c>
      <c r="I1380" s="2" t="s">
        <v>0</v>
      </c>
      <c r="J1380">
        <v>1</v>
      </c>
      <c r="K1380" s="2" t="s">
        <v>2</v>
      </c>
      <c r="L1380">
        <v>1</v>
      </c>
      <c r="M1380">
        <v>9.5</v>
      </c>
      <c r="N1380" s="2" t="s">
        <v>437</v>
      </c>
      <c r="O1380" t="str">
        <f>D1380&amp;"-"&amp;E1380&amp;"-"&amp;F1380&amp;"-"&amp;G1380&amp;"-"&amp;H1380</f>
        <v>X-1-e-2-10.5</v>
      </c>
      <c r="P1380" t="str">
        <f>I1380&amp;"-"&amp;J1380&amp;"-"&amp;K1380&amp;"-"&amp;L1380&amp;"-"&amp;M1380</f>
        <v>X-1-e-1-9.5</v>
      </c>
      <c r="Q1380">
        <f>A1380+R1380</f>
        <v>2692.3789569999999</v>
      </c>
      <c r="R1380">
        <f>_xlfn.IFNA(VLOOKUP(P1380,PGOPHER!A$2:G$181,7,FALSE),_xlfn.IFNA(VLOOKUP(P1380,en!A$2:I$768,7,FALSE),-10000))</f>
        <v>1492.029757</v>
      </c>
      <c r="S1380">
        <f>IF(O1380=O1379,Q1379+S1379,Q1380)</f>
        <v>5384.758468</v>
      </c>
      <c r="T1380">
        <f>IF(O1380=O1379,T1379+1,1)</f>
        <v>2</v>
      </c>
      <c r="U1380">
        <f>IF(O1380=O1381,"",S1380/T1380)</f>
        <v>2692.379234</v>
      </c>
      <c r="V1380" t="str">
        <f>IF(U1380="","",IF(ABS(Q1380-U1380)&gt;V$1,"error",""))</f>
        <v/>
      </c>
    </row>
    <row r="1381" spans="1:22" x14ac:dyDescent="0.55000000000000004">
      <c r="A1381">
        <v>1019.7448000000001</v>
      </c>
      <c r="B1381" s="1">
        <v>1.8200000000000001E-2</v>
      </c>
      <c r="C1381" s="1">
        <v>1.8200000000000001E-2</v>
      </c>
      <c r="D1381" s="2" t="s">
        <v>0</v>
      </c>
      <c r="E1381">
        <v>1</v>
      </c>
      <c r="F1381" s="2" t="s">
        <v>2</v>
      </c>
      <c r="G1381">
        <v>3</v>
      </c>
      <c r="H1381">
        <v>10.5</v>
      </c>
      <c r="I1381" s="2" t="s">
        <v>0</v>
      </c>
      <c r="J1381">
        <v>1</v>
      </c>
      <c r="K1381" s="2" t="s">
        <v>2</v>
      </c>
      <c r="L1381">
        <v>2</v>
      </c>
      <c r="M1381">
        <v>11.5</v>
      </c>
      <c r="N1381" s="2" t="s">
        <v>566</v>
      </c>
      <c r="O1381" t="str">
        <f>D1381&amp;"-"&amp;E1381&amp;"-"&amp;F1381&amp;"-"&amp;G1381&amp;"-"&amp;H1381</f>
        <v>X-1-e-3-10.5</v>
      </c>
      <c r="P1381" t="str">
        <f>I1381&amp;"-"&amp;J1381&amp;"-"&amp;K1381&amp;"-"&amp;L1381&amp;"-"&amp;M1381</f>
        <v>X-1-e-2-11.5</v>
      </c>
      <c r="Q1381">
        <f>A1381+R1381</f>
        <v>3787.8616499999998</v>
      </c>
      <c r="R1381">
        <f>_xlfn.IFNA(VLOOKUP(P1381,PGOPHER!A$2:G$181,7,FALSE),_xlfn.IFNA(VLOOKUP(P1381,en!A$2:I$768,7,FALSE),-10000))</f>
        <v>2768.1168499999999</v>
      </c>
      <c r="S1381">
        <f>IF(O1381=O1380,Q1380+S1380,Q1381)</f>
        <v>3787.8616499999998</v>
      </c>
      <c r="T1381">
        <f>IF(O1381=O1380,T1380+1,1)</f>
        <v>1</v>
      </c>
      <c r="U1381" t="str">
        <f>IF(O1381=O1382,"",S1381/T1381)</f>
        <v/>
      </c>
      <c r="V1381" t="str">
        <f>IF(U1381="","",IF(ABS(Q1381-U1381)&gt;V$1,"error",""))</f>
        <v/>
      </c>
    </row>
    <row r="1382" spans="1:22" x14ac:dyDescent="0.55000000000000004">
      <c r="A1382">
        <v>1164.4508000000001</v>
      </c>
      <c r="B1382" s="1">
        <v>1.67E-2</v>
      </c>
      <c r="C1382" s="1">
        <v>1.67E-2</v>
      </c>
      <c r="D1382" s="2" t="s">
        <v>0</v>
      </c>
      <c r="E1382">
        <v>1</v>
      </c>
      <c r="F1382" s="2" t="s">
        <v>2</v>
      </c>
      <c r="G1382">
        <v>3</v>
      </c>
      <c r="H1382">
        <v>10.5</v>
      </c>
      <c r="I1382" s="2" t="s">
        <v>0</v>
      </c>
      <c r="J1382">
        <v>1</v>
      </c>
      <c r="K1382" s="2" t="s">
        <v>2</v>
      </c>
      <c r="L1382">
        <v>2</v>
      </c>
      <c r="M1382">
        <v>9.5</v>
      </c>
      <c r="N1382" s="2" t="s">
        <v>562</v>
      </c>
      <c r="O1382" t="str">
        <f>D1382&amp;"-"&amp;E1382&amp;"-"&amp;F1382&amp;"-"&amp;G1382&amp;"-"&amp;H1382</f>
        <v>X-1-e-3-10.5</v>
      </c>
      <c r="P1382" t="str">
        <f>I1382&amp;"-"&amp;J1382&amp;"-"&amp;K1382&amp;"-"&amp;L1382&amp;"-"&amp;M1382</f>
        <v>X-1-e-2-9.5</v>
      </c>
      <c r="Q1382">
        <f>A1382+R1382</f>
        <v>3787.860752</v>
      </c>
      <c r="R1382">
        <f>_xlfn.IFNA(VLOOKUP(P1382,PGOPHER!A$2:G$181,7,FALSE),_xlfn.IFNA(VLOOKUP(P1382,en!A$2:I$768,7,FALSE),-10000))</f>
        <v>2623.409952</v>
      </c>
      <c r="S1382">
        <f>IF(O1382=O1381,Q1381+S1381,Q1382)</f>
        <v>7575.7232999999997</v>
      </c>
      <c r="T1382">
        <f>IF(O1382=O1381,T1381+1,1)</f>
        <v>2</v>
      </c>
      <c r="U1382">
        <f>IF(O1382=O1383,"",S1382/T1382)</f>
        <v>3787.8616499999998</v>
      </c>
      <c r="V1382" t="str">
        <f>IF(U1382="","",IF(ABS(Q1382-U1382)&gt;V$1,"error",""))</f>
        <v/>
      </c>
    </row>
    <row r="1383" spans="1:22" x14ac:dyDescent="0.55000000000000004">
      <c r="A1383">
        <v>986.9819</v>
      </c>
      <c r="B1383" s="1">
        <v>5.1799999999999997E-3</v>
      </c>
      <c r="C1383" s="1">
        <v>5.1799999999999997E-3</v>
      </c>
      <c r="D1383" s="2" t="s">
        <v>0</v>
      </c>
      <c r="E1383">
        <v>1</v>
      </c>
      <c r="F1383" s="2" t="s">
        <v>2</v>
      </c>
      <c r="G1383">
        <v>4</v>
      </c>
      <c r="H1383">
        <v>10.5</v>
      </c>
      <c r="I1383" s="2" t="s">
        <v>0</v>
      </c>
      <c r="J1383">
        <v>1</v>
      </c>
      <c r="K1383" s="2" t="s">
        <v>2</v>
      </c>
      <c r="L1383">
        <v>3</v>
      </c>
      <c r="M1383">
        <v>11.5</v>
      </c>
      <c r="N1383" s="2" t="s">
        <v>645</v>
      </c>
      <c r="O1383" t="str">
        <f>D1383&amp;"-"&amp;E1383&amp;"-"&amp;F1383&amp;"-"&amp;G1383&amp;"-"&amp;H1383</f>
        <v>X-1-e-4-10.5</v>
      </c>
      <c r="P1383" t="str">
        <f>I1383&amp;"-"&amp;J1383&amp;"-"&amp;K1383&amp;"-"&amp;L1383&amp;"-"&amp;M1383</f>
        <v>X-1-e-3-11.5</v>
      </c>
      <c r="Q1383">
        <f>A1383+R1383</f>
        <v>4848.7931070000004</v>
      </c>
      <c r="R1383">
        <f>_xlfn.IFNA(VLOOKUP(P1383,PGOPHER!A$2:G$181,7,FALSE),_xlfn.IFNA(VLOOKUP(P1383,en!A$2:I$768,7,FALSE),-10000))</f>
        <v>3861.8112070000002</v>
      </c>
      <c r="S1383">
        <f>IF(O1383=O1382,Q1382+S1382,Q1383)</f>
        <v>4848.7931070000004</v>
      </c>
      <c r="T1383">
        <f>IF(O1383=O1382,T1382+1,1)</f>
        <v>1</v>
      </c>
      <c r="U1383" t="str">
        <f>IF(O1383=O1384,"",S1383/T1383)</f>
        <v/>
      </c>
      <c r="V1383" t="str">
        <f>IF(U1383="","",IF(ABS(Q1383-U1383)&gt;V$1,"error",""))</f>
        <v/>
      </c>
    </row>
    <row r="1384" spans="1:22" x14ac:dyDescent="0.55000000000000004">
      <c r="A1384">
        <v>1128.2788</v>
      </c>
      <c r="B1384" s="1">
        <v>5.1799999999999997E-3</v>
      </c>
      <c r="C1384" s="1">
        <v>5.1799999999999997E-3</v>
      </c>
      <c r="D1384" s="2" t="s">
        <v>0</v>
      </c>
      <c r="E1384">
        <v>1</v>
      </c>
      <c r="F1384" s="2" t="s">
        <v>2</v>
      </c>
      <c r="G1384">
        <v>4</v>
      </c>
      <c r="H1384">
        <v>10.5</v>
      </c>
      <c r="I1384" s="2" t="s">
        <v>0</v>
      </c>
      <c r="J1384">
        <v>1</v>
      </c>
      <c r="K1384" s="2" t="s">
        <v>2</v>
      </c>
      <c r="L1384">
        <v>3</v>
      </c>
      <c r="M1384">
        <v>9.5</v>
      </c>
      <c r="N1384" s="2" t="s">
        <v>643</v>
      </c>
      <c r="O1384" t="str">
        <f>D1384&amp;"-"&amp;E1384&amp;"-"&amp;F1384&amp;"-"&amp;G1384&amp;"-"&amp;H1384</f>
        <v>X-1-e-4-10.5</v>
      </c>
      <c r="P1384" t="str">
        <f>I1384&amp;"-"&amp;J1384&amp;"-"&amp;K1384&amp;"-"&amp;L1384&amp;"-"&amp;M1384</f>
        <v>X-1-e-3-9.5</v>
      </c>
      <c r="Q1384">
        <f>A1384+R1384</f>
        <v>4848.7934189999996</v>
      </c>
      <c r="R1384">
        <f>_xlfn.IFNA(VLOOKUP(P1384,PGOPHER!A$2:G$181,7,FALSE),_xlfn.IFNA(VLOOKUP(P1384,en!A$2:I$768,7,FALSE),-10000))</f>
        <v>3720.514619</v>
      </c>
      <c r="S1384">
        <f>IF(O1384=O1383,Q1383+S1383,Q1384)</f>
        <v>9697.5862140000008</v>
      </c>
      <c r="T1384">
        <f>IF(O1384=O1383,T1383+1,1)</f>
        <v>2</v>
      </c>
      <c r="U1384">
        <f>IF(O1384=O1385,"",S1384/T1384)</f>
        <v>4848.7931070000004</v>
      </c>
      <c r="V1384" t="str">
        <f>IF(U1384="","",IF(ABS(Q1384-U1384)&gt;V$1,"error",""))</f>
        <v/>
      </c>
    </row>
    <row r="1385" spans="1:22" x14ac:dyDescent="0.55000000000000004">
      <c r="A1385">
        <v>1076.0237400000001</v>
      </c>
      <c r="B1385" s="1">
        <v>1.951E-3</v>
      </c>
      <c r="C1385" s="1">
        <v>1.951E-3</v>
      </c>
      <c r="D1385" s="2" t="s">
        <v>0</v>
      </c>
      <c r="E1385">
        <v>2</v>
      </c>
      <c r="F1385" s="2" t="s">
        <v>1</v>
      </c>
      <c r="G1385">
        <v>1</v>
      </c>
      <c r="H1385">
        <v>10.5</v>
      </c>
      <c r="I1385" s="2" t="s">
        <v>0</v>
      </c>
      <c r="J1385">
        <v>2</v>
      </c>
      <c r="K1385" s="2" t="s">
        <v>1</v>
      </c>
      <c r="L1385">
        <v>0</v>
      </c>
      <c r="M1385">
        <v>11.5</v>
      </c>
      <c r="N1385" s="2" t="s">
        <v>175</v>
      </c>
      <c r="O1385" t="str">
        <f>D1385&amp;"-"&amp;E1385&amp;"-"&amp;F1385&amp;"-"&amp;G1385&amp;"-"&amp;H1385</f>
        <v>X-2-f-1-10.5</v>
      </c>
      <c r="P1385" t="str">
        <f>I1385&amp;"-"&amp;J1385&amp;"-"&amp;K1385&amp;"-"&amp;L1385&amp;"-"&amp;M1385</f>
        <v>X-2-f-0-11.5</v>
      </c>
      <c r="Q1385">
        <f>A1385+R1385</f>
        <v>1638.761606</v>
      </c>
      <c r="R1385">
        <f>_xlfn.IFNA(VLOOKUP(P1385,PGOPHER!A$2:G$181,7,FALSE),_xlfn.IFNA(VLOOKUP(P1385,en!A$2:I$768,7,FALSE),-10000))</f>
        <v>562.73786600000005</v>
      </c>
      <c r="S1385">
        <f>IF(O1385=O1384,Q1384+S1384,Q1385)</f>
        <v>1638.761606</v>
      </c>
      <c r="T1385">
        <f>IF(O1385=O1384,T1384+1,1)</f>
        <v>1</v>
      </c>
      <c r="U1385" t="str">
        <f>IF(O1385=O1386,"",S1385/T1385)</f>
        <v/>
      </c>
      <c r="V1385" t="str">
        <f>IF(U1385="","",IF(ABS(Q1385-U1385)&gt;V$1,"error",""))</f>
        <v/>
      </c>
    </row>
    <row r="1386" spans="1:22" x14ac:dyDescent="0.55000000000000004">
      <c r="A1386">
        <v>1241.3946599999999</v>
      </c>
      <c r="B1386" s="1">
        <v>1E-3</v>
      </c>
      <c r="C1386" s="1">
        <v>1E-3</v>
      </c>
      <c r="D1386" s="2" t="s">
        <v>0</v>
      </c>
      <c r="E1386">
        <v>2</v>
      </c>
      <c r="F1386" s="2" t="s">
        <v>1</v>
      </c>
      <c r="G1386">
        <v>1</v>
      </c>
      <c r="H1386">
        <v>10.5</v>
      </c>
      <c r="I1386" s="2" t="s">
        <v>0</v>
      </c>
      <c r="J1386">
        <v>2</v>
      </c>
      <c r="K1386" s="2" t="s">
        <v>1</v>
      </c>
      <c r="L1386">
        <v>0</v>
      </c>
      <c r="M1386">
        <v>9.5</v>
      </c>
      <c r="N1386" s="2" t="s">
        <v>179</v>
      </c>
      <c r="O1386" t="str">
        <f>D1386&amp;"-"&amp;E1386&amp;"-"&amp;F1386&amp;"-"&amp;G1386&amp;"-"&amp;H1386</f>
        <v>X-2-f-1-10.5</v>
      </c>
      <c r="P1386" t="str">
        <f>I1386&amp;"-"&amp;J1386&amp;"-"&amp;K1386&amp;"-"&amp;L1386&amp;"-"&amp;M1386</f>
        <v>X-2-f-0-9.5</v>
      </c>
      <c r="Q1386">
        <f>A1386+R1386</f>
        <v>1638.7632639999999</v>
      </c>
      <c r="R1386">
        <f>_xlfn.IFNA(VLOOKUP(P1386,PGOPHER!A$2:G$181,7,FALSE),_xlfn.IFNA(VLOOKUP(P1386,en!A$2:I$768,7,FALSE),-10000))</f>
        <v>397.368604</v>
      </c>
      <c r="S1386">
        <f>IF(O1386=O1385,Q1385+S1385,Q1386)</f>
        <v>3277.5232120000001</v>
      </c>
      <c r="T1386">
        <f>IF(O1386=O1385,T1385+1,1)</f>
        <v>2</v>
      </c>
      <c r="U1386" t="str">
        <f>IF(O1386=O1387,"",S1386/T1386)</f>
        <v/>
      </c>
      <c r="V1386" t="str">
        <f>IF(U1386="","",IF(ABS(Q1386-U1386)&gt;V$1,"error",""))</f>
        <v/>
      </c>
    </row>
    <row r="1387" spans="1:22" x14ac:dyDescent="0.55000000000000004">
      <c r="A1387">
        <v>1241.3952899999999</v>
      </c>
      <c r="B1387" s="1">
        <v>1E-3</v>
      </c>
      <c r="C1387" s="1">
        <v>1E-3</v>
      </c>
      <c r="D1387" s="2" t="s">
        <v>0</v>
      </c>
      <c r="E1387">
        <v>2</v>
      </c>
      <c r="F1387" s="2" t="s">
        <v>1</v>
      </c>
      <c r="G1387">
        <v>1</v>
      </c>
      <c r="H1387">
        <v>10.5</v>
      </c>
      <c r="I1387" s="2" t="s">
        <v>0</v>
      </c>
      <c r="J1387">
        <v>2</v>
      </c>
      <c r="K1387" s="2" t="s">
        <v>1</v>
      </c>
      <c r="L1387">
        <v>0</v>
      </c>
      <c r="M1387">
        <v>9.5</v>
      </c>
      <c r="N1387" s="2" t="s">
        <v>176</v>
      </c>
      <c r="O1387" t="str">
        <f>D1387&amp;"-"&amp;E1387&amp;"-"&amp;F1387&amp;"-"&amp;G1387&amp;"-"&amp;H1387</f>
        <v>X-2-f-1-10.5</v>
      </c>
      <c r="P1387" t="str">
        <f>I1387&amp;"-"&amp;J1387&amp;"-"&amp;K1387&amp;"-"&amp;L1387&amp;"-"&amp;M1387</f>
        <v>X-2-f-0-9.5</v>
      </c>
      <c r="Q1387">
        <f>A1387+R1387</f>
        <v>1638.7638939999999</v>
      </c>
      <c r="R1387">
        <f>_xlfn.IFNA(VLOOKUP(P1387,PGOPHER!A$2:G$181,7,FALSE),_xlfn.IFNA(VLOOKUP(P1387,en!A$2:I$768,7,FALSE),-10000))</f>
        <v>397.368604</v>
      </c>
      <c r="S1387">
        <f>IF(O1387=O1386,Q1386+S1386,Q1387)</f>
        <v>4916.2864760000002</v>
      </c>
      <c r="T1387">
        <f>IF(O1387=O1386,T1386+1,1)</f>
        <v>3</v>
      </c>
      <c r="U1387" t="str">
        <f>IF(O1387=O1388,"",S1387/T1387)</f>
        <v/>
      </c>
      <c r="V1387" t="str">
        <f>IF(U1387="","",IF(ABS(Q1387-U1387)&gt;V$1,"error",""))</f>
        <v/>
      </c>
    </row>
    <row r="1388" spans="1:22" x14ac:dyDescent="0.55000000000000004">
      <c r="A1388">
        <v>1076.0260000000001</v>
      </c>
      <c r="B1388" s="1">
        <v>1E-3</v>
      </c>
      <c r="C1388" s="1">
        <v>1E-3</v>
      </c>
      <c r="D1388" s="2" t="s">
        <v>0</v>
      </c>
      <c r="E1388">
        <v>2</v>
      </c>
      <c r="F1388" s="2" t="s">
        <v>1</v>
      </c>
      <c r="G1388">
        <v>1</v>
      </c>
      <c r="H1388">
        <v>10.5</v>
      </c>
      <c r="I1388" s="2" t="s">
        <v>0</v>
      </c>
      <c r="J1388">
        <v>2</v>
      </c>
      <c r="K1388" s="2" t="s">
        <v>1</v>
      </c>
      <c r="L1388">
        <v>0</v>
      </c>
      <c r="M1388">
        <v>11.5</v>
      </c>
      <c r="N1388" s="2" t="s">
        <v>172</v>
      </c>
      <c r="O1388" t="str">
        <f>D1388&amp;"-"&amp;E1388&amp;"-"&amp;F1388&amp;"-"&amp;G1388&amp;"-"&amp;H1388</f>
        <v>X-2-f-1-10.5</v>
      </c>
      <c r="P1388" t="str">
        <f>I1388&amp;"-"&amp;J1388&amp;"-"&amp;K1388&amp;"-"&amp;L1388&amp;"-"&amp;M1388</f>
        <v>X-2-f-0-11.5</v>
      </c>
      <c r="Q1388">
        <f>A1388+R1388</f>
        <v>1638.7638660000002</v>
      </c>
      <c r="R1388">
        <f>_xlfn.IFNA(VLOOKUP(P1388,PGOPHER!A$2:G$181,7,FALSE),_xlfn.IFNA(VLOOKUP(P1388,en!A$2:I$768,7,FALSE),-10000))</f>
        <v>562.73786600000005</v>
      </c>
      <c r="S1388">
        <f>IF(O1388=O1387,Q1387+S1387,Q1388)</f>
        <v>6555.0503699999999</v>
      </c>
      <c r="T1388">
        <f>IF(O1388=O1387,T1387+1,1)</f>
        <v>4</v>
      </c>
      <c r="U1388" t="str">
        <f>IF(O1388=O1389,"",S1388/T1388)</f>
        <v/>
      </c>
      <c r="V1388" t="str">
        <f>IF(U1388="","",IF(ABS(Q1388-U1388)&gt;V$1,"error",""))</f>
        <v/>
      </c>
    </row>
    <row r="1389" spans="1:22" x14ac:dyDescent="0.55000000000000004">
      <c r="A1389">
        <v>1076.02595</v>
      </c>
      <c r="B1389" s="1">
        <v>1.17E-3</v>
      </c>
      <c r="C1389" s="1">
        <v>1.17E-3</v>
      </c>
      <c r="D1389" s="2" t="s">
        <v>0</v>
      </c>
      <c r="E1389">
        <v>2</v>
      </c>
      <c r="F1389" s="2" t="s">
        <v>1</v>
      </c>
      <c r="G1389">
        <v>1</v>
      </c>
      <c r="H1389">
        <v>10.5</v>
      </c>
      <c r="I1389" s="2" t="s">
        <v>0</v>
      </c>
      <c r="J1389">
        <v>2</v>
      </c>
      <c r="K1389" s="2" t="s">
        <v>1</v>
      </c>
      <c r="L1389">
        <v>0</v>
      </c>
      <c r="M1389">
        <v>11.5</v>
      </c>
      <c r="N1389" s="2" t="s">
        <v>180</v>
      </c>
      <c r="O1389" t="str">
        <f>D1389&amp;"-"&amp;E1389&amp;"-"&amp;F1389&amp;"-"&amp;G1389&amp;"-"&amp;H1389</f>
        <v>X-2-f-1-10.5</v>
      </c>
      <c r="P1389" t="str">
        <f>I1389&amp;"-"&amp;J1389&amp;"-"&amp;K1389&amp;"-"&amp;L1389&amp;"-"&amp;M1389</f>
        <v>X-2-f-0-11.5</v>
      </c>
      <c r="Q1389">
        <f>A1389+R1389</f>
        <v>1638.7638160000001</v>
      </c>
      <c r="R1389">
        <f>_xlfn.IFNA(VLOOKUP(P1389,PGOPHER!A$2:G$181,7,FALSE),_xlfn.IFNA(VLOOKUP(P1389,en!A$2:I$768,7,FALSE),-10000))</f>
        <v>562.73786600000005</v>
      </c>
      <c r="S1389">
        <f>IF(O1389=O1388,Q1388+S1388,Q1389)</f>
        <v>8193.8142360000002</v>
      </c>
      <c r="T1389">
        <f>IF(O1389=O1388,T1388+1,1)</f>
        <v>5</v>
      </c>
      <c r="U1389" t="str">
        <f>IF(O1389=O1390,"",S1389/T1389)</f>
        <v/>
      </c>
      <c r="V1389" t="str">
        <f>IF(U1389="","",IF(ABS(Q1389-U1389)&gt;V$1,"error",""))</f>
        <v/>
      </c>
    </row>
    <row r="1390" spans="1:22" x14ac:dyDescent="0.55000000000000004">
      <c r="A1390">
        <v>1241.3947000000001</v>
      </c>
      <c r="B1390" s="1">
        <v>8.43E-3</v>
      </c>
      <c r="C1390" s="1">
        <v>8.43E-3</v>
      </c>
      <c r="D1390" s="2" t="s">
        <v>0</v>
      </c>
      <c r="E1390">
        <v>2</v>
      </c>
      <c r="F1390" s="2" t="s">
        <v>1</v>
      </c>
      <c r="G1390">
        <v>1</v>
      </c>
      <c r="H1390">
        <v>10.5</v>
      </c>
      <c r="I1390" s="2" t="s">
        <v>0</v>
      </c>
      <c r="J1390">
        <v>2</v>
      </c>
      <c r="K1390" s="2" t="s">
        <v>1</v>
      </c>
      <c r="L1390">
        <v>0</v>
      </c>
      <c r="M1390">
        <v>9.5</v>
      </c>
      <c r="N1390" s="2" t="s">
        <v>169</v>
      </c>
      <c r="O1390" t="str">
        <f>D1390&amp;"-"&amp;E1390&amp;"-"&amp;F1390&amp;"-"&amp;G1390&amp;"-"&amp;H1390</f>
        <v>X-2-f-1-10.5</v>
      </c>
      <c r="P1390" t="str">
        <f>I1390&amp;"-"&amp;J1390&amp;"-"&amp;K1390&amp;"-"&amp;L1390&amp;"-"&amp;M1390</f>
        <v>X-2-f-0-9.5</v>
      </c>
      <c r="Q1390">
        <f>A1390+R1390</f>
        <v>1638.7633040000001</v>
      </c>
      <c r="R1390">
        <f>_xlfn.IFNA(VLOOKUP(P1390,PGOPHER!A$2:G$181,7,FALSE),_xlfn.IFNA(VLOOKUP(P1390,en!A$2:I$768,7,FALSE),-10000))</f>
        <v>397.368604</v>
      </c>
      <c r="S1390">
        <f>IF(O1390=O1389,Q1389+S1389,Q1390)</f>
        <v>9832.5780520000008</v>
      </c>
      <c r="T1390">
        <f>IF(O1390=O1389,T1389+1,1)</f>
        <v>6</v>
      </c>
      <c r="U1390">
        <f>IF(O1390=O1391,"",S1390/T1390)</f>
        <v>1638.7630086666668</v>
      </c>
      <c r="V1390" t="str">
        <f>IF(U1390="","",IF(ABS(Q1390-U1390)&gt;V$1,"error",""))</f>
        <v/>
      </c>
    </row>
    <row r="1391" spans="1:22" x14ac:dyDescent="0.55000000000000004">
      <c r="A1391">
        <v>1205.4340999999999</v>
      </c>
      <c r="B1391" s="1">
        <v>1.54E-2</v>
      </c>
      <c r="C1391" s="1">
        <v>1.54E-2</v>
      </c>
      <c r="D1391" s="2" t="s">
        <v>0</v>
      </c>
      <c r="E1391">
        <v>2</v>
      </c>
      <c r="F1391" s="2" t="s">
        <v>1</v>
      </c>
      <c r="G1391">
        <v>2</v>
      </c>
      <c r="H1391">
        <v>10.5</v>
      </c>
      <c r="I1391" s="2" t="s">
        <v>0</v>
      </c>
      <c r="J1391">
        <v>2</v>
      </c>
      <c r="K1391" s="2" t="s">
        <v>1</v>
      </c>
      <c r="L1391">
        <v>1</v>
      </c>
      <c r="M1391">
        <v>9.5</v>
      </c>
      <c r="N1391" s="2" t="s">
        <v>439</v>
      </c>
      <c r="O1391" t="str">
        <f>D1391&amp;"-"&amp;E1391&amp;"-"&amp;F1391&amp;"-"&amp;G1391&amp;"-"&amp;H1391</f>
        <v>X-2-f-2-10.5</v>
      </c>
      <c r="P1391" t="str">
        <f>I1391&amp;"-"&amp;J1391&amp;"-"&amp;K1391&amp;"-"&amp;L1391&amp;"-"&amp;M1391</f>
        <v>X-2-f-1-9.5</v>
      </c>
      <c r="Q1391">
        <f>A1391+R1391</f>
        <v>2766.804314</v>
      </c>
      <c r="R1391">
        <f>_xlfn.IFNA(VLOOKUP(P1391,PGOPHER!A$2:G$181,7,FALSE),_xlfn.IFNA(VLOOKUP(P1391,en!A$2:I$768,7,FALSE),-10000))</f>
        <v>1561.370214</v>
      </c>
      <c r="S1391">
        <f>IF(O1391=O1390,Q1390+S1390,Q1391)</f>
        <v>2766.804314</v>
      </c>
      <c r="T1391">
        <f>IF(O1391=O1390,T1390+1,1)</f>
        <v>1</v>
      </c>
      <c r="U1391" t="str">
        <f>IF(O1391=O1392,"",S1391/T1391)</f>
        <v/>
      </c>
      <c r="V1391" t="str">
        <f>IF(U1391="","",IF(ABS(Q1391-U1391)&gt;V$1,"error",""))</f>
        <v/>
      </c>
    </row>
    <row r="1392" spans="1:22" x14ac:dyDescent="0.55000000000000004">
      <c r="A1392">
        <v>1205.4340999999999</v>
      </c>
      <c r="B1392" s="1">
        <v>1.54E-2</v>
      </c>
      <c r="C1392" s="1">
        <v>1.54E-2</v>
      </c>
      <c r="D1392" s="2" t="s">
        <v>0</v>
      </c>
      <c r="E1392">
        <v>2</v>
      </c>
      <c r="F1392" s="2" t="s">
        <v>1</v>
      </c>
      <c r="G1392">
        <v>2</v>
      </c>
      <c r="H1392">
        <v>10.5</v>
      </c>
      <c r="I1392" s="2" t="s">
        <v>0</v>
      </c>
      <c r="J1392">
        <v>2</v>
      </c>
      <c r="K1392" s="2" t="s">
        <v>1</v>
      </c>
      <c r="L1392">
        <v>1</v>
      </c>
      <c r="M1392">
        <v>9.5</v>
      </c>
      <c r="N1392" s="2" t="s">
        <v>438</v>
      </c>
      <c r="O1392" t="str">
        <f>D1392&amp;"-"&amp;E1392&amp;"-"&amp;F1392&amp;"-"&amp;G1392&amp;"-"&amp;H1392</f>
        <v>X-2-f-2-10.5</v>
      </c>
      <c r="P1392" t="str">
        <f>I1392&amp;"-"&amp;J1392&amp;"-"&amp;K1392&amp;"-"&amp;L1392&amp;"-"&amp;M1392</f>
        <v>X-2-f-1-9.5</v>
      </c>
      <c r="Q1392">
        <f>A1392+R1392</f>
        <v>2766.804314</v>
      </c>
      <c r="R1392">
        <f>_xlfn.IFNA(VLOOKUP(P1392,PGOPHER!A$2:G$181,7,FALSE),_xlfn.IFNA(VLOOKUP(P1392,en!A$2:I$768,7,FALSE),-10000))</f>
        <v>1561.370214</v>
      </c>
      <c r="S1392">
        <f>IF(O1392=O1391,Q1391+S1391,Q1392)</f>
        <v>5533.608628</v>
      </c>
      <c r="T1392">
        <f>IF(O1392=O1391,T1391+1,1)</f>
        <v>2</v>
      </c>
      <c r="U1392" t="str">
        <f>IF(O1392=O1393,"",S1392/T1392)</f>
        <v/>
      </c>
      <c r="V1392" t="str">
        <f>IF(U1392="","",IF(ABS(Q1392-U1392)&gt;V$1,"error",""))</f>
        <v/>
      </c>
    </row>
    <row r="1393" spans="1:22" x14ac:dyDescent="0.55000000000000004">
      <c r="A1393">
        <v>1043.7511999999999</v>
      </c>
      <c r="B1393" s="1">
        <v>1.8599999999999998E-2</v>
      </c>
      <c r="C1393" s="1">
        <v>1.8599999999999998E-2</v>
      </c>
      <c r="D1393" s="2" t="s">
        <v>0</v>
      </c>
      <c r="E1393">
        <v>2</v>
      </c>
      <c r="F1393" s="2" t="s">
        <v>1</v>
      </c>
      <c r="G1393">
        <v>2</v>
      </c>
      <c r="H1393">
        <v>10.5</v>
      </c>
      <c r="I1393" s="2" t="s">
        <v>0</v>
      </c>
      <c r="J1393">
        <v>2</v>
      </c>
      <c r="K1393" s="2" t="s">
        <v>1</v>
      </c>
      <c r="L1393">
        <v>1</v>
      </c>
      <c r="M1393">
        <v>11.5</v>
      </c>
      <c r="N1393" s="2" t="s">
        <v>441</v>
      </c>
      <c r="O1393" t="str">
        <f>D1393&amp;"-"&amp;E1393&amp;"-"&amp;F1393&amp;"-"&amp;G1393&amp;"-"&amp;H1393</f>
        <v>X-2-f-2-10.5</v>
      </c>
      <c r="P1393" t="str">
        <f>I1393&amp;"-"&amp;J1393&amp;"-"&amp;K1393&amp;"-"&amp;L1393&amp;"-"&amp;M1393</f>
        <v>X-2-f-1-11.5</v>
      </c>
      <c r="Q1393">
        <f>A1393+R1393</f>
        <v>2766.8054910000001</v>
      </c>
      <c r="R1393">
        <f>_xlfn.IFNA(VLOOKUP(P1393,PGOPHER!A$2:G$181,7,FALSE),_xlfn.IFNA(VLOOKUP(P1393,en!A$2:I$768,7,FALSE),-10000))</f>
        <v>1723.0542909999999</v>
      </c>
      <c r="S1393">
        <f>IF(O1393=O1392,Q1392+S1392,Q1393)</f>
        <v>8300.412941999999</v>
      </c>
      <c r="T1393">
        <f>IF(O1393=O1392,T1392+1,1)</f>
        <v>3</v>
      </c>
      <c r="U1393">
        <f>IF(O1393=O1394,"",S1393/T1393)</f>
        <v>2766.8043139999995</v>
      </c>
      <c r="V1393" t="str">
        <f>IF(U1393="","",IF(ABS(Q1393-U1393)&gt;V$1,"error",""))</f>
        <v/>
      </c>
    </row>
    <row r="1394" spans="1:22" x14ac:dyDescent="0.55000000000000004">
      <c r="A1394">
        <v>1169.3667</v>
      </c>
      <c r="B1394" s="1">
        <v>1E-3</v>
      </c>
      <c r="C1394" s="1">
        <v>1E-3</v>
      </c>
      <c r="D1394" s="2" t="s">
        <v>0</v>
      </c>
      <c r="E1394">
        <v>2</v>
      </c>
      <c r="F1394" s="2" t="s">
        <v>1</v>
      </c>
      <c r="G1394">
        <v>3</v>
      </c>
      <c r="H1394">
        <v>10.5</v>
      </c>
      <c r="I1394" s="2" t="s">
        <v>0</v>
      </c>
      <c r="J1394">
        <v>2</v>
      </c>
      <c r="K1394" s="2" t="s">
        <v>1</v>
      </c>
      <c r="L1394">
        <v>2</v>
      </c>
      <c r="M1394">
        <v>9.5</v>
      </c>
      <c r="N1394" s="2" t="s">
        <v>563</v>
      </c>
      <c r="O1394" t="str">
        <f>D1394&amp;"-"&amp;E1394&amp;"-"&amp;F1394&amp;"-"&amp;G1394&amp;"-"&amp;H1394</f>
        <v>X-2-f-3-10.5</v>
      </c>
      <c r="P1394" t="str">
        <f>I1394&amp;"-"&amp;J1394&amp;"-"&amp;K1394&amp;"-"&amp;L1394&amp;"-"&amp;M1394</f>
        <v>X-2-f-2-9.5</v>
      </c>
      <c r="Q1394">
        <f>A1394+R1394</f>
        <v>3860.5436330000002</v>
      </c>
      <c r="R1394">
        <f>_xlfn.IFNA(VLOOKUP(P1394,PGOPHER!A$2:G$181,7,FALSE),_xlfn.IFNA(VLOOKUP(P1394,en!A$2:I$768,7,FALSE),-10000))</f>
        <v>2691.1769330000002</v>
      </c>
      <c r="S1394">
        <f>IF(O1394=O1393,Q1393+S1393,Q1394)</f>
        <v>3860.5436330000002</v>
      </c>
      <c r="T1394">
        <f>IF(O1394=O1393,T1393+1,1)</f>
        <v>1</v>
      </c>
      <c r="U1394" t="str">
        <f>IF(O1394=O1395,"",S1394/T1394)</f>
        <v/>
      </c>
      <c r="V1394" t="str">
        <f>IF(U1394="","",IF(ABS(Q1394-U1394)&gt;V$1,"error",""))</f>
        <v/>
      </c>
    </row>
    <row r="1395" spans="1:22" x14ac:dyDescent="0.55000000000000004">
      <c r="A1395">
        <v>1169.3672999999999</v>
      </c>
      <c r="B1395" s="1">
        <v>1E-3</v>
      </c>
      <c r="C1395" s="1">
        <v>1E-3</v>
      </c>
      <c r="D1395" s="2" t="s">
        <v>0</v>
      </c>
      <c r="E1395">
        <v>2</v>
      </c>
      <c r="F1395" s="2" t="s">
        <v>1</v>
      </c>
      <c r="G1395">
        <v>3</v>
      </c>
      <c r="H1395">
        <v>10.5</v>
      </c>
      <c r="I1395" s="2" t="s">
        <v>0</v>
      </c>
      <c r="J1395">
        <v>2</v>
      </c>
      <c r="K1395" s="2" t="s">
        <v>1</v>
      </c>
      <c r="L1395">
        <v>2</v>
      </c>
      <c r="M1395">
        <v>9.5</v>
      </c>
      <c r="N1395" s="2" t="s">
        <v>564</v>
      </c>
      <c r="O1395" t="str">
        <f>D1395&amp;"-"&amp;E1395&amp;"-"&amp;F1395&amp;"-"&amp;G1395&amp;"-"&amp;H1395</f>
        <v>X-2-f-3-10.5</v>
      </c>
      <c r="P1395" t="str">
        <f>I1395&amp;"-"&amp;J1395&amp;"-"&amp;K1395&amp;"-"&amp;L1395&amp;"-"&amp;M1395</f>
        <v>X-2-f-2-9.5</v>
      </c>
      <c r="Q1395">
        <f>A1395+R1395</f>
        <v>3860.5442330000001</v>
      </c>
      <c r="R1395">
        <f>_xlfn.IFNA(VLOOKUP(P1395,PGOPHER!A$2:G$181,7,FALSE),_xlfn.IFNA(VLOOKUP(P1395,en!A$2:I$768,7,FALSE),-10000))</f>
        <v>2691.1769330000002</v>
      </c>
      <c r="S1395">
        <f>IF(O1395=O1394,Q1394+S1394,Q1395)</f>
        <v>7721.0872660000005</v>
      </c>
      <c r="T1395">
        <f>IF(O1395=O1394,T1394+1,1)</f>
        <v>2</v>
      </c>
      <c r="U1395" t="str">
        <f>IF(O1395=O1396,"",S1395/T1395)</f>
        <v/>
      </c>
      <c r="V1395" t="str">
        <f>IF(U1395="","",IF(ABS(Q1395-U1395)&gt;V$1,"error",""))</f>
        <v/>
      </c>
    </row>
    <row r="1396" spans="1:22" x14ac:dyDescent="0.55000000000000004">
      <c r="A1396">
        <v>1011.3835</v>
      </c>
      <c r="B1396" s="1">
        <v>6.2899999999999996E-3</v>
      </c>
      <c r="C1396" s="1">
        <v>6.2899999999999996E-3</v>
      </c>
      <c r="D1396" s="2" t="s">
        <v>0</v>
      </c>
      <c r="E1396">
        <v>2</v>
      </c>
      <c r="F1396" s="2" t="s">
        <v>1</v>
      </c>
      <c r="G1396">
        <v>3</v>
      </c>
      <c r="H1396">
        <v>10.5</v>
      </c>
      <c r="I1396" s="2" t="s">
        <v>0</v>
      </c>
      <c r="J1396">
        <v>2</v>
      </c>
      <c r="K1396" s="2" t="s">
        <v>1</v>
      </c>
      <c r="L1396">
        <v>2</v>
      </c>
      <c r="M1396">
        <v>11.5</v>
      </c>
      <c r="N1396" s="2" t="s">
        <v>565</v>
      </c>
      <c r="O1396" t="str">
        <f>D1396&amp;"-"&amp;E1396&amp;"-"&amp;F1396&amp;"-"&amp;G1396&amp;"-"&amp;H1396</f>
        <v>X-2-f-3-10.5</v>
      </c>
      <c r="P1396" t="str">
        <f>I1396&amp;"-"&amp;J1396&amp;"-"&amp;K1396&amp;"-"&amp;L1396&amp;"-"&amp;M1396</f>
        <v>X-2-f-2-11.5</v>
      </c>
      <c r="Q1396">
        <f>A1396+R1396</f>
        <v>3860.54484</v>
      </c>
      <c r="R1396">
        <f>_xlfn.IFNA(VLOOKUP(P1396,PGOPHER!A$2:G$181,7,FALSE),_xlfn.IFNA(VLOOKUP(P1396,en!A$2:I$768,7,FALSE),-10000))</f>
        <v>2849.1613400000001</v>
      </c>
      <c r="S1396">
        <f>IF(O1396=O1395,Q1395+S1395,Q1396)</f>
        <v>11581.631499000001</v>
      </c>
      <c r="T1396">
        <f>IF(O1396=O1395,T1395+1,1)</f>
        <v>3</v>
      </c>
      <c r="U1396">
        <f>IF(O1396=O1397,"",S1396/T1396)</f>
        <v>3860.5438330000002</v>
      </c>
      <c r="V1396" t="str">
        <f>IF(U1396="","",IF(ABS(Q1396-U1396)&gt;V$1,"error",""))</f>
        <v/>
      </c>
    </row>
    <row r="1397" spans="1:22" x14ac:dyDescent="0.55000000000000004">
      <c r="A1397">
        <v>1133.0159000000001</v>
      </c>
      <c r="B1397" s="1">
        <v>1.61E-2</v>
      </c>
      <c r="C1397" s="1">
        <v>1.61E-2</v>
      </c>
      <c r="D1397" s="2" t="s">
        <v>0</v>
      </c>
      <c r="E1397">
        <v>2</v>
      </c>
      <c r="F1397" s="2" t="s">
        <v>1</v>
      </c>
      <c r="G1397">
        <v>4</v>
      </c>
      <c r="H1397">
        <v>10.5</v>
      </c>
      <c r="I1397" s="2" t="s">
        <v>0</v>
      </c>
      <c r="J1397">
        <v>2</v>
      </c>
      <c r="K1397" s="2" t="s">
        <v>1</v>
      </c>
      <c r="L1397">
        <v>3</v>
      </c>
      <c r="M1397">
        <v>9.5</v>
      </c>
      <c r="N1397" s="2" t="s">
        <v>644</v>
      </c>
      <c r="O1397" t="str">
        <f>D1397&amp;"-"&amp;E1397&amp;"-"&amp;F1397&amp;"-"&amp;G1397&amp;"-"&amp;H1397</f>
        <v>X-2-f-4-10.5</v>
      </c>
      <c r="P1397" t="str">
        <f>I1397&amp;"-"&amp;J1397&amp;"-"&amp;K1397&amp;"-"&amp;L1397&amp;"-"&amp;M1397</f>
        <v>X-2-f-3-9.5</v>
      </c>
      <c r="Q1397">
        <f>A1397+R1397</f>
        <v>4919.7187080000003</v>
      </c>
      <c r="R1397">
        <f>_xlfn.IFNA(VLOOKUP(P1397,PGOPHER!A$2:G$181,7,FALSE),_xlfn.IFNA(VLOOKUP(P1397,en!A$2:I$768,7,FALSE),-10000))</f>
        <v>3786.702808</v>
      </c>
      <c r="S1397">
        <f>IF(O1397=O1396,Q1396+S1396,Q1397)</f>
        <v>4919.7187080000003</v>
      </c>
      <c r="T1397">
        <f>IF(O1397=O1396,T1396+1,1)</f>
        <v>1</v>
      </c>
      <c r="U1397" t="str">
        <f>IF(O1397=O1398,"",S1397/T1397)</f>
        <v/>
      </c>
      <c r="V1397" t="str">
        <f>IF(U1397="","",IF(ABS(Q1397-U1397)&gt;V$1,"error",""))</f>
        <v/>
      </c>
    </row>
    <row r="1398" spans="1:22" x14ac:dyDescent="0.55000000000000004">
      <c r="A1398">
        <v>978.75969999999995</v>
      </c>
      <c r="B1398" s="1">
        <v>1.61E-2</v>
      </c>
      <c r="C1398" s="1">
        <v>1.61E-2</v>
      </c>
      <c r="D1398" s="2" t="s">
        <v>0</v>
      </c>
      <c r="E1398">
        <v>2</v>
      </c>
      <c r="F1398" s="2" t="s">
        <v>1</v>
      </c>
      <c r="G1398">
        <v>4</v>
      </c>
      <c r="H1398">
        <v>10.5</v>
      </c>
      <c r="I1398" s="2" t="s">
        <v>0</v>
      </c>
      <c r="J1398">
        <v>2</v>
      </c>
      <c r="K1398" s="2" t="s">
        <v>1</v>
      </c>
      <c r="L1398">
        <v>3</v>
      </c>
      <c r="M1398">
        <v>11.5</v>
      </c>
      <c r="N1398" s="2" t="s">
        <v>646</v>
      </c>
      <c r="O1398" t="str">
        <f>D1398&amp;"-"&amp;E1398&amp;"-"&amp;F1398&amp;"-"&amp;G1398&amp;"-"&amp;H1398</f>
        <v>X-2-f-4-10.5</v>
      </c>
      <c r="P1398" t="str">
        <f>I1398&amp;"-"&amp;J1398&amp;"-"&amp;K1398&amp;"-"&amp;L1398&amp;"-"&amp;M1398</f>
        <v>X-2-f-3-11.5</v>
      </c>
      <c r="Q1398">
        <f>A1398+R1398</f>
        <v>4919.7195270000002</v>
      </c>
      <c r="R1398">
        <f>_xlfn.IFNA(VLOOKUP(P1398,PGOPHER!A$2:G$181,7,FALSE),_xlfn.IFNA(VLOOKUP(P1398,en!A$2:I$768,7,FALSE),-10000))</f>
        <v>3940.9598270000001</v>
      </c>
      <c r="S1398">
        <f>IF(O1398=O1397,Q1397+S1397,Q1398)</f>
        <v>9839.4374160000007</v>
      </c>
      <c r="T1398">
        <f>IF(O1398=O1397,T1397+1,1)</f>
        <v>2</v>
      </c>
      <c r="U1398">
        <f>IF(O1398=O1399,"",S1398/T1398)</f>
        <v>4919.7187080000003</v>
      </c>
      <c r="V1398" t="str">
        <f>IF(U1398="","",IF(ABS(Q1398-U1398)&gt;V$1,"error",""))</f>
        <v/>
      </c>
    </row>
    <row r="1399" spans="1:22" x14ac:dyDescent="0.55000000000000004">
      <c r="A1399">
        <v>1075.8583799999999</v>
      </c>
      <c r="B1399" s="1">
        <v>1E-3</v>
      </c>
      <c r="C1399" s="1">
        <v>1E-3</v>
      </c>
      <c r="D1399" s="2" t="s">
        <v>0</v>
      </c>
      <c r="E1399">
        <v>1</v>
      </c>
      <c r="F1399" s="2" t="s">
        <v>2</v>
      </c>
      <c r="G1399">
        <v>1</v>
      </c>
      <c r="H1399">
        <v>11.5</v>
      </c>
      <c r="I1399" s="2" t="s">
        <v>0</v>
      </c>
      <c r="J1399">
        <v>1</v>
      </c>
      <c r="K1399" s="2" t="s">
        <v>2</v>
      </c>
      <c r="L1399">
        <v>0</v>
      </c>
      <c r="M1399">
        <v>12.5</v>
      </c>
      <c r="N1399" s="2" t="s">
        <v>186</v>
      </c>
      <c r="O1399" t="str">
        <f>D1399&amp;"-"&amp;E1399&amp;"-"&amp;F1399&amp;"-"&amp;G1399&amp;"-"&amp;H1399</f>
        <v>X-1-e-1-11.5</v>
      </c>
      <c r="P1399" t="str">
        <f>I1399&amp;"-"&amp;J1399&amp;"-"&amp;K1399&amp;"-"&amp;L1399&amp;"-"&amp;M1399</f>
        <v>X-1-e-0-12.5</v>
      </c>
      <c r="Q1399">
        <f>A1399+R1399</f>
        <v>1640.1227879999999</v>
      </c>
      <c r="R1399">
        <f>_xlfn.IFNA(VLOOKUP(P1399,PGOPHER!A$2:G$181,7,FALSE),_xlfn.IFNA(VLOOKUP(P1399,en!A$2:I$768,7,FALSE),-10000))</f>
        <v>564.264408</v>
      </c>
      <c r="S1399">
        <f>IF(O1399=O1398,Q1398+S1398,Q1399)</f>
        <v>1640.1227879999999</v>
      </c>
      <c r="T1399">
        <f>IF(O1399=O1398,T1398+1,1)</f>
        <v>1</v>
      </c>
      <c r="U1399" t="str">
        <f>IF(O1399=O1400,"",S1399/T1399)</f>
        <v/>
      </c>
      <c r="V1399" t="str">
        <f>IF(U1399="","",IF(ABS(Q1399-U1399)&gt;V$1,"error",""))</f>
        <v/>
      </c>
    </row>
    <row r="1400" spans="1:22" x14ac:dyDescent="0.55000000000000004">
      <c r="A1400">
        <v>1241.4676300000001</v>
      </c>
      <c r="B1400" s="1">
        <v>1E-3</v>
      </c>
      <c r="C1400" s="1">
        <v>1E-3</v>
      </c>
      <c r="D1400" s="2" t="s">
        <v>0</v>
      </c>
      <c r="E1400">
        <v>1</v>
      </c>
      <c r="F1400" s="2" t="s">
        <v>2</v>
      </c>
      <c r="G1400">
        <v>1</v>
      </c>
      <c r="H1400">
        <v>11.5</v>
      </c>
      <c r="I1400" s="2" t="s">
        <v>0</v>
      </c>
      <c r="J1400">
        <v>1</v>
      </c>
      <c r="K1400" s="2" t="s">
        <v>2</v>
      </c>
      <c r="L1400">
        <v>0</v>
      </c>
      <c r="M1400">
        <v>10.5</v>
      </c>
      <c r="N1400" s="2" t="s">
        <v>190</v>
      </c>
      <c r="O1400" t="str">
        <f>D1400&amp;"-"&amp;E1400&amp;"-"&amp;F1400&amp;"-"&amp;G1400&amp;"-"&amp;H1400</f>
        <v>X-1-e-1-11.5</v>
      </c>
      <c r="P1400" t="str">
        <f>I1400&amp;"-"&amp;J1400&amp;"-"&amp;K1400&amp;"-"&amp;L1400&amp;"-"&amp;M1400</f>
        <v>X-1-e-0-10.5</v>
      </c>
      <c r="Q1400">
        <f>A1400+R1400</f>
        <v>1640.1238900000001</v>
      </c>
      <c r="R1400">
        <f>_xlfn.IFNA(VLOOKUP(P1400,PGOPHER!A$2:G$181,7,FALSE),_xlfn.IFNA(VLOOKUP(P1400,en!A$2:I$768,7,FALSE),-10000))</f>
        <v>398.65625999999997</v>
      </c>
      <c r="S1400">
        <f>IF(O1400=O1399,Q1399+S1399,Q1400)</f>
        <v>3280.2455759999998</v>
      </c>
      <c r="T1400">
        <f>IF(O1400=O1399,T1399+1,1)</f>
        <v>2</v>
      </c>
      <c r="U1400" t="str">
        <f>IF(O1400=O1401,"",S1400/T1400)</f>
        <v/>
      </c>
      <c r="V1400" t="str">
        <f>IF(U1400="","",IF(ABS(Q1400-U1400)&gt;V$1,"error",""))</f>
        <v/>
      </c>
    </row>
    <row r="1401" spans="1:22" x14ac:dyDescent="0.55000000000000004">
      <c r="A1401">
        <v>1241.46631</v>
      </c>
      <c r="B1401" s="1">
        <v>1.3749999999999999E-3</v>
      </c>
      <c r="C1401" s="1">
        <v>1.3749999999999999E-3</v>
      </c>
      <c r="D1401" s="2" t="s">
        <v>0</v>
      </c>
      <c r="E1401">
        <v>1</v>
      </c>
      <c r="F1401" s="2" t="s">
        <v>2</v>
      </c>
      <c r="G1401">
        <v>1</v>
      </c>
      <c r="H1401">
        <v>11.5</v>
      </c>
      <c r="I1401" s="2" t="s">
        <v>0</v>
      </c>
      <c r="J1401">
        <v>1</v>
      </c>
      <c r="K1401" s="2" t="s">
        <v>2</v>
      </c>
      <c r="L1401">
        <v>0</v>
      </c>
      <c r="M1401">
        <v>10.5</v>
      </c>
      <c r="N1401" s="2" t="s">
        <v>187</v>
      </c>
      <c r="O1401" t="str">
        <f>D1401&amp;"-"&amp;E1401&amp;"-"&amp;F1401&amp;"-"&amp;G1401&amp;"-"&amp;H1401</f>
        <v>X-1-e-1-11.5</v>
      </c>
      <c r="P1401" t="str">
        <f>I1401&amp;"-"&amp;J1401&amp;"-"&amp;K1401&amp;"-"&amp;L1401&amp;"-"&amp;M1401</f>
        <v>X-1-e-0-10.5</v>
      </c>
      <c r="Q1401">
        <f>A1401+R1401</f>
        <v>1640.12257</v>
      </c>
      <c r="R1401">
        <f>_xlfn.IFNA(VLOOKUP(P1401,PGOPHER!A$2:G$181,7,FALSE),_xlfn.IFNA(VLOOKUP(P1401,en!A$2:I$768,7,FALSE),-10000))</f>
        <v>398.65625999999997</v>
      </c>
      <c r="S1401">
        <f>IF(O1401=O1400,Q1400+S1400,Q1401)</f>
        <v>4920.3694660000001</v>
      </c>
      <c r="T1401">
        <f>IF(O1401=O1400,T1400+1,1)</f>
        <v>3</v>
      </c>
      <c r="U1401" t="str">
        <f>IF(O1401=O1402,"",S1401/T1401)</f>
        <v/>
      </c>
      <c r="V1401" t="str">
        <f>IF(U1401="","",IF(ABS(Q1401-U1401)&gt;V$1,"error",""))</f>
        <v/>
      </c>
    </row>
    <row r="1402" spans="1:22" x14ac:dyDescent="0.55000000000000004">
      <c r="A1402">
        <v>1075.8598</v>
      </c>
      <c r="B1402" s="1">
        <v>1E-3</v>
      </c>
      <c r="C1402" s="1">
        <v>1E-3</v>
      </c>
      <c r="D1402" s="2" t="s">
        <v>0</v>
      </c>
      <c r="E1402">
        <v>1</v>
      </c>
      <c r="F1402" s="2" t="s">
        <v>2</v>
      </c>
      <c r="G1402">
        <v>1</v>
      </c>
      <c r="H1402">
        <v>11.5</v>
      </c>
      <c r="I1402" s="2" t="s">
        <v>0</v>
      </c>
      <c r="J1402">
        <v>1</v>
      </c>
      <c r="K1402" s="2" t="s">
        <v>2</v>
      </c>
      <c r="L1402">
        <v>0</v>
      </c>
      <c r="M1402">
        <v>12.5</v>
      </c>
      <c r="N1402" s="2" t="s">
        <v>184</v>
      </c>
      <c r="O1402" t="str">
        <f>D1402&amp;"-"&amp;E1402&amp;"-"&amp;F1402&amp;"-"&amp;G1402&amp;"-"&amp;H1402</f>
        <v>X-1-e-1-11.5</v>
      </c>
      <c r="P1402" t="str">
        <f>I1402&amp;"-"&amp;J1402&amp;"-"&amp;K1402&amp;"-"&amp;L1402&amp;"-"&amp;M1402</f>
        <v>X-1-e-0-12.5</v>
      </c>
      <c r="Q1402">
        <f>A1402+R1402</f>
        <v>1640.124208</v>
      </c>
      <c r="R1402">
        <f>_xlfn.IFNA(VLOOKUP(P1402,PGOPHER!A$2:G$181,7,FALSE),_xlfn.IFNA(VLOOKUP(P1402,en!A$2:I$768,7,FALSE),-10000))</f>
        <v>564.264408</v>
      </c>
      <c r="S1402">
        <f>IF(O1402=O1401,Q1401+S1401,Q1402)</f>
        <v>6560.4920359999996</v>
      </c>
      <c r="T1402">
        <f>IF(O1402=O1401,T1401+1,1)</f>
        <v>4</v>
      </c>
      <c r="U1402" t="str">
        <f>IF(O1402=O1403,"",S1402/T1402)</f>
        <v/>
      </c>
      <c r="V1402" t="str">
        <f>IF(U1402="","",IF(ABS(Q1402-U1402)&gt;V$1,"error",""))</f>
        <v/>
      </c>
    </row>
    <row r="1403" spans="1:22" x14ac:dyDescent="0.55000000000000004">
      <c r="A1403">
        <v>1241.4675999999999</v>
      </c>
      <c r="B1403" s="1">
        <v>8.0599999999999995E-3</v>
      </c>
      <c r="C1403" s="1">
        <v>8.0599999999999995E-3</v>
      </c>
      <c r="D1403" s="2" t="s">
        <v>0</v>
      </c>
      <c r="E1403">
        <v>1</v>
      </c>
      <c r="F1403" s="2" t="s">
        <v>2</v>
      </c>
      <c r="G1403">
        <v>1</v>
      </c>
      <c r="H1403">
        <v>11.5</v>
      </c>
      <c r="I1403" s="2" t="s">
        <v>0</v>
      </c>
      <c r="J1403">
        <v>1</v>
      </c>
      <c r="K1403" s="2" t="s">
        <v>2</v>
      </c>
      <c r="L1403">
        <v>0</v>
      </c>
      <c r="M1403">
        <v>10.5</v>
      </c>
      <c r="N1403" s="2" t="s">
        <v>182</v>
      </c>
      <c r="O1403" t="str">
        <f>D1403&amp;"-"&amp;E1403&amp;"-"&amp;F1403&amp;"-"&amp;G1403&amp;"-"&amp;H1403</f>
        <v>X-1-e-1-11.5</v>
      </c>
      <c r="P1403" t="str">
        <f>I1403&amp;"-"&amp;J1403&amp;"-"&amp;K1403&amp;"-"&amp;L1403&amp;"-"&amp;M1403</f>
        <v>X-1-e-0-10.5</v>
      </c>
      <c r="Q1403">
        <f>A1403+R1403</f>
        <v>1640.1238599999999</v>
      </c>
      <c r="R1403">
        <f>_xlfn.IFNA(VLOOKUP(P1403,PGOPHER!A$2:G$181,7,FALSE),_xlfn.IFNA(VLOOKUP(P1403,en!A$2:I$768,7,FALSE),-10000))</f>
        <v>398.65625999999997</v>
      </c>
      <c r="S1403">
        <f>IF(O1403=O1402,Q1402+S1402,Q1403)</f>
        <v>8200.6162439999989</v>
      </c>
      <c r="T1403">
        <f>IF(O1403=O1402,T1402+1,1)</f>
        <v>5</v>
      </c>
      <c r="U1403" t="str">
        <f>IF(O1403=O1404,"",S1403/T1403)</f>
        <v/>
      </c>
      <c r="V1403" t="str">
        <f>IF(U1403="","",IF(ABS(Q1403-U1403)&gt;V$1,"error",""))</f>
        <v/>
      </c>
    </row>
    <row r="1404" spans="1:22" x14ac:dyDescent="0.55000000000000004">
      <c r="A1404">
        <v>1075.8598400000001</v>
      </c>
      <c r="B1404" s="1">
        <v>1E-3</v>
      </c>
      <c r="C1404" s="1">
        <v>1E-3</v>
      </c>
      <c r="D1404" s="2" t="s">
        <v>0</v>
      </c>
      <c r="E1404">
        <v>1</v>
      </c>
      <c r="F1404" s="2" t="s">
        <v>2</v>
      </c>
      <c r="G1404">
        <v>1</v>
      </c>
      <c r="H1404">
        <v>11.5</v>
      </c>
      <c r="I1404" s="2" t="s">
        <v>0</v>
      </c>
      <c r="J1404">
        <v>1</v>
      </c>
      <c r="K1404" s="2" t="s">
        <v>2</v>
      </c>
      <c r="L1404">
        <v>0</v>
      </c>
      <c r="M1404">
        <v>12.5</v>
      </c>
      <c r="N1404" s="2" t="s">
        <v>191</v>
      </c>
      <c r="O1404" t="str">
        <f>D1404&amp;"-"&amp;E1404&amp;"-"&amp;F1404&amp;"-"&amp;G1404&amp;"-"&amp;H1404</f>
        <v>X-1-e-1-11.5</v>
      </c>
      <c r="P1404" t="str">
        <f>I1404&amp;"-"&amp;J1404&amp;"-"&amp;K1404&amp;"-"&amp;L1404&amp;"-"&amp;M1404</f>
        <v>X-1-e-0-12.5</v>
      </c>
      <c r="Q1404">
        <f>A1404+R1404</f>
        <v>1640.1242480000001</v>
      </c>
      <c r="R1404">
        <f>_xlfn.IFNA(VLOOKUP(P1404,PGOPHER!A$2:G$181,7,FALSE),_xlfn.IFNA(VLOOKUP(P1404,en!A$2:I$768,7,FALSE),-10000))</f>
        <v>564.264408</v>
      </c>
      <c r="S1404">
        <f>IF(O1404=O1403,Q1403+S1403,Q1404)</f>
        <v>9840.7401039999986</v>
      </c>
      <c r="T1404">
        <f>IF(O1404=O1403,T1403+1,1)</f>
        <v>6</v>
      </c>
      <c r="U1404">
        <f>IF(O1404=O1405,"",S1404/T1404)</f>
        <v>1640.1233506666665</v>
      </c>
      <c r="V1404" t="str">
        <f>IF(U1404="","",IF(ABS(Q1404-U1404)&gt;V$1,"error",""))</f>
        <v/>
      </c>
    </row>
    <row r="1405" spans="1:22" x14ac:dyDescent="0.55000000000000004">
      <c r="A1405">
        <v>1205.5037</v>
      </c>
      <c r="B1405" s="1">
        <v>1.49E-2</v>
      </c>
      <c r="C1405" s="1">
        <v>1.49E-2</v>
      </c>
      <c r="D1405" s="2" t="s">
        <v>0</v>
      </c>
      <c r="E1405">
        <v>1</v>
      </c>
      <c r="F1405" s="2" t="s">
        <v>2</v>
      </c>
      <c r="G1405">
        <v>2</v>
      </c>
      <c r="H1405">
        <v>11.5</v>
      </c>
      <c r="I1405" s="2" t="s">
        <v>0</v>
      </c>
      <c r="J1405">
        <v>1</v>
      </c>
      <c r="K1405" s="2" t="s">
        <v>2</v>
      </c>
      <c r="L1405">
        <v>1</v>
      </c>
      <c r="M1405">
        <v>10.5</v>
      </c>
      <c r="N1405" s="2" t="s">
        <v>443</v>
      </c>
      <c r="O1405" t="str">
        <f>D1405&amp;"-"&amp;E1405&amp;"-"&amp;F1405&amp;"-"&amp;G1405&amp;"-"&amp;H1405</f>
        <v>X-1-e-2-11.5</v>
      </c>
      <c r="P1405" t="str">
        <f>I1405&amp;"-"&amp;J1405&amp;"-"&amp;K1405&amp;"-"&amp;L1405&amp;"-"&amp;M1405</f>
        <v>X-1-e-1-10.5</v>
      </c>
      <c r="Q1405">
        <f>A1405+R1405</f>
        <v>2768.1168859999998</v>
      </c>
      <c r="R1405">
        <f>_xlfn.IFNA(VLOOKUP(P1405,PGOPHER!A$2:G$181,7,FALSE),_xlfn.IFNA(VLOOKUP(P1405,en!A$2:I$768,7,FALSE),-10000))</f>
        <v>1562.613186</v>
      </c>
      <c r="S1405">
        <f>IF(O1405=O1404,Q1404+S1404,Q1405)</f>
        <v>2768.1168859999998</v>
      </c>
      <c r="T1405">
        <f>IF(O1405=O1404,T1404+1,1)</f>
        <v>1</v>
      </c>
      <c r="U1405" t="str">
        <f>IF(O1405=O1406,"",S1405/T1405)</f>
        <v/>
      </c>
      <c r="V1405" t="str">
        <f>IF(U1405="","",IF(ABS(Q1405-U1405)&gt;V$1,"error",""))</f>
        <v/>
      </c>
    </row>
    <row r="1406" spans="1:22" x14ac:dyDescent="0.55000000000000004">
      <c r="A1406">
        <v>1205.5034000000001</v>
      </c>
      <c r="B1406" s="1">
        <v>1.4500000000000001E-2</v>
      </c>
      <c r="C1406" s="1">
        <v>1.4500000000000001E-2</v>
      </c>
      <c r="D1406" s="2" t="s">
        <v>0</v>
      </c>
      <c r="E1406">
        <v>1</v>
      </c>
      <c r="F1406" s="2" t="s">
        <v>2</v>
      </c>
      <c r="G1406">
        <v>2</v>
      </c>
      <c r="H1406">
        <v>11.5</v>
      </c>
      <c r="I1406" s="2" t="s">
        <v>0</v>
      </c>
      <c r="J1406">
        <v>1</v>
      </c>
      <c r="K1406" s="2" t="s">
        <v>2</v>
      </c>
      <c r="L1406">
        <v>1</v>
      </c>
      <c r="M1406">
        <v>10.5</v>
      </c>
      <c r="N1406" s="2" t="s">
        <v>442</v>
      </c>
      <c r="O1406" t="str">
        <f>D1406&amp;"-"&amp;E1406&amp;"-"&amp;F1406&amp;"-"&amp;G1406&amp;"-"&amp;H1406</f>
        <v>X-1-e-2-11.5</v>
      </c>
      <c r="P1406" t="str">
        <f>I1406&amp;"-"&amp;J1406&amp;"-"&amp;K1406&amp;"-"&amp;L1406&amp;"-"&amp;M1406</f>
        <v>X-1-e-1-10.5</v>
      </c>
      <c r="Q1406">
        <f>A1406+R1406</f>
        <v>2768.1165860000001</v>
      </c>
      <c r="R1406">
        <f>_xlfn.IFNA(VLOOKUP(P1406,PGOPHER!A$2:G$181,7,FALSE),_xlfn.IFNA(VLOOKUP(P1406,en!A$2:I$768,7,FALSE),-10000))</f>
        <v>1562.613186</v>
      </c>
      <c r="S1406">
        <f>IF(O1406=O1405,Q1405+S1405,Q1406)</f>
        <v>5536.2337719999996</v>
      </c>
      <c r="T1406">
        <f>IF(O1406=O1405,T1405+1,1)</f>
        <v>2</v>
      </c>
      <c r="U1406" t="str">
        <f>IF(O1406=O1407,"",S1406/T1406)</f>
        <v/>
      </c>
      <c r="V1406" t="str">
        <f>IF(U1406="","",IF(ABS(Q1406-U1406)&gt;V$1,"error",""))</f>
        <v/>
      </c>
    </row>
    <row r="1407" spans="1:22" x14ac:dyDescent="0.55000000000000004">
      <c r="A1407">
        <v>1043.5890999999999</v>
      </c>
      <c r="B1407" s="1">
        <v>2.41E-2</v>
      </c>
      <c r="C1407" s="1">
        <v>2.41E-2</v>
      </c>
      <c r="D1407" s="2" t="s">
        <v>0</v>
      </c>
      <c r="E1407">
        <v>1</v>
      </c>
      <c r="F1407" s="2" t="s">
        <v>2</v>
      </c>
      <c r="G1407">
        <v>2</v>
      </c>
      <c r="H1407">
        <v>11.5</v>
      </c>
      <c r="I1407" s="2" t="s">
        <v>0</v>
      </c>
      <c r="J1407">
        <v>1</v>
      </c>
      <c r="K1407" s="2" t="s">
        <v>2</v>
      </c>
      <c r="L1407">
        <v>1</v>
      </c>
      <c r="M1407">
        <v>12.5</v>
      </c>
      <c r="N1407" s="2" t="s">
        <v>446</v>
      </c>
      <c r="O1407" t="str">
        <f>D1407&amp;"-"&amp;E1407&amp;"-"&amp;F1407&amp;"-"&amp;G1407&amp;"-"&amp;H1407</f>
        <v>X-1-e-2-11.5</v>
      </c>
      <c r="P1407" t="str">
        <f>I1407&amp;"-"&amp;J1407&amp;"-"&amp;K1407&amp;"-"&amp;L1407&amp;"-"&amp;M1407</f>
        <v>X-1-e-1-12.5</v>
      </c>
      <c r="Q1407">
        <f>A1407+R1407</f>
        <v>2768.116931</v>
      </c>
      <c r="R1407">
        <f>_xlfn.IFNA(VLOOKUP(P1407,PGOPHER!A$2:G$181,7,FALSE),_xlfn.IFNA(VLOOKUP(P1407,en!A$2:I$768,7,FALSE),-10000))</f>
        <v>1724.5278310000001</v>
      </c>
      <c r="S1407">
        <f>IF(O1407=O1406,Q1406+S1406,Q1407)</f>
        <v>8304.3503579999997</v>
      </c>
      <c r="T1407">
        <f>IF(O1407=O1406,T1406+1,1)</f>
        <v>3</v>
      </c>
      <c r="U1407">
        <f>IF(O1407=O1408,"",S1407/T1407)</f>
        <v>2768.116786</v>
      </c>
      <c r="V1407" t="str">
        <f>IF(U1407="","",IF(ABS(Q1407-U1407)&gt;V$1,"error",""))</f>
        <v/>
      </c>
    </row>
    <row r="1408" spans="1:22" x14ac:dyDescent="0.55000000000000004">
      <c r="A1408">
        <v>1169.4315999999999</v>
      </c>
      <c r="B1408" s="1">
        <v>1E-3</v>
      </c>
      <c r="C1408" s="1">
        <v>1E-3</v>
      </c>
      <c r="D1408" s="2" t="s">
        <v>0</v>
      </c>
      <c r="E1408">
        <v>1</v>
      </c>
      <c r="F1408" s="2" t="s">
        <v>2</v>
      </c>
      <c r="G1408">
        <v>3</v>
      </c>
      <c r="H1408">
        <v>11.5</v>
      </c>
      <c r="I1408" s="2" t="s">
        <v>0</v>
      </c>
      <c r="J1408">
        <v>1</v>
      </c>
      <c r="K1408" s="2" t="s">
        <v>2</v>
      </c>
      <c r="L1408">
        <v>2</v>
      </c>
      <c r="M1408">
        <v>10.5</v>
      </c>
      <c r="N1408" s="2" t="s">
        <v>568</v>
      </c>
      <c r="O1408" t="str">
        <f>D1408&amp;"-"&amp;E1408&amp;"-"&amp;F1408&amp;"-"&amp;G1408&amp;"-"&amp;H1408</f>
        <v>X-1-e-3-11.5</v>
      </c>
      <c r="P1408" t="str">
        <f>I1408&amp;"-"&amp;J1408&amp;"-"&amp;K1408&amp;"-"&amp;L1408&amp;"-"&amp;M1408</f>
        <v>X-1-e-2-10.5</v>
      </c>
      <c r="Q1408">
        <f>A1408+R1408</f>
        <v>3861.8112339999998</v>
      </c>
      <c r="R1408">
        <f>_xlfn.IFNA(VLOOKUP(P1408,PGOPHER!A$2:G$181,7,FALSE),_xlfn.IFNA(VLOOKUP(P1408,en!A$2:I$768,7,FALSE),-10000))</f>
        <v>2692.3796339999999</v>
      </c>
      <c r="S1408">
        <f>IF(O1408=O1407,Q1407+S1407,Q1408)</f>
        <v>3861.8112339999998</v>
      </c>
      <c r="T1408">
        <f>IF(O1408=O1407,T1407+1,1)</f>
        <v>1</v>
      </c>
      <c r="U1408" t="str">
        <f>IF(O1408=O1409,"",S1408/T1408)</f>
        <v/>
      </c>
      <c r="V1408" t="str">
        <f>IF(U1408="","",IF(ABS(Q1408-U1408)&gt;V$1,"error",""))</f>
        <v/>
      </c>
    </row>
    <row r="1409" spans="1:22" x14ac:dyDescent="0.55000000000000004">
      <c r="A1409">
        <v>1169.4314999999999</v>
      </c>
      <c r="B1409" s="1">
        <v>1E-3</v>
      </c>
      <c r="C1409" s="1">
        <v>1E-3</v>
      </c>
      <c r="D1409" s="2" t="s">
        <v>0</v>
      </c>
      <c r="E1409">
        <v>1</v>
      </c>
      <c r="F1409" s="2" t="s">
        <v>2</v>
      </c>
      <c r="G1409">
        <v>3</v>
      </c>
      <c r="H1409">
        <v>11.5</v>
      </c>
      <c r="I1409" s="2" t="s">
        <v>0</v>
      </c>
      <c r="J1409">
        <v>1</v>
      </c>
      <c r="K1409" s="2" t="s">
        <v>2</v>
      </c>
      <c r="L1409">
        <v>2</v>
      </c>
      <c r="M1409">
        <v>10.5</v>
      </c>
      <c r="N1409" s="2" t="s">
        <v>567</v>
      </c>
      <c r="O1409" t="str">
        <f>D1409&amp;"-"&amp;E1409&amp;"-"&amp;F1409&amp;"-"&amp;G1409&amp;"-"&amp;H1409</f>
        <v>X-1-e-3-11.5</v>
      </c>
      <c r="P1409" t="str">
        <f>I1409&amp;"-"&amp;J1409&amp;"-"&amp;K1409&amp;"-"&amp;L1409&amp;"-"&amp;M1409</f>
        <v>X-1-e-2-10.5</v>
      </c>
      <c r="Q1409">
        <f>A1409+R1409</f>
        <v>3861.8111339999996</v>
      </c>
      <c r="R1409">
        <f>_xlfn.IFNA(VLOOKUP(P1409,PGOPHER!A$2:G$181,7,FALSE),_xlfn.IFNA(VLOOKUP(P1409,en!A$2:I$768,7,FALSE),-10000))</f>
        <v>2692.3796339999999</v>
      </c>
      <c r="S1409">
        <f>IF(O1409=O1408,Q1408+S1408,Q1409)</f>
        <v>7723.6224679999996</v>
      </c>
      <c r="T1409">
        <f>IF(O1409=O1408,T1408+1,1)</f>
        <v>2</v>
      </c>
      <c r="U1409" t="str">
        <f>IF(O1409=O1410,"",S1409/T1409)</f>
        <v/>
      </c>
      <c r="V1409" t="str">
        <f>IF(U1409="","",IF(ABS(Q1409-U1409)&gt;V$1,"error",""))</f>
        <v/>
      </c>
    </row>
    <row r="1410" spans="1:22" x14ac:dyDescent="0.55000000000000004">
      <c r="A1410">
        <v>1011.2261</v>
      </c>
      <c r="B1410" s="1">
        <v>8.4100000000000008E-3</v>
      </c>
      <c r="C1410" s="1">
        <v>8.4100000000000008E-3</v>
      </c>
      <c r="D1410" s="2" t="s">
        <v>0</v>
      </c>
      <c r="E1410">
        <v>1</v>
      </c>
      <c r="F1410" s="2" t="s">
        <v>2</v>
      </c>
      <c r="G1410">
        <v>3</v>
      </c>
      <c r="H1410">
        <v>11.5</v>
      </c>
      <c r="I1410" s="2" t="s">
        <v>0</v>
      </c>
      <c r="J1410">
        <v>1</v>
      </c>
      <c r="K1410" s="2" t="s">
        <v>2</v>
      </c>
      <c r="L1410">
        <v>2</v>
      </c>
      <c r="M1410">
        <v>12.5</v>
      </c>
      <c r="N1410" s="2" t="s">
        <v>572</v>
      </c>
      <c r="O1410" t="str">
        <f>D1410&amp;"-"&amp;E1410&amp;"-"&amp;F1410&amp;"-"&amp;G1410&amp;"-"&amp;H1410</f>
        <v>X-1-e-3-11.5</v>
      </c>
      <c r="P1410" t="str">
        <f>I1410&amp;"-"&amp;J1410&amp;"-"&amp;K1410&amp;"-"&amp;L1410&amp;"-"&amp;M1410</f>
        <v>X-1-e-2-12.5</v>
      </c>
      <c r="Q1410">
        <f>A1410+R1410</f>
        <v>3861.8117579999998</v>
      </c>
      <c r="R1410">
        <f>_xlfn.IFNA(VLOOKUP(P1410,PGOPHER!A$2:G$181,7,FALSE),_xlfn.IFNA(VLOOKUP(P1410,en!A$2:I$768,7,FALSE),-10000))</f>
        <v>2850.585658</v>
      </c>
      <c r="S1410">
        <f>IF(O1410=O1409,Q1409+S1409,Q1410)</f>
        <v>11585.433601999999</v>
      </c>
      <c r="T1410">
        <f>IF(O1410=O1409,T1409+1,1)</f>
        <v>3</v>
      </c>
      <c r="U1410">
        <f>IF(O1410=O1411,"",S1410/T1410)</f>
        <v>3861.8112006666665</v>
      </c>
      <c r="V1410" t="str">
        <f>IF(U1410="","",IF(ABS(Q1410-U1410)&gt;V$1,"error",""))</f>
        <v/>
      </c>
    </row>
    <row r="1411" spans="1:22" x14ac:dyDescent="0.55000000000000004">
      <c r="A1411">
        <v>1133.0775000000001</v>
      </c>
      <c r="B1411" s="1">
        <v>1.54E-2</v>
      </c>
      <c r="C1411" s="1">
        <v>1.54E-2</v>
      </c>
      <c r="D1411" s="2" t="s">
        <v>0</v>
      </c>
      <c r="E1411">
        <v>1</v>
      </c>
      <c r="F1411" s="2" t="s">
        <v>2</v>
      </c>
      <c r="G1411">
        <v>4</v>
      </c>
      <c r="H1411">
        <v>11.5</v>
      </c>
      <c r="I1411" s="2" t="s">
        <v>0</v>
      </c>
      <c r="J1411">
        <v>1</v>
      </c>
      <c r="K1411" s="2" t="s">
        <v>2</v>
      </c>
      <c r="L1411">
        <v>3</v>
      </c>
      <c r="M1411">
        <v>10.5</v>
      </c>
      <c r="N1411" s="2" t="s">
        <v>647</v>
      </c>
      <c r="O1411" t="str">
        <f>D1411&amp;"-"&amp;E1411&amp;"-"&amp;F1411&amp;"-"&amp;G1411&amp;"-"&amp;H1411</f>
        <v>X-1-e-4-11.5</v>
      </c>
      <c r="P1411" t="str">
        <f>I1411&amp;"-"&amp;J1411&amp;"-"&amp;K1411&amp;"-"&amp;L1411&amp;"-"&amp;M1411</f>
        <v>X-1-e-3-10.5</v>
      </c>
      <c r="Q1411">
        <f>A1411+R1411</f>
        <v>4920.9384150000005</v>
      </c>
      <c r="R1411">
        <f>_xlfn.IFNA(VLOOKUP(P1411,PGOPHER!A$2:G$181,7,FALSE),_xlfn.IFNA(VLOOKUP(P1411,en!A$2:I$768,7,FALSE),-10000))</f>
        <v>3787.8609150000002</v>
      </c>
      <c r="S1411">
        <f>IF(O1411=O1410,Q1410+S1410,Q1411)</f>
        <v>4920.9384150000005</v>
      </c>
      <c r="T1411">
        <f>IF(O1411=O1410,T1410+1,1)</f>
        <v>1</v>
      </c>
      <c r="U1411" t="str">
        <f>IF(O1411=O1412,"",S1411/T1411)</f>
        <v/>
      </c>
      <c r="V1411" t="str">
        <f>IF(U1411="","",IF(ABS(Q1411-U1411)&gt;V$1,"error",""))</f>
        <v/>
      </c>
    </row>
    <row r="1412" spans="1:22" x14ac:dyDescent="0.55000000000000004">
      <c r="A1412">
        <v>978.60609999999997</v>
      </c>
      <c r="B1412" s="1">
        <v>1.54E-2</v>
      </c>
      <c r="C1412" s="1">
        <v>1.54E-2</v>
      </c>
      <c r="D1412" s="2" t="s">
        <v>0</v>
      </c>
      <c r="E1412">
        <v>1</v>
      </c>
      <c r="F1412" s="2" t="s">
        <v>2</v>
      </c>
      <c r="G1412">
        <v>4</v>
      </c>
      <c r="H1412">
        <v>11.5</v>
      </c>
      <c r="I1412" s="2" t="s">
        <v>0</v>
      </c>
      <c r="J1412">
        <v>1</v>
      </c>
      <c r="K1412" s="2" t="s">
        <v>2</v>
      </c>
      <c r="L1412">
        <v>3</v>
      </c>
      <c r="M1412">
        <v>12.5</v>
      </c>
      <c r="N1412" s="2" t="s">
        <v>649</v>
      </c>
      <c r="O1412" t="str">
        <f>D1412&amp;"-"&amp;E1412&amp;"-"&amp;F1412&amp;"-"&amp;G1412&amp;"-"&amp;H1412</f>
        <v>X-1-e-4-11.5</v>
      </c>
      <c r="P1412" t="str">
        <f>I1412&amp;"-"&amp;J1412&amp;"-"&amp;K1412&amp;"-"&amp;L1412&amp;"-"&amp;M1412</f>
        <v>X-1-e-3-12.5</v>
      </c>
      <c r="Q1412">
        <f>A1412+R1412</f>
        <v>4920.9386589999995</v>
      </c>
      <c r="R1412">
        <f>_xlfn.IFNA(VLOOKUP(P1412,PGOPHER!A$2:G$181,7,FALSE),_xlfn.IFNA(VLOOKUP(P1412,en!A$2:I$768,7,FALSE),-10000))</f>
        <v>3942.3325589999999</v>
      </c>
      <c r="S1412">
        <f>IF(O1412=O1411,Q1411+S1411,Q1412)</f>
        <v>9841.8768300000011</v>
      </c>
      <c r="T1412">
        <f>IF(O1412=O1411,T1411+1,1)</f>
        <v>2</v>
      </c>
      <c r="U1412">
        <f>IF(O1412=O1413,"",S1412/T1412)</f>
        <v>4920.9384150000005</v>
      </c>
      <c r="V1412" t="str">
        <f>IF(U1412="","",IF(ABS(Q1412-U1412)&gt;V$1,"error",""))</f>
        <v/>
      </c>
    </row>
    <row r="1413" spans="1:22" x14ac:dyDescent="0.55000000000000004">
      <c r="A1413">
        <v>1067.0852400000001</v>
      </c>
      <c r="B1413" s="1">
        <v>1.2899999999999999E-3</v>
      </c>
      <c r="C1413" s="1">
        <v>1.2899999999999999E-3</v>
      </c>
      <c r="D1413" s="2" t="s">
        <v>0</v>
      </c>
      <c r="E1413">
        <v>2</v>
      </c>
      <c r="F1413" s="2" t="s">
        <v>1</v>
      </c>
      <c r="G1413">
        <v>1</v>
      </c>
      <c r="H1413">
        <v>11.5</v>
      </c>
      <c r="I1413" s="2" t="s">
        <v>0</v>
      </c>
      <c r="J1413">
        <v>2</v>
      </c>
      <c r="K1413" s="2" t="s">
        <v>1</v>
      </c>
      <c r="L1413">
        <v>0</v>
      </c>
      <c r="M1413">
        <v>12.5</v>
      </c>
      <c r="N1413" s="2" t="s">
        <v>188</v>
      </c>
      <c r="O1413" t="str">
        <f>D1413&amp;"-"&amp;E1413&amp;"-"&amp;F1413&amp;"-"&amp;G1413&amp;"-"&amp;H1413</f>
        <v>X-2-f-1-11.5</v>
      </c>
      <c r="P1413" t="str">
        <f>I1413&amp;"-"&amp;J1413&amp;"-"&amp;K1413&amp;"-"&amp;L1413&amp;"-"&amp;M1413</f>
        <v>X-2-f-0-12.5</v>
      </c>
      <c r="Q1413">
        <f>A1413+R1413</f>
        <v>1723.0533380000002</v>
      </c>
      <c r="R1413">
        <f>_xlfn.IFNA(VLOOKUP(P1413,PGOPHER!A$2:G$181,7,FALSE),_xlfn.IFNA(VLOOKUP(P1413,en!A$2:I$768,7,FALSE),-10000))</f>
        <v>655.96809800000005</v>
      </c>
      <c r="S1413">
        <f>IF(O1413=O1412,Q1412+S1412,Q1413)</f>
        <v>1723.0533380000002</v>
      </c>
      <c r="T1413">
        <f>IF(O1413=O1412,T1412+1,1)</f>
        <v>1</v>
      </c>
      <c r="U1413" t="str">
        <f>IF(O1413=O1414,"",S1413/T1413)</f>
        <v/>
      </c>
      <c r="V1413" t="str">
        <f>IF(U1413="","",IF(ABS(Q1413-U1413)&gt;V$1,"error",""))</f>
        <v/>
      </c>
    </row>
    <row r="1414" spans="1:22" x14ac:dyDescent="0.55000000000000004">
      <c r="A1414">
        <v>1246.5260800000001</v>
      </c>
      <c r="B1414" s="1">
        <v>1E-3</v>
      </c>
      <c r="C1414" s="1">
        <v>1E-3</v>
      </c>
      <c r="D1414" s="2" t="s">
        <v>0</v>
      </c>
      <c r="E1414">
        <v>2</v>
      </c>
      <c r="F1414" s="2" t="s">
        <v>1</v>
      </c>
      <c r="G1414">
        <v>1</v>
      </c>
      <c r="H1414">
        <v>11.5</v>
      </c>
      <c r="I1414" s="2" t="s">
        <v>0</v>
      </c>
      <c r="J1414">
        <v>2</v>
      </c>
      <c r="K1414" s="2" t="s">
        <v>1</v>
      </c>
      <c r="L1414">
        <v>0</v>
      </c>
      <c r="M1414">
        <v>10.5</v>
      </c>
      <c r="N1414" s="2" t="s">
        <v>192</v>
      </c>
      <c r="O1414" t="str">
        <f>D1414&amp;"-"&amp;E1414&amp;"-"&amp;F1414&amp;"-"&amp;G1414&amp;"-"&amp;H1414</f>
        <v>X-2-f-1-11.5</v>
      </c>
      <c r="P1414" t="str">
        <f>I1414&amp;"-"&amp;J1414&amp;"-"&amp;K1414&amp;"-"&amp;L1414&amp;"-"&amp;M1414</f>
        <v>X-2-f-0-10.5</v>
      </c>
      <c r="Q1414">
        <f>A1414+R1414</f>
        <v>1723.0543950000001</v>
      </c>
      <c r="R1414">
        <f>_xlfn.IFNA(VLOOKUP(P1414,PGOPHER!A$2:G$181,7,FALSE),_xlfn.IFNA(VLOOKUP(P1414,en!A$2:I$768,7,FALSE),-10000))</f>
        <v>476.52831500000002</v>
      </c>
      <c r="S1414">
        <f>IF(O1414=O1413,Q1413+S1413,Q1414)</f>
        <v>3446.1066760000003</v>
      </c>
      <c r="T1414">
        <f>IF(O1414=O1413,T1413+1,1)</f>
        <v>2</v>
      </c>
      <c r="U1414" t="str">
        <f>IF(O1414=O1415,"",S1414/T1414)</f>
        <v/>
      </c>
      <c r="V1414" t="str">
        <f>IF(U1414="","",IF(ABS(Q1414-U1414)&gt;V$1,"error",""))</f>
        <v/>
      </c>
    </row>
    <row r="1415" spans="1:22" x14ac:dyDescent="0.55000000000000004">
      <c r="A1415">
        <v>1246.5257300000001</v>
      </c>
      <c r="B1415" s="1">
        <v>1E-3</v>
      </c>
      <c r="C1415" s="1">
        <v>1E-3</v>
      </c>
      <c r="D1415" s="2" t="s">
        <v>0</v>
      </c>
      <c r="E1415">
        <v>2</v>
      </c>
      <c r="F1415" s="2" t="s">
        <v>1</v>
      </c>
      <c r="G1415">
        <v>1</v>
      </c>
      <c r="H1415">
        <v>11.5</v>
      </c>
      <c r="I1415" s="2" t="s">
        <v>0</v>
      </c>
      <c r="J1415">
        <v>2</v>
      </c>
      <c r="K1415" s="2" t="s">
        <v>1</v>
      </c>
      <c r="L1415">
        <v>0</v>
      </c>
      <c r="M1415">
        <v>10.5</v>
      </c>
      <c r="N1415" s="2" t="s">
        <v>189</v>
      </c>
      <c r="O1415" t="str">
        <f>D1415&amp;"-"&amp;E1415&amp;"-"&amp;F1415&amp;"-"&amp;G1415&amp;"-"&amp;H1415</f>
        <v>X-2-f-1-11.5</v>
      </c>
      <c r="P1415" t="str">
        <f>I1415&amp;"-"&amp;J1415&amp;"-"&amp;K1415&amp;"-"&amp;L1415&amp;"-"&amp;M1415</f>
        <v>X-2-f-0-10.5</v>
      </c>
      <c r="Q1415">
        <f>A1415+R1415</f>
        <v>1723.0540450000001</v>
      </c>
      <c r="R1415">
        <f>_xlfn.IFNA(VLOOKUP(P1415,PGOPHER!A$2:G$181,7,FALSE),_xlfn.IFNA(VLOOKUP(P1415,en!A$2:I$768,7,FALSE),-10000))</f>
        <v>476.52831500000002</v>
      </c>
      <c r="S1415">
        <f>IF(O1415=O1414,Q1414+S1414,Q1415)</f>
        <v>5169.1610710000004</v>
      </c>
      <c r="T1415">
        <f>IF(O1415=O1414,T1414+1,1)</f>
        <v>3</v>
      </c>
      <c r="U1415" t="str">
        <f>IF(O1415=O1416,"",S1415/T1415)</f>
        <v/>
      </c>
      <c r="V1415" t="str">
        <f>IF(U1415="","",IF(ABS(Q1415-U1415)&gt;V$1,"error",""))</f>
        <v/>
      </c>
    </row>
    <row r="1416" spans="1:22" x14ac:dyDescent="0.55000000000000004">
      <c r="A1416">
        <v>1067.0877</v>
      </c>
      <c r="B1416" s="1">
        <v>2.1899999999999999E-2</v>
      </c>
      <c r="C1416" s="1">
        <v>2.1899999999999999E-2</v>
      </c>
      <c r="D1416" s="2" t="s">
        <v>0</v>
      </c>
      <c r="E1416">
        <v>2</v>
      </c>
      <c r="F1416" s="2" t="s">
        <v>1</v>
      </c>
      <c r="G1416">
        <v>1</v>
      </c>
      <c r="H1416">
        <v>11.5</v>
      </c>
      <c r="I1416" s="2" t="s">
        <v>0</v>
      </c>
      <c r="J1416">
        <v>2</v>
      </c>
      <c r="K1416" s="2" t="s">
        <v>1</v>
      </c>
      <c r="L1416">
        <v>0</v>
      </c>
      <c r="M1416">
        <v>12.5</v>
      </c>
      <c r="N1416" s="2" t="s">
        <v>185</v>
      </c>
      <c r="O1416" t="str">
        <f>D1416&amp;"-"&amp;E1416&amp;"-"&amp;F1416&amp;"-"&amp;G1416&amp;"-"&amp;H1416</f>
        <v>X-2-f-1-11.5</v>
      </c>
      <c r="P1416" t="str">
        <f>I1416&amp;"-"&amp;J1416&amp;"-"&amp;K1416&amp;"-"&amp;L1416&amp;"-"&amp;M1416</f>
        <v>X-2-f-0-12.5</v>
      </c>
      <c r="Q1416">
        <f>A1416+R1416</f>
        <v>1723.0557980000001</v>
      </c>
      <c r="R1416">
        <f>_xlfn.IFNA(VLOOKUP(P1416,PGOPHER!A$2:G$181,7,FALSE),_xlfn.IFNA(VLOOKUP(P1416,en!A$2:I$768,7,FALSE),-10000))</f>
        <v>655.96809800000005</v>
      </c>
      <c r="S1416">
        <f>IF(O1416=O1415,Q1415+S1415,Q1416)</f>
        <v>6892.2151160000003</v>
      </c>
      <c r="T1416">
        <f>IF(O1416=O1415,T1415+1,1)</f>
        <v>4</v>
      </c>
      <c r="U1416" t="str">
        <f>IF(O1416=O1417,"",S1416/T1416)</f>
        <v/>
      </c>
      <c r="V1416" t="str">
        <f>IF(U1416="","",IF(ABS(Q1416-U1416)&gt;V$1,"error",""))</f>
        <v/>
      </c>
    </row>
    <row r="1417" spans="1:22" x14ac:dyDescent="0.55000000000000004">
      <c r="A1417">
        <v>1067.0876800000001</v>
      </c>
      <c r="B1417" s="1">
        <v>1.6509999999999999E-3</v>
      </c>
      <c r="C1417" s="1">
        <v>1.6509999999999999E-3</v>
      </c>
      <c r="D1417" s="2" t="s">
        <v>0</v>
      </c>
      <c r="E1417">
        <v>2</v>
      </c>
      <c r="F1417" s="2" t="s">
        <v>1</v>
      </c>
      <c r="G1417">
        <v>1</v>
      </c>
      <c r="H1417">
        <v>11.5</v>
      </c>
      <c r="I1417" s="2" t="s">
        <v>0</v>
      </c>
      <c r="J1417">
        <v>2</v>
      </c>
      <c r="K1417" s="2" t="s">
        <v>1</v>
      </c>
      <c r="L1417">
        <v>0</v>
      </c>
      <c r="M1417">
        <v>12.5</v>
      </c>
      <c r="N1417" s="2" t="s">
        <v>193</v>
      </c>
      <c r="O1417" t="str">
        <f>D1417&amp;"-"&amp;E1417&amp;"-"&amp;F1417&amp;"-"&amp;G1417&amp;"-"&amp;H1417</f>
        <v>X-2-f-1-11.5</v>
      </c>
      <c r="P1417" t="str">
        <f>I1417&amp;"-"&amp;J1417&amp;"-"&amp;K1417&amp;"-"&amp;L1417&amp;"-"&amp;M1417</f>
        <v>X-2-f-0-12.5</v>
      </c>
      <c r="Q1417">
        <f>A1417+R1417</f>
        <v>1723.0557780000001</v>
      </c>
      <c r="R1417">
        <f>_xlfn.IFNA(VLOOKUP(P1417,PGOPHER!A$2:G$181,7,FALSE),_xlfn.IFNA(VLOOKUP(P1417,en!A$2:I$768,7,FALSE),-10000))</f>
        <v>655.96809800000005</v>
      </c>
      <c r="S1417">
        <f>IF(O1417=O1416,Q1416+S1416,Q1417)</f>
        <v>8615.2709140000006</v>
      </c>
      <c r="T1417">
        <f>IF(O1417=O1416,T1416+1,1)</f>
        <v>5</v>
      </c>
      <c r="U1417" t="str">
        <f>IF(O1417=O1418,"",S1417/T1417)</f>
        <v/>
      </c>
      <c r="V1417" t="str">
        <f>IF(U1417="","",IF(ABS(Q1417-U1417)&gt;V$1,"error",""))</f>
        <v/>
      </c>
    </row>
    <row r="1418" spans="1:22" x14ac:dyDescent="0.55000000000000004">
      <c r="A1418">
        <v>1246.5261</v>
      </c>
      <c r="B1418" s="1">
        <v>2.5100000000000001E-2</v>
      </c>
      <c r="C1418" s="1">
        <v>2.5100000000000001E-2</v>
      </c>
      <c r="D1418" s="2" t="s">
        <v>0</v>
      </c>
      <c r="E1418">
        <v>2</v>
      </c>
      <c r="F1418" s="2" t="s">
        <v>1</v>
      </c>
      <c r="G1418">
        <v>1</v>
      </c>
      <c r="H1418">
        <v>11.5</v>
      </c>
      <c r="I1418" s="2" t="s">
        <v>0</v>
      </c>
      <c r="J1418">
        <v>2</v>
      </c>
      <c r="K1418" s="2" t="s">
        <v>1</v>
      </c>
      <c r="L1418">
        <v>0</v>
      </c>
      <c r="M1418">
        <v>10.5</v>
      </c>
      <c r="N1418" s="2" t="s">
        <v>183</v>
      </c>
      <c r="O1418" t="str">
        <f>D1418&amp;"-"&amp;E1418&amp;"-"&amp;F1418&amp;"-"&amp;G1418&amp;"-"&amp;H1418</f>
        <v>X-2-f-1-11.5</v>
      </c>
      <c r="P1418" t="str">
        <f>I1418&amp;"-"&amp;J1418&amp;"-"&amp;K1418&amp;"-"&amp;L1418&amp;"-"&amp;M1418</f>
        <v>X-2-f-0-10.5</v>
      </c>
      <c r="Q1418">
        <f>A1418+R1418</f>
        <v>1723.0544150000001</v>
      </c>
      <c r="R1418">
        <f>_xlfn.IFNA(VLOOKUP(P1418,PGOPHER!A$2:G$181,7,FALSE),_xlfn.IFNA(VLOOKUP(P1418,en!A$2:I$768,7,FALSE),-10000))</f>
        <v>476.52831500000002</v>
      </c>
      <c r="S1418">
        <f>IF(O1418=O1417,Q1417+S1417,Q1418)</f>
        <v>10338.326692000001</v>
      </c>
      <c r="T1418">
        <f>IF(O1418=O1417,T1417+1,1)</f>
        <v>6</v>
      </c>
      <c r="U1418">
        <f>IF(O1418=O1419,"",S1418/T1418)</f>
        <v>1723.0544486666668</v>
      </c>
      <c r="V1418" t="str">
        <f>IF(U1418="","",IF(ABS(Q1418-U1418)&gt;V$1,"error",""))</f>
        <v/>
      </c>
    </row>
    <row r="1419" spans="1:22" x14ac:dyDescent="0.55000000000000004">
      <c r="A1419">
        <v>1210.3979999999999</v>
      </c>
      <c r="B1419" s="1">
        <v>1E-3</v>
      </c>
      <c r="C1419" s="1">
        <v>1E-3</v>
      </c>
      <c r="D1419" s="2" t="s">
        <v>0</v>
      </c>
      <c r="E1419">
        <v>2</v>
      </c>
      <c r="F1419" s="2" t="s">
        <v>1</v>
      </c>
      <c r="G1419">
        <v>2</v>
      </c>
      <c r="H1419">
        <v>11.5</v>
      </c>
      <c r="I1419" s="2" t="s">
        <v>0</v>
      </c>
      <c r="J1419">
        <v>2</v>
      </c>
      <c r="K1419" s="2" t="s">
        <v>1</v>
      </c>
      <c r="L1419">
        <v>1</v>
      </c>
      <c r="M1419">
        <v>10.5</v>
      </c>
      <c r="N1419" s="2" t="s">
        <v>445</v>
      </c>
      <c r="O1419" t="str">
        <f>D1419&amp;"-"&amp;E1419&amp;"-"&amp;F1419&amp;"-"&amp;G1419&amp;"-"&amp;H1419</f>
        <v>X-2-f-2-11.5</v>
      </c>
      <c r="P1419" t="str">
        <f>I1419&amp;"-"&amp;J1419&amp;"-"&amp;K1419&amp;"-"&amp;L1419&amp;"-"&amp;M1419</f>
        <v>X-2-f-1-10.5</v>
      </c>
      <c r="Q1419">
        <f>A1419+R1419</f>
        <v>2849.1615359999996</v>
      </c>
      <c r="R1419">
        <f>_xlfn.IFNA(VLOOKUP(P1419,PGOPHER!A$2:G$181,7,FALSE),_xlfn.IFNA(VLOOKUP(P1419,en!A$2:I$768,7,FALSE),-10000))</f>
        <v>1638.7635359999999</v>
      </c>
      <c r="S1419">
        <f>IF(O1419=O1418,Q1418+S1418,Q1419)</f>
        <v>2849.1615359999996</v>
      </c>
      <c r="T1419">
        <f>IF(O1419=O1418,T1418+1,1)</f>
        <v>1</v>
      </c>
      <c r="U1419" t="str">
        <f>IF(O1419=O1420,"",S1419/T1419)</f>
        <v/>
      </c>
      <c r="V1419" t="str">
        <f>IF(U1419="","",IF(ABS(Q1419-U1419)&gt;V$1,"error",""))</f>
        <v/>
      </c>
    </row>
    <row r="1420" spans="1:22" x14ac:dyDescent="0.55000000000000004">
      <c r="A1420">
        <v>1210.3976</v>
      </c>
      <c r="B1420" s="1">
        <v>1E-3</v>
      </c>
      <c r="C1420" s="1">
        <v>1E-3</v>
      </c>
      <c r="D1420" s="2" t="s">
        <v>0</v>
      </c>
      <c r="E1420">
        <v>2</v>
      </c>
      <c r="F1420" s="2" t="s">
        <v>1</v>
      </c>
      <c r="G1420">
        <v>2</v>
      </c>
      <c r="H1420">
        <v>11.5</v>
      </c>
      <c r="I1420" s="2" t="s">
        <v>0</v>
      </c>
      <c r="J1420">
        <v>2</v>
      </c>
      <c r="K1420" s="2" t="s">
        <v>1</v>
      </c>
      <c r="L1420">
        <v>1</v>
      </c>
      <c r="M1420">
        <v>10.5</v>
      </c>
      <c r="N1420" s="2" t="s">
        <v>444</v>
      </c>
      <c r="O1420" t="str">
        <f>D1420&amp;"-"&amp;E1420&amp;"-"&amp;F1420&amp;"-"&amp;G1420&amp;"-"&amp;H1420</f>
        <v>X-2-f-2-11.5</v>
      </c>
      <c r="P1420" t="str">
        <f>I1420&amp;"-"&amp;J1420&amp;"-"&amp;K1420&amp;"-"&amp;L1420&amp;"-"&amp;M1420</f>
        <v>X-2-f-1-10.5</v>
      </c>
      <c r="Q1420">
        <f>A1420+R1420</f>
        <v>2849.1611359999997</v>
      </c>
      <c r="R1420">
        <f>_xlfn.IFNA(VLOOKUP(P1420,PGOPHER!A$2:G$181,7,FALSE),_xlfn.IFNA(VLOOKUP(P1420,en!A$2:I$768,7,FALSE),-10000))</f>
        <v>1638.7635359999999</v>
      </c>
      <c r="S1420">
        <f>IF(O1420=O1419,Q1419+S1419,Q1420)</f>
        <v>5698.3230719999992</v>
      </c>
      <c r="T1420">
        <f>IF(O1420=O1419,T1419+1,1)</f>
        <v>2</v>
      </c>
      <c r="U1420" t="str">
        <f>IF(O1420=O1421,"",S1420/T1420)</f>
        <v/>
      </c>
      <c r="V1420" t="str">
        <f>IF(U1420="","",IF(ABS(Q1420-U1420)&gt;V$1,"error",""))</f>
        <v/>
      </c>
    </row>
    <row r="1421" spans="1:22" x14ac:dyDescent="0.55000000000000004">
      <c r="A1421">
        <v>1034.9647</v>
      </c>
      <c r="B1421" s="1">
        <v>8.0999999999999996E-3</v>
      </c>
      <c r="C1421" s="1">
        <v>8.0999999999999996E-3</v>
      </c>
      <c r="D1421" s="2" t="s">
        <v>0</v>
      </c>
      <c r="E1421">
        <v>2</v>
      </c>
      <c r="F1421" s="2" t="s">
        <v>1</v>
      </c>
      <c r="G1421">
        <v>2</v>
      </c>
      <c r="H1421">
        <v>11.5</v>
      </c>
      <c r="I1421" s="2" t="s">
        <v>0</v>
      </c>
      <c r="J1421">
        <v>2</v>
      </c>
      <c r="K1421" s="2" t="s">
        <v>1</v>
      </c>
      <c r="L1421">
        <v>1</v>
      </c>
      <c r="M1421">
        <v>12.5</v>
      </c>
      <c r="N1421" s="2" t="s">
        <v>447</v>
      </c>
      <c r="O1421" t="str">
        <f>D1421&amp;"-"&amp;E1421&amp;"-"&amp;F1421&amp;"-"&amp;G1421&amp;"-"&amp;H1421</f>
        <v>X-2-f-2-11.5</v>
      </c>
      <c r="P1421" t="str">
        <f>I1421&amp;"-"&amp;J1421&amp;"-"&amp;K1421&amp;"-"&amp;L1421&amp;"-"&amp;M1421</f>
        <v>X-2-f-1-12.5</v>
      </c>
      <c r="Q1421">
        <f>A1421+R1421</f>
        <v>2849.1620549999998</v>
      </c>
      <c r="R1421">
        <f>_xlfn.IFNA(VLOOKUP(P1421,PGOPHER!A$2:G$181,7,FALSE),_xlfn.IFNA(VLOOKUP(P1421,en!A$2:I$768,7,FALSE),-10000))</f>
        <v>1814.197355</v>
      </c>
      <c r="S1421">
        <f>IF(O1421=O1420,Q1420+S1420,Q1421)</f>
        <v>8547.484207999998</v>
      </c>
      <c r="T1421">
        <f>IF(O1421=O1420,T1420+1,1)</f>
        <v>3</v>
      </c>
      <c r="U1421">
        <f>IF(O1421=O1422,"",S1421/T1421)</f>
        <v>2849.1614026666662</v>
      </c>
      <c r="V1421" t="str">
        <f>IF(U1421="","",IF(ABS(Q1421-U1421)&gt;V$1,"error",""))</f>
        <v/>
      </c>
    </row>
    <row r="1422" spans="1:22" x14ac:dyDescent="0.55000000000000004">
      <c r="A1422">
        <v>1174.155</v>
      </c>
      <c r="B1422" s="1">
        <v>1.4800000000000001E-2</v>
      </c>
      <c r="C1422" s="1">
        <v>1.4800000000000001E-2</v>
      </c>
      <c r="D1422" s="2" t="s">
        <v>0</v>
      </c>
      <c r="E1422">
        <v>2</v>
      </c>
      <c r="F1422" s="2" t="s">
        <v>1</v>
      </c>
      <c r="G1422">
        <v>3</v>
      </c>
      <c r="H1422">
        <v>11.5</v>
      </c>
      <c r="I1422" s="2" t="s">
        <v>0</v>
      </c>
      <c r="J1422">
        <v>2</v>
      </c>
      <c r="K1422" s="2" t="s">
        <v>1</v>
      </c>
      <c r="L1422">
        <v>2</v>
      </c>
      <c r="M1422">
        <v>10.5</v>
      </c>
      <c r="N1422" s="2" t="s">
        <v>569</v>
      </c>
      <c r="O1422" t="str">
        <f>D1422&amp;"-"&amp;E1422&amp;"-"&amp;F1422&amp;"-"&amp;G1422&amp;"-"&amp;H1422</f>
        <v>X-2-f-3-11.5</v>
      </c>
      <c r="P1422" t="str">
        <f>I1422&amp;"-"&amp;J1422&amp;"-"&amp;K1422&amp;"-"&amp;L1422&amp;"-"&amp;M1422</f>
        <v>X-2-f-2-10.5</v>
      </c>
      <c r="Q1422">
        <f>A1422+R1422</f>
        <v>3940.9596009999996</v>
      </c>
      <c r="R1422">
        <f>_xlfn.IFNA(VLOOKUP(P1422,PGOPHER!A$2:G$181,7,FALSE),_xlfn.IFNA(VLOOKUP(P1422,en!A$2:I$768,7,FALSE),-10000))</f>
        <v>2766.8046009999998</v>
      </c>
      <c r="S1422">
        <f>IF(O1422=O1421,Q1421+S1421,Q1422)</f>
        <v>3940.9596009999996</v>
      </c>
      <c r="T1422">
        <f>IF(O1422=O1421,T1421+1,1)</f>
        <v>1</v>
      </c>
      <c r="U1422" t="str">
        <f>IF(O1422=O1423,"",S1422/T1422)</f>
        <v/>
      </c>
      <c r="V1422" t="str">
        <f>IF(U1422="","",IF(ABS(Q1422-U1422)&gt;V$1,"error",""))</f>
        <v/>
      </c>
    </row>
    <row r="1423" spans="1:22" x14ac:dyDescent="0.55000000000000004">
      <c r="A1423">
        <v>1174.1551999999999</v>
      </c>
      <c r="B1423" s="1">
        <v>1.46E-2</v>
      </c>
      <c r="C1423" s="1">
        <v>1.46E-2</v>
      </c>
      <c r="D1423" s="2" t="s">
        <v>0</v>
      </c>
      <c r="E1423">
        <v>2</v>
      </c>
      <c r="F1423" s="2" t="s">
        <v>1</v>
      </c>
      <c r="G1423">
        <v>3</v>
      </c>
      <c r="H1423">
        <v>11.5</v>
      </c>
      <c r="I1423" s="2" t="s">
        <v>0</v>
      </c>
      <c r="J1423">
        <v>2</v>
      </c>
      <c r="K1423" s="2" t="s">
        <v>1</v>
      </c>
      <c r="L1423">
        <v>2</v>
      </c>
      <c r="M1423">
        <v>10.5</v>
      </c>
      <c r="N1423" s="2" t="s">
        <v>570</v>
      </c>
      <c r="O1423" t="str">
        <f>D1423&amp;"-"&amp;E1423&amp;"-"&amp;F1423&amp;"-"&amp;G1423&amp;"-"&amp;H1423</f>
        <v>X-2-f-3-11.5</v>
      </c>
      <c r="P1423" t="str">
        <f>I1423&amp;"-"&amp;J1423&amp;"-"&amp;K1423&amp;"-"&amp;L1423&amp;"-"&amp;M1423</f>
        <v>X-2-f-2-10.5</v>
      </c>
      <c r="Q1423">
        <f>A1423+R1423</f>
        <v>3940.959801</v>
      </c>
      <c r="R1423">
        <f>_xlfn.IFNA(VLOOKUP(P1423,PGOPHER!A$2:G$181,7,FALSE),_xlfn.IFNA(VLOOKUP(P1423,en!A$2:I$768,7,FALSE),-10000))</f>
        <v>2766.8046009999998</v>
      </c>
      <c r="S1423">
        <f>IF(O1423=O1422,Q1422+S1422,Q1423)</f>
        <v>7881.9192019999991</v>
      </c>
      <c r="T1423">
        <f>IF(O1423=O1422,T1422+1,1)</f>
        <v>2</v>
      </c>
      <c r="U1423" t="str">
        <f>IF(O1423=O1424,"",S1423/T1423)</f>
        <v/>
      </c>
      <c r="V1423" t="str">
        <f>IF(U1423="","",IF(ABS(Q1423-U1423)&gt;V$1,"error",""))</f>
        <v/>
      </c>
    </row>
    <row r="1424" spans="1:22" x14ac:dyDescent="0.55000000000000004">
      <c r="A1424">
        <v>1002.7444</v>
      </c>
      <c r="B1424" s="1">
        <v>2.5399999999999999E-2</v>
      </c>
      <c r="C1424" s="1">
        <v>2.5399999999999999E-2</v>
      </c>
      <c r="D1424" s="2" t="s">
        <v>0</v>
      </c>
      <c r="E1424">
        <v>2</v>
      </c>
      <c r="F1424" s="2" t="s">
        <v>1</v>
      </c>
      <c r="G1424">
        <v>3</v>
      </c>
      <c r="H1424">
        <v>11.5</v>
      </c>
      <c r="I1424" s="2" t="s">
        <v>0</v>
      </c>
      <c r="J1424">
        <v>2</v>
      </c>
      <c r="K1424" s="2" t="s">
        <v>1</v>
      </c>
      <c r="L1424">
        <v>2</v>
      </c>
      <c r="M1424">
        <v>12.5</v>
      </c>
      <c r="N1424" s="2" t="s">
        <v>571</v>
      </c>
      <c r="O1424" t="str">
        <f>D1424&amp;"-"&amp;E1424&amp;"-"&amp;F1424&amp;"-"&amp;G1424&amp;"-"&amp;H1424</f>
        <v>X-2-f-3-11.5</v>
      </c>
      <c r="P1424" t="str">
        <f>I1424&amp;"-"&amp;J1424&amp;"-"&amp;K1424&amp;"-"&amp;L1424&amp;"-"&amp;M1424</f>
        <v>X-2-f-2-12.5</v>
      </c>
      <c r="Q1424">
        <f>A1424+R1424</f>
        <v>3940.960611</v>
      </c>
      <c r="R1424">
        <f>_xlfn.IFNA(VLOOKUP(P1424,PGOPHER!A$2:G$181,7,FALSE),_xlfn.IFNA(VLOOKUP(P1424,en!A$2:I$768,7,FALSE),-10000))</f>
        <v>2938.2162109999999</v>
      </c>
      <c r="S1424">
        <f>IF(O1424=O1423,Q1423+S1423,Q1424)</f>
        <v>11822.879002999998</v>
      </c>
      <c r="T1424">
        <f>IF(O1424=O1423,T1423+1,1)</f>
        <v>3</v>
      </c>
      <c r="U1424">
        <f>IF(O1424=O1425,"",S1424/T1424)</f>
        <v>3940.9596676666661</v>
      </c>
      <c r="V1424" t="str">
        <f>IF(U1424="","",IF(ABS(Q1424-U1424)&gt;V$1,"error",""))</f>
        <v/>
      </c>
    </row>
    <row r="1425" spans="1:22" x14ac:dyDescent="0.55000000000000004">
      <c r="A1425">
        <v>1137.6222</v>
      </c>
      <c r="B1425" s="1">
        <v>6.2599999999999999E-3</v>
      </c>
      <c r="C1425" s="1">
        <v>6.2599999999999999E-3</v>
      </c>
      <c r="D1425" s="2" t="s">
        <v>0</v>
      </c>
      <c r="E1425">
        <v>2</v>
      </c>
      <c r="F1425" s="2" t="s">
        <v>1</v>
      </c>
      <c r="G1425">
        <v>4</v>
      </c>
      <c r="H1425">
        <v>11.5</v>
      </c>
      <c r="I1425" s="2" t="s">
        <v>0</v>
      </c>
      <c r="J1425">
        <v>2</v>
      </c>
      <c r="K1425" s="2" t="s">
        <v>1</v>
      </c>
      <c r="L1425">
        <v>3</v>
      </c>
      <c r="M1425">
        <v>10.5</v>
      </c>
      <c r="N1425" s="2" t="s">
        <v>648</v>
      </c>
      <c r="O1425" t="str">
        <f>D1425&amp;"-"&amp;E1425&amp;"-"&amp;F1425&amp;"-"&amp;G1425&amp;"-"&amp;H1425</f>
        <v>X-2-f-4-11.5</v>
      </c>
      <c r="P1425" t="str">
        <f>I1425&amp;"-"&amp;J1425&amp;"-"&amp;K1425&amp;"-"&amp;L1425&amp;"-"&amp;M1425</f>
        <v>X-2-f-3-10.5</v>
      </c>
      <c r="Q1425">
        <f>A1425+R1425</f>
        <v>4998.1661249999997</v>
      </c>
      <c r="R1425">
        <f>_xlfn.IFNA(VLOOKUP(P1425,PGOPHER!A$2:G$181,7,FALSE),_xlfn.IFNA(VLOOKUP(P1425,en!A$2:I$768,7,FALSE),-10000))</f>
        <v>3860.5439249999999</v>
      </c>
      <c r="S1425">
        <f>IF(O1425=O1424,Q1424+S1424,Q1425)</f>
        <v>4998.1661249999997</v>
      </c>
      <c r="T1425">
        <f>IF(O1425=O1424,T1424+1,1)</f>
        <v>1</v>
      </c>
      <c r="U1425" t="str">
        <f>IF(O1425=O1426,"",S1425/T1425)</f>
        <v/>
      </c>
      <c r="V1425" t="str">
        <f>IF(U1425="","",IF(ABS(Q1425-U1425)&gt;V$1,"error",""))</f>
        <v/>
      </c>
    </row>
    <row r="1426" spans="1:22" x14ac:dyDescent="0.55000000000000004">
      <c r="A1426">
        <v>970.26199999999994</v>
      </c>
      <c r="B1426" s="1">
        <v>6.2599999999999999E-3</v>
      </c>
      <c r="C1426" s="1">
        <v>6.2599999999999999E-3</v>
      </c>
      <c r="D1426" s="2" t="s">
        <v>0</v>
      </c>
      <c r="E1426">
        <v>2</v>
      </c>
      <c r="F1426" s="2" t="s">
        <v>1</v>
      </c>
      <c r="G1426">
        <v>4</v>
      </c>
      <c r="H1426">
        <v>11.5</v>
      </c>
      <c r="I1426" s="2" t="s">
        <v>0</v>
      </c>
      <c r="J1426">
        <v>2</v>
      </c>
      <c r="K1426" s="2" t="s">
        <v>1</v>
      </c>
      <c r="L1426">
        <v>3</v>
      </c>
      <c r="M1426">
        <v>12.5</v>
      </c>
      <c r="N1426" s="2" t="s">
        <v>650</v>
      </c>
      <c r="O1426" t="str">
        <f>D1426&amp;"-"&amp;E1426&amp;"-"&amp;F1426&amp;"-"&amp;G1426&amp;"-"&amp;H1426</f>
        <v>X-2-f-4-11.5</v>
      </c>
      <c r="P1426" t="str">
        <f>I1426&amp;"-"&amp;J1426&amp;"-"&amp;K1426&amp;"-"&amp;L1426&amp;"-"&amp;M1426</f>
        <v>X-2-f-3-12.5</v>
      </c>
      <c r="Q1426">
        <f>A1426+R1426</f>
        <v>4998.166878</v>
      </c>
      <c r="R1426">
        <f>_xlfn.IFNA(VLOOKUP(P1426,PGOPHER!A$2:G$181,7,FALSE),_xlfn.IFNA(VLOOKUP(P1426,en!A$2:I$768,7,FALSE),-10000))</f>
        <v>4027.9048779999998</v>
      </c>
      <c r="S1426">
        <f>IF(O1426=O1425,Q1425+S1425,Q1426)</f>
        <v>9996.3322499999995</v>
      </c>
      <c r="T1426">
        <f>IF(O1426=O1425,T1425+1,1)</f>
        <v>2</v>
      </c>
      <c r="U1426">
        <f>IF(O1426=O1427,"",S1426/T1426)</f>
        <v>4998.1661249999997</v>
      </c>
      <c r="V1426" t="str">
        <f>IF(U1426="","",IF(ABS(Q1426-U1426)&gt;V$1,"error",""))</f>
        <v/>
      </c>
    </row>
    <row r="1427" spans="1:22" x14ac:dyDescent="0.55000000000000004">
      <c r="A1427">
        <v>1066.91606</v>
      </c>
      <c r="B1427" s="1">
        <v>1.4599999999999999E-3</v>
      </c>
      <c r="C1427" s="1">
        <v>1.4599999999999999E-3</v>
      </c>
      <c r="D1427" s="2" t="s">
        <v>0</v>
      </c>
      <c r="E1427">
        <v>1</v>
      </c>
      <c r="F1427" s="2" t="s">
        <v>2</v>
      </c>
      <c r="G1427">
        <v>1</v>
      </c>
      <c r="H1427">
        <v>12.5</v>
      </c>
      <c r="I1427" s="2" t="s">
        <v>0</v>
      </c>
      <c r="J1427">
        <v>1</v>
      </c>
      <c r="K1427" s="2" t="s">
        <v>2</v>
      </c>
      <c r="L1427">
        <v>0</v>
      </c>
      <c r="M1427">
        <v>13.5</v>
      </c>
      <c r="N1427" s="2" t="s">
        <v>198</v>
      </c>
      <c r="O1427" t="str">
        <f>D1427&amp;"-"&amp;E1427&amp;"-"&amp;F1427&amp;"-"&amp;G1427&amp;"-"&amp;H1427</f>
        <v>X-1-e-1-12.5</v>
      </c>
      <c r="P1427" t="str">
        <f>I1427&amp;"-"&amp;J1427&amp;"-"&amp;K1427&amp;"-"&amp;L1427&amp;"-"&amp;M1427</f>
        <v>X-1-e-0-13.5</v>
      </c>
      <c r="Q1427">
        <f>A1427+R1427</f>
        <v>1724.5267819999999</v>
      </c>
      <c r="R1427">
        <f>_xlfn.IFNA(VLOOKUP(P1427,PGOPHER!A$2:G$181,7,FALSE),_xlfn.IFNA(VLOOKUP(P1427,en!A$2:I$768,7,FALSE),-10000))</f>
        <v>657.61072200000001</v>
      </c>
      <c r="S1427">
        <f>IF(O1427=O1426,Q1426+S1426,Q1427)</f>
        <v>1724.5267819999999</v>
      </c>
      <c r="T1427">
        <f>IF(O1427=O1426,T1426+1,1)</f>
        <v>1</v>
      </c>
      <c r="U1427" t="str">
        <f>IF(O1427=O1428,"",S1427/T1427)</f>
        <v/>
      </c>
      <c r="V1427" t="str">
        <f>IF(U1427="","",IF(ABS(Q1427-U1427)&gt;V$1,"error",""))</f>
        <v/>
      </c>
    </row>
    <row r="1428" spans="1:22" x14ac:dyDescent="0.55000000000000004">
      <c r="A1428">
        <v>1246.59402</v>
      </c>
      <c r="B1428" s="1">
        <v>1E-3</v>
      </c>
      <c r="C1428" s="1">
        <v>1E-3</v>
      </c>
      <c r="D1428" s="2" t="s">
        <v>0</v>
      </c>
      <c r="E1428">
        <v>1</v>
      </c>
      <c r="F1428" s="2" t="s">
        <v>2</v>
      </c>
      <c r="G1428">
        <v>1</v>
      </c>
      <c r="H1428">
        <v>12.5</v>
      </c>
      <c r="I1428" s="2" t="s">
        <v>0</v>
      </c>
      <c r="J1428">
        <v>1</v>
      </c>
      <c r="K1428" s="2" t="s">
        <v>2</v>
      </c>
      <c r="L1428">
        <v>0</v>
      </c>
      <c r="M1428">
        <v>11.5</v>
      </c>
      <c r="N1428" s="2" t="s">
        <v>202</v>
      </c>
      <c r="O1428" t="str">
        <f>D1428&amp;"-"&amp;E1428&amp;"-"&amp;F1428&amp;"-"&amp;G1428&amp;"-"&amp;H1428</f>
        <v>X-1-e-1-12.5</v>
      </c>
      <c r="P1428" t="str">
        <f>I1428&amp;"-"&amp;J1428&amp;"-"&amp;K1428&amp;"-"&amp;L1428&amp;"-"&amp;M1428</f>
        <v>X-1-e-0-11.5</v>
      </c>
      <c r="Q1428">
        <f>A1428+R1428</f>
        <v>1724.5274440000001</v>
      </c>
      <c r="R1428">
        <f>_xlfn.IFNA(VLOOKUP(P1428,PGOPHER!A$2:G$181,7,FALSE),_xlfn.IFNA(VLOOKUP(P1428,en!A$2:I$768,7,FALSE),-10000))</f>
        <v>477.933424</v>
      </c>
      <c r="S1428">
        <f>IF(O1428=O1427,Q1427+S1427,Q1428)</f>
        <v>3449.0535639999998</v>
      </c>
      <c r="T1428">
        <f>IF(O1428=O1427,T1427+1,1)</f>
        <v>2</v>
      </c>
      <c r="U1428" t="str">
        <f>IF(O1428=O1429,"",S1428/T1428)</f>
        <v/>
      </c>
      <c r="V1428" t="str">
        <f>IF(U1428="","",IF(ABS(Q1428-U1428)&gt;V$1,"error",""))</f>
        <v/>
      </c>
    </row>
    <row r="1429" spans="1:22" x14ac:dyDescent="0.55000000000000004">
      <c r="A1429">
        <v>1246.5964799999999</v>
      </c>
      <c r="B1429" s="1">
        <v>2.5149999999999999E-3</v>
      </c>
      <c r="C1429" s="1">
        <v>2.5149999999999999E-3</v>
      </c>
      <c r="D1429" s="2" t="s">
        <v>0</v>
      </c>
      <c r="E1429">
        <v>1</v>
      </c>
      <c r="F1429" s="2" t="s">
        <v>2</v>
      </c>
      <c r="G1429">
        <v>1</v>
      </c>
      <c r="H1429">
        <v>12.5</v>
      </c>
      <c r="I1429" s="2" t="s">
        <v>0</v>
      </c>
      <c r="J1429">
        <v>1</v>
      </c>
      <c r="K1429" s="2" t="s">
        <v>2</v>
      </c>
      <c r="L1429">
        <v>0</v>
      </c>
      <c r="M1429">
        <v>11.5</v>
      </c>
      <c r="N1429" s="2" t="s">
        <v>199</v>
      </c>
      <c r="O1429" t="str">
        <f>D1429&amp;"-"&amp;E1429&amp;"-"&amp;F1429&amp;"-"&amp;G1429&amp;"-"&amp;H1429</f>
        <v>X-1-e-1-12.5</v>
      </c>
      <c r="P1429" t="str">
        <f>I1429&amp;"-"&amp;J1429&amp;"-"&amp;K1429&amp;"-"&amp;L1429&amp;"-"&amp;M1429</f>
        <v>X-1-e-0-11.5</v>
      </c>
      <c r="Q1429">
        <f>A1429+R1429</f>
        <v>1724.529904</v>
      </c>
      <c r="R1429">
        <f>_xlfn.IFNA(VLOOKUP(P1429,PGOPHER!A$2:G$181,7,FALSE),_xlfn.IFNA(VLOOKUP(P1429,en!A$2:I$768,7,FALSE),-10000))</f>
        <v>477.933424</v>
      </c>
      <c r="S1429">
        <f>IF(O1429=O1428,Q1428+S1428,Q1429)</f>
        <v>5173.5810080000001</v>
      </c>
      <c r="T1429">
        <f>IF(O1429=O1428,T1428+1,1)</f>
        <v>3</v>
      </c>
      <c r="U1429" t="str">
        <f>IF(O1429=O1430,"",S1429/T1429)</f>
        <v/>
      </c>
      <c r="V1429" t="str">
        <f>IF(U1429="","",IF(ABS(Q1429-U1429)&gt;V$1,"error",""))</f>
        <v/>
      </c>
    </row>
    <row r="1430" spans="1:22" x14ac:dyDescent="0.55000000000000004">
      <c r="A1430">
        <v>1066.9186</v>
      </c>
      <c r="B1430" s="1">
        <v>2.47E-2</v>
      </c>
      <c r="C1430" s="1">
        <v>2.47E-2</v>
      </c>
      <c r="D1430" s="2" t="s">
        <v>0</v>
      </c>
      <c r="E1430">
        <v>1</v>
      </c>
      <c r="F1430" s="2" t="s">
        <v>2</v>
      </c>
      <c r="G1430">
        <v>1</v>
      </c>
      <c r="H1430">
        <v>12.5</v>
      </c>
      <c r="I1430" s="2" t="s">
        <v>0</v>
      </c>
      <c r="J1430">
        <v>1</v>
      </c>
      <c r="K1430" s="2" t="s">
        <v>2</v>
      </c>
      <c r="L1430">
        <v>0</v>
      </c>
      <c r="M1430">
        <v>13.5</v>
      </c>
      <c r="N1430" s="2" t="s">
        <v>196</v>
      </c>
      <c r="O1430" t="str">
        <f>D1430&amp;"-"&amp;E1430&amp;"-"&amp;F1430&amp;"-"&amp;G1430&amp;"-"&amp;H1430</f>
        <v>X-1-e-1-12.5</v>
      </c>
      <c r="P1430" t="str">
        <f>I1430&amp;"-"&amp;J1430&amp;"-"&amp;K1430&amp;"-"&amp;L1430&amp;"-"&amp;M1430</f>
        <v>X-1-e-0-13.5</v>
      </c>
      <c r="Q1430">
        <f>A1430+R1430</f>
        <v>1724.5293219999999</v>
      </c>
      <c r="R1430">
        <f>_xlfn.IFNA(VLOOKUP(P1430,PGOPHER!A$2:G$181,7,FALSE),_xlfn.IFNA(VLOOKUP(P1430,en!A$2:I$768,7,FALSE),-10000))</f>
        <v>657.61072200000001</v>
      </c>
      <c r="S1430">
        <f>IF(O1430=O1429,Q1429+S1429,Q1430)</f>
        <v>6898.1109120000001</v>
      </c>
      <c r="T1430">
        <f>IF(O1430=O1429,T1429+1,1)</f>
        <v>4</v>
      </c>
      <c r="U1430" t="str">
        <f>IF(O1430=O1431,"",S1430/T1430)</f>
        <v/>
      </c>
      <c r="V1430" t="str">
        <f>IF(U1430="","",IF(ABS(Q1430-U1430)&gt;V$1,"error",""))</f>
        <v/>
      </c>
    </row>
    <row r="1431" spans="1:22" x14ac:dyDescent="0.55000000000000004">
      <c r="A1431">
        <v>1246.5940000000001</v>
      </c>
      <c r="B1431" s="1">
        <v>2.7799999999999998E-2</v>
      </c>
      <c r="C1431" s="1">
        <v>2.7799999999999998E-2</v>
      </c>
      <c r="D1431" s="2" t="s">
        <v>0</v>
      </c>
      <c r="E1431">
        <v>1</v>
      </c>
      <c r="F1431" s="2" t="s">
        <v>2</v>
      </c>
      <c r="G1431">
        <v>1</v>
      </c>
      <c r="H1431">
        <v>12.5</v>
      </c>
      <c r="I1431" s="2" t="s">
        <v>0</v>
      </c>
      <c r="J1431">
        <v>1</v>
      </c>
      <c r="K1431" s="2" t="s">
        <v>2</v>
      </c>
      <c r="L1431">
        <v>0</v>
      </c>
      <c r="M1431">
        <v>11.5</v>
      </c>
      <c r="N1431" s="2" t="s">
        <v>194</v>
      </c>
      <c r="O1431" t="str">
        <f>D1431&amp;"-"&amp;E1431&amp;"-"&amp;F1431&amp;"-"&amp;G1431&amp;"-"&amp;H1431</f>
        <v>X-1-e-1-12.5</v>
      </c>
      <c r="P1431" t="str">
        <f>I1431&amp;"-"&amp;J1431&amp;"-"&amp;K1431&amp;"-"&amp;L1431&amp;"-"&amp;M1431</f>
        <v>X-1-e-0-11.5</v>
      </c>
      <c r="Q1431">
        <f>A1431+R1431</f>
        <v>1724.5274240000001</v>
      </c>
      <c r="R1431">
        <f>_xlfn.IFNA(VLOOKUP(P1431,PGOPHER!A$2:G$181,7,FALSE),_xlfn.IFNA(VLOOKUP(P1431,en!A$2:I$768,7,FALSE),-10000))</f>
        <v>477.933424</v>
      </c>
      <c r="S1431">
        <f>IF(O1431=O1430,Q1430+S1430,Q1431)</f>
        <v>8622.6402340000004</v>
      </c>
      <c r="T1431">
        <f>IF(O1431=O1430,T1430+1,1)</f>
        <v>5</v>
      </c>
      <c r="U1431" t="str">
        <f>IF(O1431=O1432,"",S1431/T1431)</f>
        <v/>
      </c>
      <c r="V1431" t="str">
        <f>IF(U1431="","",IF(ABS(Q1431-U1431)&gt;V$1,"error",""))</f>
        <v/>
      </c>
    </row>
    <row r="1432" spans="1:22" x14ac:dyDescent="0.55000000000000004">
      <c r="A1432">
        <v>1066.91857</v>
      </c>
      <c r="B1432" s="1">
        <v>1.634E-3</v>
      </c>
      <c r="C1432" s="1">
        <v>1.634E-3</v>
      </c>
      <c r="D1432" s="2" t="s">
        <v>0</v>
      </c>
      <c r="E1432">
        <v>1</v>
      </c>
      <c r="F1432" s="2" t="s">
        <v>2</v>
      </c>
      <c r="G1432">
        <v>1</v>
      </c>
      <c r="H1432">
        <v>12.5</v>
      </c>
      <c r="I1432" s="2" t="s">
        <v>0</v>
      </c>
      <c r="J1432">
        <v>1</v>
      </c>
      <c r="K1432" s="2" t="s">
        <v>2</v>
      </c>
      <c r="L1432">
        <v>0</v>
      </c>
      <c r="M1432">
        <v>13.5</v>
      </c>
      <c r="N1432" s="2" t="s">
        <v>203</v>
      </c>
      <c r="O1432" t="str">
        <f>D1432&amp;"-"&amp;E1432&amp;"-"&amp;F1432&amp;"-"&amp;G1432&amp;"-"&amp;H1432</f>
        <v>X-1-e-1-12.5</v>
      </c>
      <c r="P1432" t="str">
        <f>I1432&amp;"-"&amp;J1432&amp;"-"&amp;K1432&amp;"-"&amp;L1432&amp;"-"&amp;M1432</f>
        <v>X-1-e-0-13.5</v>
      </c>
      <c r="Q1432">
        <f>A1432+R1432</f>
        <v>1724.5292920000002</v>
      </c>
      <c r="R1432">
        <f>_xlfn.IFNA(VLOOKUP(P1432,PGOPHER!A$2:G$181,7,FALSE),_xlfn.IFNA(VLOOKUP(P1432,en!A$2:I$768,7,FALSE),-10000))</f>
        <v>657.61072200000001</v>
      </c>
      <c r="S1432">
        <f>IF(O1432=O1431,Q1431+S1431,Q1432)</f>
        <v>10347.167658</v>
      </c>
      <c r="T1432">
        <f>IF(O1432=O1431,T1431+1,1)</f>
        <v>6</v>
      </c>
      <c r="U1432">
        <f>IF(O1432=O1433,"",S1432/T1432)</f>
        <v>1724.5279430000001</v>
      </c>
      <c r="V1432" t="str">
        <f>IF(U1432="","",IF(ABS(Q1432-U1432)&gt;V$1,"error",""))</f>
        <v/>
      </c>
    </row>
    <row r="1433" spans="1:22" x14ac:dyDescent="0.55000000000000004">
      <c r="A1433">
        <v>1210.4621</v>
      </c>
      <c r="B1433" s="1">
        <v>5.6899999999999997E-3</v>
      </c>
      <c r="C1433" s="1">
        <v>5.6899999999999997E-3</v>
      </c>
      <c r="D1433" s="2" t="s">
        <v>0</v>
      </c>
      <c r="E1433">
        <v>1</v>
      </c>
      <c r="F1433" s="2" t="s">
        <v>2</v>
      </c>
      <c r="G1433">
        <v>2</v>
      </c>
      <c r="H1433">
        <v>12.5</v>
      </c>
      <c r="I1433" s="2" t="s">
        <v>0</v>
      </c>
      <c r="J1433">
        <v>1</v>
      </c>
      <c r="K1433" s="2" t="s">
        <v>2</v>
      </c>
      <c r="L1433">
        <v>1</v>
      </c>
      <c r="M1433">
        <v>11.5</v>
      </c>
      <c r="N1433" s="2" t="s">
        <v>449</v>
      </c>
      <c r="O1433" t="str">
        <f>D1433&amp;"-"&amp;E1433&amp;"-"&amp;F1433&amp;"-"&amp;G1433&amp;"-"&amp;H1433</f>
        <v>X-1-e-2-12.5</v>
      </c>
      <c r="P1433" t="str">
        <f>I1433&amp;"-"&amp;J1433&amp;"-"&amp;K1433&amp;"-"&amp;L1433&amp;"-"&amp;M1433</f>
        <v>X-1-e-1-11.5</v>
      </c>
      <c r="Q1433">
        <f>A1433+R1433</f>
        <v>2850.5857340000002</v>
      </c>
      <c r="R1433">
        <f>_xlfn.IFNA(VLOOKUP(P1433,PGOPHER!A$2:G$181,7,FALSE),_xlfn.IFNA(VLOOKUP(P1433,en!A$2:I$768,7,FALSE),-10000))</f>
        <v>1640.123634</v>
      </c>
      <c r="S1433">
        <f>IF(O1433=O1432,Q1432+S1432,Q1433)</f>
        <v>2850.5857340000002</v>
      </c>
      <c r="T1433">
        <f>IF(O1433=O1432,T1432+1,1)</f>
        <v>1</v>
      </c>
      <c r="U1433" t="str">
        <f>IF(O1433=O1434,"",S1433/T1433)</f>
        <v/>
      </c>
      <c r="V1433" t="str">
        <f>IF(U1433="","",IF(ABS(Q1433-U1433)&gt;V$1,"error",""))</f>
        <v/>
      </c>
    </row>
    <row r="1434" spans="1:22" x14ac:dyDescent="0.55000000000000004">
      <c r="A1434">
        <v>1210.4621</v>
      </c>
      <c r="B1434" s="1">
        <v>5.6899999999999997E-3</v>
      </c>
      <c r="C1434" s="1">
        <v>5.6899999999999997E-3</v>
      </c>
      <c r="D1434" s="2" t="s">
        <v>0</v>
      </c>
      <c r="E1434">
        <v>1</v>
      </c>
      <c r="F1434" s="2" t="s">
        <v>2</v>
      </c>
      <c r="G1434">
        <v>2</v>
      </c>
      <c r="H1434">
        <v>12.5</v>
      </c>
      <c r="I1434" s="2" t="s">
        <v>0</v>
      </c>
      <c r="J1434">
        <v>1</v>
      </c>
      <c r="K1434" s="2" t="s">
        <v>2</v>
      </c>
      <c r="L1434">
        <v>1</v>
      </c>
      <c r="M1434">
        <v>11.5</v>
      </c>
      <c r="N1434" s="2" t="s">
        <v>448</v>
      </c>
      <c r="O1434" t="str">
        <f>D1434&amp;"-"&amp;E1434&amp;"-"&amp;F1434&amp;"-"&amp;G1434&amp;"-"&amp;H1434</f>
        <v>X-1-e-2-12.5</v>
      </c>
      <c r="P1434" t="str">
        <f>I1434&amp;"-"&amp;J1434&amp;"-"&amp;K1434&amp;"-"&amp;L1434&amp;"-"&amp;M1434</f>
        <v>X-1-e-1-11.5</v>
      </c>
      <c r="Q1434">
        <f>A1434+R1434</f>
        <v>2850.5857340000002</v>
      </c>
      <c r="R1434">
        <f>_xlfn.IFNA(VLOOKUP(P1434,PGOPHER!A$2:G$181,7,FALSE),_xlfn.IFNA(VLOOKUP(P1434,en!A$2:I$768,7,FALSE),-10000))</f>
        <v>1640.123634</v>
      </c>
      <c r="S1434">
        <f>IF(O1434=O1433,Q1433+S1433,Q1434)</f>
        <v>5701.1714680000005</v>
      </c>
      <c r="T1434">
        <f>IF(O1434=O1433,T1433+1,1)</f>
        <v>2</v>
      </c>
      <c r="U1434" t="str">
        <f>IF(O1434=O1435,"",S1434/T1434)</f>
        <v/>
      </c>
      <c r="V1434" t="str">
        <f>IF(U1434="","",IF(ABS(Q1434-U1434)&gt;V$1,"error",""))</f>
        <v/>
      </c>
    </row>
    <row r="1435" spans="1:22" x14ac:dyDescent="0.55000000000000004">
      <c r="A1435">
        <v>1034.8000999999999</v>
      </c>
      <c r="B1435" s="1">
        <v>9.6799999999999994E-3</v>
      </c>
      <c r="C1435" s="1">
        <v>9.6799999999999994E-3</v>
      </c>
      <c r="D1435" s="2" t="s">
        <v>0</v>
      </c>
      <c r="E1435">
        <v>1</v>
      </c>
      <c r="F1435" s="2" t="s">
        <v>2</v>
      </c>
      <c r="G1435">
        <v>2</v>
      </c>
      <c r="H1435">
        <v>12.5</v>
      </c>
      <c r="I1435" s="2" t="s">
        <v>0</v>
      </c>
      <c r="J1435">
        <v>1</v>
      </c>
      <c r="K1435" s="2" t="s">
        <v>2</v>
      </c>
      <c r="L1435">
        <v>1</v>
      </c>
      <c r="M1435">
        <v>13.5</v>
      </c>
      <c r="N1435" s="2" t="s">
        <v>451</v>
      </c>
      <c r="O1435" t="str">
        <f>D1435&amp;"-"&amp;E1435&amp;"-"&amp;F1435&amp;"-"&amp;G1435&amp;"-"&amp;H1435</f>
        <v>X-1-e-2-12.5</v>
      </c>
      <c r="P1435" t="str">
        <f>I1435&amp;"-"&amp;J1435&amp;"-"&amp;K1435&amp;"-"&amp;L1435&amp;"-"&amp;M1435</f>
        <v>X-1-e-1-13.5</v>
      </c>
      <c r="Q1435">
        <f>A1435+R1435</f>
        <v>2850.5862749999997</v>
      </c>
      <c r="R1435">
        <f>_xlfn.IFNA(VLOOKUP(P1435,PGOPHER!A$2:G$181,7,FALSE),_xlfn.IFNA(VLOOKUP(P1435,en!A$2:I$768,7,FALSE),-10000))</f>
        <v>1815.786175</v>
      </c>
      <c r="S1435">
        <f>IF(O1435=O1434,Q1434+S1434,Q1435)</f>
        <v>8551.7572020000007</v>
      </c>
      <c r="T1435">
        <f>IF(O1435=O1434,T1434+1,1)</f>
        <v>3</v>
      </c>
      <c r="U1435">
        <f>IF(O1435=O1436,"",S1435/T1435)</f>
        <v>2850.5857340000002</v>
      </c>
      <c r="V1435" t="str">
        <f>IF(U1435="","",IF(ABS(Q1435-U1435)&gt;V$1,"error",""))</f>
        <v/>
      </c>
    </row>
    <row r="1436" spans="1:22" x14ac:dyDescent="0.55000000000000004">
      <c r="A1436">
        <v>1174.2153000000001</v>
      </c>
      <c r="B1436" s="1">
        <v>1.15E-2</v>
      </c>
      <c r="C1436" s="1">
        <v>1.15E-2</v>
      </c>
      <c r="D1436" s="2" t="s">
        <v>0</v>
      </c>
      <c r="E1436">
        <v>1</v>
      </c>
      <c r="F1436" s="2" t="s">
        <v>2</v>
      </c>
      <c r="G1436">
        <v>3</v>
      </c>
      <c r="H1436">
        <v>12.5</v>
      </c>
      <c r="I1436" s="2" t="s">
        <v>0</v>
      </c>
      <c r="J1436">
        <v>1</v>
      </c>
      <c r="K1436" s="2" t="s">
        <v>2</v>
      </c>
      <c r="L1436">
        <v>2</v>
      </c>
      <c r="M1436">
        <v>11.5</v>
      </c>
      <c r="N1436" s="2" t="s">
        <v>574</v>
      </c>
      <c r="O1436" t="str">
        <f>D1436&amp;"-"&amp;E1436&amp;"-"&amp;F1436&amp;"-"&amp;G1436&amp;"-"&amp;H1436</f>
        <v>X-1-e-3-12.5</v>
      </c>
      <c r="P1436" t="str">
        <f>I1436&amp;"-"&amp;J1436&amp;"-"&amp;K1436&amp;"-"&amp;L1436&amp;"-"&amp;M1436</f>
        <v>X-1-e-2-11.5</v>
      </c>
      <c r="Q1436">
        <f>A1436+R1436</f>
        <v>3942.3321500000002</v>
      </c>
      <c r="R1436">
        <f>_xlfn.IFNA(VLOOKUP(P1436,PGOPHER!A$2:G$181,7,FALSE),_xlfn.IFNA(VLOOKUP(P1436,en!A$2:I$768,7,FALSE),-10000))</f>
        <v>2768.1168499999999</v>
      </c>
      <c r="S1436">
        <f>IF(O1436=O1435,Q1435+S1435,Q1436)</f>
        <v>3942.3321500000002</v>
      </c>
      <c r="T1436">
        <f>IF(O1436=O1435,T1435+1,1)</f>
        <v>1</v>
      </c>
      <c r="U1436" t="str">
        <f>IF(O1436=O1437,"",S1436/T1436)</f>
        <v/>
      </c>
      <c r="V1436" t="str">
        <f>IF(U1436="","",IF(ABS(Q1436-U1436)&gt;V$1,"error",""))</f>
        <v/>
      </c>
    </row>
    <row r="1437" spans="1:22" x14ac:dyDescent="0.55000000000000004">
      <c r="A1437">
        <v>1174.2157</v>
      </c>
      <c r="B1437" s="1">
        <v>1.2E-2</v>
      </c>
      <c r="C1437" s="1">
        <v>1.2E-2</v>
      </c>
      <c r="D1437" s="2" t="s">
        <v>0</v>
      </c>
      <c r="E1437">
        <v>1</v>
      </c>
      <c r="F1437" s="2" t="s">
        <v>2</v>
      </c>
      <c r="G1437">
        <v>3</v>
      </c>
      <c r="H1437">
        <v>12.5</v>
      </c>
      <c r="I1437" s="2" t="s">
        <v>0</v>
      </c>
      <c r="J1437">
        <v>1</v>
      </c>
      <c r="K1437" s="2" t="s">
        <v>2</v>
      </c>
      <c r="L1437">
        <v>2</v>
      </c>
      <c r="M1437">
        <v>11.5</v>
      </c>
      <c r="N1437" s="2" t="s">
        <v>573</v>
      </c>
      <c r="O1437" t="str">
        <f>D1437&amp;"-"&amp;E1437&amp;"-"&amp;F1437&amp;"-"&amp;G1437&amp;"-"&amp;H1437</f>
        <v>X-1-e-3-12.5</v>
      </c>
      <c r="P1437" t="str">
        <f>I1437&amp;"-"&amp;J1437&amp;"-"&amp;K1437&amp;"-"&amp;L1437&amp;"-"&amp;M1437</f>
        <v>X-1-e-2-11.5</v>
      </c>
      <c r="Q1437">
        <f>A1437+R1437</f>
        <v>3942.3325500000001</v>
      </c>
      <c r="R1437">
        <f>_xlfn.IFNA(VLOOKUP(P1437,PGOPHER!A$2:G$181,7,FALSE),_xlfn.IFNA(VLOOKUP(P1437,en!A$2:I$768,7,FALSE),-10000))</f>
        <v>2768.1168499999999</v>
      </c>
      <c r="S1437">
        <f>IF(O1437=O1436,Q1436+S1436,Q1437)</f>
        <v>7884.6643000000004</v>
      </c>
      <c r="T1437">
        <f>IF(O1437=O1436,T1436+1,1)</f>
        <v>2</v>
      </c>
      <c r="U1437" t="str">
        <f>IF(O1437=O1438,"",S1437/T1437)</f>
        <v/>
      </c>
      <c r="V1437" t="str">
        <f>IF(U1437="","",IF(ABS(Q1437-U1437)&gt;V$1,"error",""))</f>
        <v/>
      </c>
    </row>
    <row r="1438" spans="1:22" x14ac:dyDescent="0.55000000000000004">
      <c r="A1438">
        <v>1002.5837</v>
      </c>
      <c r="B1438" s="1">
        <v>3.9699999999999999E-2</v>
      </c>
      <c r="C1438" s="1">
        <v>3.9699999999999999E-2</v>
      </c>
      <c r="D1438" s="2" t="s">
        <v>0</v>
      </c>
      <c r="E1438">
        <v>1</v>
      </c>
      <c r="F1438" s="2" t="s">
        <v>2</v>
      </c>
      <c r="G1438">
        <v>3</v>
      </c>
      <c r="H1438">
        <v>12.5</v>
      </c>
      <c r="I1438" s="2" t="s">
        <v>0</v>
      </c>
      <c r="J1438">
        <v>1</v>
      </c>
      <c r="K1438" s="2" t="s">
        <v>2</v>
      </c>
      <c r="L1438">
        <v>2</v>
      </c>
      <c r="M1438">
        <v>13.5</v>
      </c>
      <c r="N1438" s="2" t="s">
        <v>577</v>
      </c>
      <c r="O1438" t="str">
        <f>D1438&amp;"-"&amp;E1438&amp;"-"&amp;F1438&amp;"-"&amp;G1438&amp;"-"&amp;H1438</f>
        <v>X-1-e-3-12.5</v>
      </c>
      <c r="P1438" t="str">
        <f>I1438&amp;"-"&amp;J1438&amp;"-"&amp;K1438&amp;"-"&amp;L1438&amp;"-"&amp;M1438</f>
        <v>X-1-e-2-13.5</v>
      </c>
      <c r="Q1438">
        <f>A1438+R1438</f>
        <v>3942.3331800000001</v>
      </c>
      <c r="R1438">
        <f>_xlfn.IFNA(VLOOKUP(P1438,PGOPHER!A$2:G$181,7,FALSE),_xlfn.IFNA(VLOOKUP(P1438,en!A$2:I$768,7,FALSE),-10000))</f>
        <v>2939.7494799999999</v>
      </c>
      <c r="S1438">
        <f>IF(O1438=O1437,Q1437+S1437,Q1438)</f>
        <v>11826.99685</v>
      </c>
      <c r="T1438">
        <f>IF(O1438=O1437,T1437+1,1)</f>
        <v>3</v>
      </c>
      <c r="U1438">
        <f>IF(O1438=O1439,"",S1438/T1438)</f>
        <v>3942.3322833333332</v>
      </c>
      <c r="V1438" t="str">
        <f>IF(U1438="","",IF(ABS(Q1438-U1438)&gt;V$1,"error",""))</f>
        <v/>
      </c>
    </row>
    <row r="1439" spans="1:22" x14ac:dyDescent="0.55000000000000004">
      <c r="A1439">
        <v>1137.6753000000001</v>
      </c>
      <c r="B1439" s="1">
        <v>7.4000000000000003E-3</v>
      </c>
      <c r="C1439" s="1">
        <v>7.4000000000000003E-3</v>
      </c>
      <c r="D1439" s="2" t="s">
        <v>0</v>
      </c>
      <c r="E1439">
        <v>1</v>
      </c>
      <c r="F1439" s="2" t="s">
        <v>2</v>
      </c>
      <c r="G1439">
        <v>4</v>
      </c>
      <c r="H1439">
        <v>12.5</v>
      </c>
      <c r="I1439" s="2" t="s">
        <v>0</v>
      </c>
      <c r="J1439">
        <v>1</v>
      </c>
      <c r="K1439" s="2" t="s">
        <v>2</v>
      </c>
      <c r="L1439">
        <v>3</v>
      </c>
      <c r="M1439">
        <v>11.5</v>
      </c>
      <c r="N1439" s="2" t="s">
        <v>651</v>
      </c>
      <c r="O1439" t="str">
        <f>D1439&amp;"-"&amp;E1439&amp;"-"&amp;F1439&amp;"-"&amp;G1439&amp;"-"&amp;H1439</f>
        <v>X-1-e-4-12.5</v>
      </c>
      <c r="P1439" t="str">
        <f>I1439&amp;"-"&amp;J1439&amp;"-"&amp;K1439&amp;"-"&amp;L1439&amp;"-"&amp;M1439</f>
        <v>X-1-e-3-11.5</v>
      </c>
      <c r="Q1439">
        <f>A1439+R1439</f>
        <v>4999.4865070000005</v>
      </c>
      <c r="R1439">
        <f>_xlfn.IFNA(VLOOKUP(P1439,PGOPHER!A$2:G$181,7,FALSE),_xlfn.IFNA(VLOOKUP(P1439,en!A$2:I$768,7,FALSE),-10000))</f>
        <v>3861.8112070000002</v>
      </c>
      <c r="S1439">
        <f>IF(O1439=O1438,Q1438+S1438,Q1439)</f>
        <v>4999.4865070000005</v>
      </c>
      <c r="T1439">
        <f>IF(O1439=O1438,T1438+1,1)</f>
        <v>1</v>
      </c>
      <c r="U1439" t="str">
        <f>IF(O1439=O1440,"",S1439/T1439)</f>
        <v/>
      </c>
      <c r="V1439" t="str">
        <f>IF(U1439="","",IF(ABS(Q1439-U1439)&gt;V$1,"error",""))</f>
        <v/>
      </c>
    </row>
    <row r="1440" spans="1:22" x14ac:dyDescent="0.55000000000000004">
      <c r="A1440">
        <v>970.10609999999997</v>
      </c>
      <c r="B1440" s="1">
        <v>7.4000000000000003E-3</v>
      </c>
      <c r="C1440" s="1">
        <v>7.4000000000000003E-3</v>
      </c>
      <c r="D1440" s="2" t="s">
        <v>0</v>
      </c>
      <c r="E1440">
        <v>1</v>
      </c>
      <c r="F1440" s="2" t="s">
        <v>2</v>
      </c>
      <c r="G1440">
        <v>4</v>
      </c>
      <c r="H1440">
        <v>12.5</v>
      </c>
      <c r="I1440" s="2" t="s">
        <v>0</v>
      </c>
      <c r="J1440">
        <v>1</v>
      </c>
      <c r="K1440" s="2" t="s">
        <v>2</v>
      </c>
      <c r="L1440">
        <v>3</v>
      </c>
      <c r="M1440">
        <v>13.5</v>
      </c>
      <c r="N1440" s="2" t="s">
        <v>653</v>
      </c>
      <c r="O1440" t="str">
        <f>D1440&amp;"-"&amp;E1440&amp;"-"&amp;F1440&amp;"-"&amp;G1440&amp;"-"&amp;H1440</f>
        <v>X-1-e-4-12.5</v>
      </c>
      <c r="P1440" t="str">
        <f>I1440&amp;"-"&amp;J1440&amp;"-"&amp;K1440&amp;"-"&amp;L1440&amp;"-"&amp;M1440</f>
        <v>X-1-e-3-13.5</v>
      </c>
      <c r="Q1440">
        <f>A1440+R1440</f>
        <v>4999.4901069999996</v>
      </c>
      <c r="R1440">
        <f>_xlfn.IFNA(VLOOKUP(P1440,PGOPHER!A$2:G$181,7,FALSE),_xlfn.IFNA(VLOOKUP(P1440,en!A$2:I$768,7,FALSE),-10000))</f>
        <v>4029.3840070000001</v>
      </c>
      <c r="S1440">
        <f>IF(O1440=O1439,Q1439+S1439,Q1440)</f>
        <v>9998.9730140000011</v>
      </c>
      <c r="T1440">
        <f>IF(O1440=O1439,T1439+1,1)</f>
        <v>2</v>
      </c>
      <c r="U1440">
        <f>IF(O1440=O1441,"",S1440/T1440)</f>
        <v>4999.4865070000005</v>
      </c>
      <c r="V1440" t="str">
        <f>IF(U1440="","",IF(ABS(Q1440-U1440)&gt;V$1,"error",""))</f>
        <v/>
      </c>
    </row>
    <row r="1441" spans="1:22" x14ac:dyDescent="0.55000000000000004">
      <c r="A1441">
        <v>1058.02908</v>
      </c>
      <c r="B1441" s="1">
        <v>1E-3</v>
      </c>
      <c r="C1441" s="1">
        <v>1E-3</v>
      </c>
      <c r="D1441" s="2" t="s">
        <v>0</v>
      </c>
      <c r="E1441">
        <v>2</v>
      </c>
      <c r="F1441" s="2" t="s">
        <v>1</v>
      </c>
      <c r="G1441">
        <v>1</v>
      </c>
      <c r="H1441">
        <v>12.5</v>
      </c>
      <c r="I1441" s="2" t="s">
        <v>0</v>
      </c>
      <c r="J1441">
        <v>2</v>
      </c>
      <c r="K1441" s="2" t="s">
        <v>1</v>
      </c>
      <c r="L1441">
        <v>0</v>
      </c>
      <c r="M1441">
        <v>13.5</v>
      </c>
      <c r="N1441" s="2" t="s">
        <v>200</v>
      </c>
      <c r="O1441" t="str">
        <f>D1441&amp;"-"&amp;E1441&amp;"-"&amp;F1441&amp;"-"&amp;G1441&amp;"-"&amp;H1441</f>
        <v>X-2-f-1-12.5</v>
      </c>
      <c r="P1441" t="str">
        <f>I1441&amp;"-"&amp;J1441&amp;"-"&amp;K1441&amp;"-"&amp;L1441&amp;"-"&amp;M1441</f>
        <v>X-2-f-0-13.5</v>
      </c>
      <c r="Q1441">
        <f>A1441+R1441</f>
        <v>1814.1969490000001</v>
      </c>
      <c r="R1441">
        <f>_xlfn.IFNA(VLOOKUP(P1441,PGOPHER!A$2:G$181,7,FALSE),_xlfn.IFNA(VLOOKUP(P1441,en!A$2:I$768,7,FALSE),-10000))</f>
        <v>756.167869</v>
      </c>
      <c r="S1441">
        <f>IF(O1441=O1440,Q1440+S1440,Q1441)</f>
        <v>1814.1969490000001</v>
      </c>
      <c r="T1441">
        <f>IF(O1441=O1440,T1440+1,1)</f>
        <v>1</v>
      </c>
      <c r="U1441" t="str">
        <f>IF(O1441=O1442,"",S1441/T1441)</f>
        <v/>
      </c>
      <c r="V1441" t="str">
        <f>IF(U1441="","",IF(ABS(Q1441-U1441)&gt;V$1,"error",""))</f>
        <v/>
      </c>
    </row>
    <row r="1442" spans="1:22" x14ac:dyDescent="0.55000000000000004">
      <c r="A1442">
        <v>1251.45913</v>
      </c>
      <c r="B1442" s="1">
        <v>1.1919999999999999E-3</v>
      </c>
      <c r="C1442" s="1">
        <v>1.1919999999999999E-3</v>
      </c>
      <c r="D1442" s="2" t="s">
        <v>0</v>
      </c>
      <c r="E1442">
        <v>2</v>
      </c>
      <c r="F1442" s="2" t="s">
        <v>1</v>
      </c>
      <c r="G1442">
        <v>1</v>
      </c>
      <c r="H1442">
        <v>12.5</v>
      </c>
      <c r="I1442" s="2" t="s">
        <v>0</v>
      </c>
      <c r="J1442">
        <v>2</v>
      </c>
      <c r="K1442" s="2" t="s">
        <v>1</v>
      </c>
      <c r="L1442">
        <v>0</v>
      </c>
      <c r="M1442">
        <v>11.5</v>
      </c>
      <c r="N1442" s="2" t="s">
        <v>204</v>
      </c>
      <c r="O1442" t="str">
        <f>D1442&amp;"-"&amp;E1442&amp;"-"&amp;F1442&amp;"-"&amp;G1442&amp;"-"&amp;H1442</f>
        <v>X-2-f-1-12.5</v>
      </c>
      <c r="P1442" t="str">
        <f>I1442&amp;"-"&amp;J1442&amp;"-"&amp;K1442&amp;"-"&amp;L1442&amp;"-"&amp;M1442</f>
        <v>X-2-f-0-11.5</v>
      </c>
      <c r="Q1442">
        <f>A1442+R1442</f>
        <v>1814.1969960000001</v>
      </c>
      <c r="R1442">
        <f>_xlfn.IFNA(VLOOKUP(P1442,PGOPHER!A$2:G$181,7,FALSE),_xlfn.IFNA(VLOOKUP(P1442,en!A$2:I$768,7,FALSE),-10000))</f>
        <v>562.73786600000005</v>
      </c>
      <c r="S1442">
        <f>IF(O1442=O1441,Q1441+S1441,Q1442)</f>
        <v>3628.3938980000003</v>
      </c>
      <c r="T1442">
        <f>IF(O1442=O1441,T1441+1,1)</f>
        <v>2</v>
      </c>
      <c r="U1442" t="str">
        <f>IF(O1442=O1443,"",S1442/T1442)</f>
        <v/>
      </c>
      <c r="V1442" t="str">
        <f>IF(U1442="","",IF(ABS(Q1442-U1442)&gt;V$1,"error",""))</f>
        <v/>
      </c>
    </row>
    <row r="1443" spans="1:22" x14ac:dyDescent="0.55000000000000004">
      <c r="A1443">
        <v>1251.4597699999999</v>
      </c>
      <c r="B1443" s="1">
        <v>1E-3</v>
      </c>
      <c r="C1443" s="1">
        <v>1E-3</v>
      </c>
      <c r="D1443" s="2" t="s">
        <v>0</v>
      </c>
      <c r="E1443">
        <v>2</v>
      </c>
      <c r="F1443" s="2" t="s">
        <v>1</v>
      </c>
      <c r="G1443">
        <v>1</v>
      </c>
      <c r="H1443">
        <v>12.5</v>
      </c>
      <c r="I1443" s="2" t="s">
        <v>0</v>
      </c>
      <c r="J1443">
        <v>2</v>
      </c>
      <c r="K1443" s="2" t="s">
        <v>1</v>
      </c>
      <c r="L1443">
        <v>0</v>
      </c>
      <c r="M1443">
        <v>11.5</v>
      </c>
      <c r="N1443" s="2" t="s">
        <v>201</v>
      </c>
      <c r="O1443" t="str">
        <f>D1443&amp;"-"&amp;E1443&amp;"-"&amp;F1443&amp;"-"&amp;G1443&amp;"-"&amp;H1443</f>
        <v>X-2-f-1-12.5</v>
      </c>
      <c r="P1443" t="str">
        <f>I1443&amp;"-"&amp;J1443&amp;"-"&amp;K1443&amp;"-"&amp;L1443&amp;"-"&amp;M1443</f>
        <v>X-2-f-0-11.5</v>
      </c>
      <c r="Q1443">
        <f>A1443+R1443</f>
        <v>1814.1976359999999</v>
      </c>
      <c r="R1443">
        <f>_xlfn.IFNA(VLOOKUP(P1443,PGOPHER!A$2:G$181,7,FALSE),_xlfn.IFNA(VLOOKUP(P1443,en!A$2:I$768,7,FALSE),-10000))</f>
        <v>562.73786600000005</v>
      </c>
      <c r="S1443">
        <f>IF(O1443=O1442,Q1442+S1442,Q1443)</f>
        <v>5442.5908940000008</v>
      </c>
      <c r="T1443">
        <f>IF(O1443=O1442,T1442+1,1)</f>
        <v>3</v>
      </c>
      <c r="U1443" t="str">
        <f>IF(O1443=O1444,"",S1443/T1443)</f>
        <v/>
      </c>
      <c r="V1443" t="str">
        <f>IF(U1443="","",IF(ABS(Q1443-U1443)&gt;V$1,"error",""))</f>
        <v/>
      </c>
    </row>
    <row r="1444" spans="1:22" x14ac:dyDescent="0.55000000000000004">
      <c r="A1444">
        <v>1058.0305000000001</v>
      </c>
      <c r="B1444" s="1">
        <v>5.9800000000000001E-3</v>
      </c>
      <c r="C1444" s="1">
        <v>5.9800000000000001E-3</v>
      </c>
      <c r="D1444" s="2" t="s">
        <v>0</v>
      </c>
      <c r="E1444">
        <v>2</v>
      </c>
      <c r="F1444" s="2" t="s">
        <v>1</v>
      </c>
      <c r="G1444">
        <v>1</v>
      </c>
      <c r="H1444">
        <v>12.5</v>
      </c>
      <c r="I1444" s="2" t="s">
        <v>0</v>
      </c>
      <c r="J1444">
        <v>2</v>
      </c>
      <c r="K1444" s="2" t="s">
        <v>1</v>
      </c>
      <c r="L1444">
        <v>0</v>
      </c>
      <c r="M1444">
        <v>13.5</v>
      </c>
      <c r="N1444" s="2" t="s">
        <v>197</v>
      </c>
      <c r="O1444" t="str">
        <f>D1444&amp;"-"&amp;E1444&amp;"-"&amp;F1444&amp;"-"&amp;G1444&amp;"-"&amp;H1444</f>
        <v>X-2-f-1-12.5</v>
      </c>
      <c r="P1444" t="str">
        <f>I1444&amp;"-"&amp;J1444&amp;"-"&amp;K1444&amp;"-"&amp;L1444&amp;"-"&amp;M1444</f>
        <v>X-2-f-0-13.5</v>
      </c>
      <c r="Q1444">
        <f>A1444+R1444</f>
        <v>1814.1983690000002</v>
      </c>
      <c r="R1444">
        <f>_xlfn.IFNA(VLOOKUP(P1444,PGOPHER!A$2:G$181,7,FALSE),_xlfn.IFNA(VLOOKUP(P1444,en!A$2:I$768,7,FALSE),-10000))</f>
        <v>756.167869</v>
      </c>
      <c r="S1444">
        <f>IF(O1444=O1443,Q1443+S1443,Q1444)</f>
        <v>7256.7885300000007</v>
      </c>
      <c r="T1444">
        <f>IF(O1444=O1443,T1443+1,1)</f>
        <v>4</v>
      </c>
      <c r="U1444" t="str">
        <f>IF(O1444=O1445,"",S1444/T1444)</f>
        <v/>
      </c>
      <c r="V1444" t="str">
        <f>IF(U1444="","",IF(ABS(Q1444-U1444)&gt;V$1,"error",""))</f>
        <v/>
      </c>
    </row>
    <row r="1445" spans="1:22" x14ac:dyDescent="0.55000000000000004">
      <c r="A1445">
        <v>1251.4591</v>
      </c>
      <c r="B1445" s="1">
        <v>8.4899999999999993E-3</v>
      </c>
      <c r="C1445" s="1">
        <v>8.4899999999999993E-3</v>
      </c>
      <c r="D1445" s="2" t="s">
        <v>0</v>
      </c>
      <c r="E1445">
        <v>2</v>
      </c>
      <c r="F1445" s="2" t="s">
        <v>1</v>
      </c>
      <c r="G1445">
        <v>1</v>
      </c>
      <c r="H1445">
        <v>12.5</v>
      </c>
      <c r="I1445" s="2" t="s">
        <v>0</v>
      </c>
      <c r="J1445">
        <v>2</v>
      </c>
      <c r="K1445" s="2" t="s">
        <v>1</v>
      </c>
      <c r="L1445">
        <v>0</v>
      </c>
      <c r="M1445">
        <v>11.5</v>
      </c>
      <c r="N1445" s="2" t="s">
        <v>195</v>
      </c>
      <c r="O1445" t="str">
        <f>D1445&amp;"-"&amp;E1445&amp;"-"&amp;F1445&amp;"-"&amp;G1445&amp;"-"&amp;H1445</f>
        <v>X-2-f-1-12.5</v>
      </c>
      <c r="P1445" t="str">
        <f>I1445&amp;"-"&amp;J1445&amp;"-"&amp;K1445&amp;"-"&amp;L1445&amp;"-"&amp;M1445</f>
        <v>X-2-f-0-11.5</v>
      </c>
      <c r="Q1445">
        <f>A1445+R1445</f>
        <v>1814.196966</v>
      </c>
      <c r="R1445">
        <f>_xlfn.IFNA(VLOOKUP(P1445,PGOPHER!A$2:G$181,7,FALSE),_xlfn.IFNA(VLOOKUP(P1445,en!A$2:I$768,7,FALSE),-10000))</f>
        <v>562.73786600000005</v>
      </c>
      <c r="S1445">
        <f>IF(O1445=O1444,Q1444+S1444,Q1445)</f>
        <v>9070.9868990000014</v>
      </c>
      <c r="T1445">
        <f>IF(O1445=O1444,T1444+1,1)</f>
        <v>5</v>
      </c>
      <c r="U1445" t="str">
        <f>IF(O1445=O1446,"",S1445/T1445)</f>
        <v/>
      </c>
      <c r="V1445" t="str">
        <f>IF(U1445="","",IF(ABS(Q1445-U1445)&gt;V$1,"error",""))</f>
        <v/>
      </c>
    </row>
    <row r="1446" spans="1:22" x14ac:dyDescent="0.55000000000000004">
      <c r="A1446">
        <v>1058.0304799999999</v>
      </c>
      <c r="B1446" s="1">
        <v>1.495E-3</v>
      </c>
      <c r="C1446" s="1">
        <v>1.495E-3</v>
      </c>
      <c r="D1446" s="2" t="s">
        <v>0</v>
      </c>
      <c r="E1446">
        <v>2</v>
      </c>
      <c r="F1446" s="2" t="s">
        <v>1</v>
      </c>
      <c r="G1446">
        <v>1</v>
      </c>
      <c r="H1446">
        <v>12.5</v>
      </c>
      <c r="I1446" s="2" t="s">
        <v>0</v>
      </c>
      <c r="J1446">
        <v>2</v>
      </c>
      <c r="K1446" s="2" t="s">
        <v>1</v>
      </c>
      <c r="L1446">
        <v>0</v>
      </c>
      <c r="M1446">
        <v>13.5</v>
      </c>
      <c r="N1446" s="2" t="s">
        <v>205</v>
      </c>
      <c r="O1446" t="str">
        <f>D1446&amp;"-"&amp;E1446&amp;"-"&amp;F1446&amp;"-"&amp;G1446&amp;"-"&amp;H1446</f>
        <v>X-2-f-1-12.5</v>
      </c>
      <c r="P1446" t="str">
        <f>I1446&amp;"-"&amp;J1446&amp;"-"&amp;K1446&amp;"-"&amp;L1446&amp;"-"&amp;M1446</f>
        <v>X-2-f-0-13.5</v>
      </c>
      <c r="Q1446">
        <f>A1446+R1446</f>
        <v>1814.1983489999998</v>
      </c>
      <c r="R1446">
        <f>_xlfn.IFNA(VLOOKUP(P1446,PGOPHER!A$2:G$181,7,FALSE),_xlfn.IFNA(VLOOKUP(P1446,en!A$2:I$768,7,FALSE),-10000))</f>
        <v>756.167869</v>
      </c>
      <c r="S1446">
        <f>IF(O1446=O1445,Q1445+S1445,Q1446)</f>
        <v>10885.183865000001</v>
      </c>
      <c r="T1446">
        <f>IF(O1446=O1445,T1445+1,1)</f>
        <v>6</v>
      </c>
      <c r="U1446">
        <f>IF(O1446=O1447,"",S1446/T1446)</f>
        <v>1814.1973108333334</v>
      </c>
      <c r="V1446" t="str">
        <f>IF(U1446="","",IF(ABS(Q1446-U1446)&gt;V$1,"error",""))</f>
        <v/>
      </c>
    </row>
    <row r="1447" spans="1:22" x14ac:dyDescent="0.55000000000000004">
      <c r="A1447">
        <v>1026.0586000000001</v>
      </c>
      <c r="B1447" s="1">
        <v>1.8599999999999998E-2</v>
      </c>
      <c r="C1447" s="1">
        <v>1.8599999999999998E-2</v>
      </c>
      <c r="D1447" s="2" t="s">
        <v>0</v>
      </c>
      <c r="E1447">
        <v>2</v>
      </c>
      <c r="F1447" s="2" t="s">
        <v>1</v>
      </c>
      <c r="G1447">
        <v>2</v>
      </c>
      <c r="H1447">
        <v>12.5</v>
      </c>
      <c r="I1447" s="2" t="s">
        <v>0</v>
      </c>
      <c r="J1447">
        <v>2</v>
      </c>
      <c r="K1447" s="2" t="s">
        <v>1</v>
      </c>
      <c r="L1447">
        <v>1</v>
      </c>
      <c r="M1447">
        <v>13.5</v>
      </c>
      <c r="N1447" s="2" t="s">
        <v>452</v>
      </c>
      <c r="O1447" t="str">
        <f>D1447&amp;"-"&amp;E1447&amp;"-"&amp;F1447&amp;"-"&amp;G1447&amp;"-"&amp;H1447</f>
        <v>X-2-f-2-12.5</v>
      </c>
      <c r="P1447" t="str">
        <f>I1447&amp;"-"&amp;J1447&amp;"-"&amp;K1447&amp;"-"&amp;L1447&amp;"-"&amp;M1447</f>
        <v>X-2-f-1-13.5</v>
      </c>
      <c r="Q1447">
        <f>A1447+R1447</f>
        <v>2938.2172879999998</v>
      </c>
      <c r="R1447">
        <f>_xlfn.IFNA(VLOOKUP(P1447,PGOPHER!A$2:G$181,7,FALSE),_xlfn.IFNA(VLOOKUP(P1447,en!A$2:I$768,7,FALSE),-10000))</f>
        <v>1912.158688</v>
      </c>
      <c r="S1447">
        <f>IF(O1447=O1446,Q1446+S1446,Q1447)</f>
        <v>2938.2172879999998</v>
      </c>
      <c r="T1447">
        <f>IF(O1447=O1446,T1446+1,1)</f>
        <v>1</v>
      </c>
      <c r="U1447" t="str">
        <f>IF(O1447=O1448,"",S1447/T1447)</f>
        <v/>
      </c>
      <c r="V1447" t="str">
        <f>IF(U1447="","",IF(ABS(Q1447-U1447)&gt;V$1,"error",""))</f>
        <v/>
      </c>
    </row>
    <row r="1448" spans="1:22" x14ac:dyDescent="0.55000000000000004">
      <c r="A1448">
        <v>1215.1615999999999</v>
      </c>
      <c r="B1448" s="1">
        <v>2.18E-2</v>
      </c>
      <c r="C1448" s="1">
        <v>2.18E-2</v>
      </c>
      <c r="D1448" s="2" t="s">
        <v>0</v>
      </c>
      <c r="E1448">
        <v>2</v>
      </c>
      <c r="F1448" s="2" t="s">
        <v>1</v>
      </c>
      <c r="G1448">
        <v>2</v>
      </c>
      <c r="H1448">
        <v>12.5</v>
      </c>
      <c r="I1448" s="2" t="s">
        <v>0</v>
      </c>
      <c r="J1448">
        <v>2</v>
      </c>
      <c r="K1448" s="2" t="s">
        <v>1</v>
      </c>
      <c r="L1448">
        <v>1</v>
      </c>
      <c r="M1448">
        <v>11.5</v>
      </c>
      <c r="N1448" s="2" t="s">
        <v>450</v>
      </c>
      <c r="O1448" t="str">
        <f>D1448&amp;"-"&amp;E1448&amp;"-"&amp;F1448&amp;"-"&amp;G1448&amp;"-"&amp;H1448</f>
        <v>X-2-f-2-12.5</v>
      </c>
      <c r="P1448" t="str">
        <f>I1448&amp;"-"&amp;J1448&amp;"-"&amp;K1448&amp;"-"&amp;L1448&amp;"-"&amp;M1448</f>
        <v>X-2-f-1-11.5</v>
      </c>
      <c r="Q1448">
        <f>A1448+R1448</f>
        <v>2938.2158909999998</v>
      </c>
      <c r="R1448">
        <f>_xlfn.IFNA(VLOOKUP(P1448,PGOPHER!A$2:G$181,7,FALSE),_xlfn.IFNA(VLOOKUP(P1448,en!A$2:I$768,7,FALSE),-10000))</f>
        <v>1723.0542909999999</v>
      </c>
      <c r="S1448">
        <f>IF(O1448=O1447,Q1447+S1447,Q1448)</f>
        <v>5876.4345759999997</v>
      </c>
      <c r="T1448">
        <f>IF(O1448=O1447,T1447+1,1)</f>
        <v>2</v>
      </c>
      <c r="U1448">
        <f>IF(O1448=O1449,"",S1448/T1448)</f>
        <v>2938.2172879999998</v>
      </c>
      <c r="V1448" t="str">
        <f>IF(U1448="","",IF(ABS(Q1448-U1448)&gt;V$1,"error",""))</f>
        <v/>
      </c>
    </row>
    <row r="1449" spans="1:22" x14ac:dyDescent="0.55000000000000004">
      <c r="A1449">
        <v>993.98410000000001</v>
      </c>
      <c r="B1449" s="1">
        <v>6.8500000000000002E-3</v>
      </c>
      <c r="C1449" s="1">
        <v>6.8500000000000002E-3</v>
      </c>
      <c r="D1449" s="2" t="s">
        <v>0</v>
      </c>
      <c r="E1449">
        <v>2</v>
      </c>
      <c r="F1449" s="2" t="s">
        <v>1</v>
      </c>
      <c r="G1449">
        <v>3</v>
      </c>
      <c r="H1449">
        <v>12.5</v>
      </c>
      <c r="I1449" s="2" t="s">
        <v>0</v>
      </c>
      <c r="J1449">
        <v>2</v>
      </c>
      <c r="K1449" s="2" t="s">
        <v>1</v>
      </c>
      <c r="L1449">
        <v>2</v>
      </c>
      <c r="M1449">
        <v>13.5</v>
      </c>
      <c r="N1449" s="2" t="s">
        <v>576</v>
      </c>
      <c r="O1449" t="str">
        <f>D1449&amp;"-"&amp;E1449&amp;"-"&amp;F1449&amp;"-"&amp;G1449&amp;"-"&amp;H1449</f>
        <v>X-2-f-3-12.5</v>
      </c>
      <c r="P1449" t="str">
        <f>I1449&amp;"-"&amp;J1449&amp;"-"&amp;K1449&amp;"-"&amp;L1449&amp;"-"&amp;M1449</f>
        <v>X-2-f-2-13.5</v>
      </c>
      <c r="Q1449">
        <f>A1449+R1449</f>
        <v>4027.9058050000003</v>
      </c>
      <c r="R1449">
        <f>_xlfn.IFNA(VLOOKUP(P1449,PGOPHER!A$2:G$181,7,FALSE),_xlfn.IFNA(VLOOKUP(P1449,en!A$2:I$768,7,FALSE),-10000))</f>
        <v>3033.9217050000002</v>
      </c>
      <c r="S1449">
        <f>IF(O1449=O1448,Q1448+S1448,Q1449)</f>
        <v>4027.9058050000003</v>
      </c>
      <c r="T1449">
        <f>IF(O1449=O1448,T1448+1,1)</f>
        <v>1</v>
      </c>
      <c r="U1449" t="str">
        <f>IF(O1449=O1450,"",S1449/T1449)</f>
        <v/>
      </c>
      <c r="V1449" t="str">
        <f>IF(U1449="","",IF(ABS(Q1449-U1449)&gt;V$1,"error",""))</f>
        <v/>
      </c>
    </row>
    <row r="1450" spans="1:22" x14ac:dyDescent="0.55000000000000004">
      <c r="A1450">
        <v>1178.7422999999999</v>
      </c>
      <c r="B1450" s="1">
        <v>7.7600000000000004E-3</v>
      </c>
      <c r="C1450" s="1">
        <v>7.7600000000000004E-3</v>
      </c>
      <c r="D1450" s="2" t="s">
        <v>0</v>
      </c>
      <c r="E1450">
        <v>2</v>
      </c>
      <c r="F1450" s="2" t="s">
        <v>1</v>
      </c>
      <c r="G1450">
        <v>3</v>
      </c>
      <c r="H1450">
        <v>12.5</v>
      </c>
      <c r="I1450" s="2" t="s">
        <v>0</v>
      </c>
      <c r="J1450">
        <v>2</v>
      </c>
      <c r="K1450" s="2" t="s">
        <v>1</v>
      </c>
      <c r="L1450">
        <v>2</v>
      </c>
      <c r="M1450">
        <v>11.5</v>
      </c>
      <c r="N1450" s="2" t="s">
        <v>575</v>
      </c>
      <c r="O1450" t="str">
        <f>D1450&amp;"-"&amp;E1450&amp;"-"&amp;F1450&amp;"-"&amp;G1450&amp;"-"&amp;H1450</f>
        <v>X-2-f-3-12.5</v>
      </c>
      <c r="P1450" t="str">
        <f>I1450&amp;"-"&amp;J1450&amp;"-"&amp;K1450&amp;"-"&amp;L1450&amp;"-"&amp;M1450</f>
        <v>X-2-f-2-11.5</v>
      </c>
      <c r="Q1450">
        <f>A1450+R1450</f>
        <v>4027.90364</v>
      </c>
      <c r="R1450">
        <f>_xlfn.IFNA(VLOOKUP(P1450,PGOPHER!A$2:G$181,7,FALSE),_xlfn.IFNA(VLOOKUP(P1450,en!A$2:I$768,7,FALSE),-10000))</f>
        <v>2849.1613400000001</v>
      </c>
      <c r="S1450">
        <f>IF(O1450=O1449,Q1449+S1449,Q1450)</f>
        <v>8055.8116100000007</v>
      </c>
      <c r="T1450">
        <f>IF(O1450=O1449,T1449+1,1)</f>
        <v>2</v>
      </c>
      <c r="U1450">
        <f>IF(O1450=O1451,"",S1450/T1450)</f>
        <v>4027.9058050000003</v>
      </c>
      <c r="V1450" t="str">
        <f>IF(U1450="","",IF(ABS(Q1450-U1450)&gt;V$1,"error",""))</f>
        <v/>
      </c>
    </row>
    <row r="1451" spans="1:22" x14ac:dyDescent="0.55000000000000004">
      <c r="A1451">
        <v>1142.0232000000001</v>
      </c>
      <c r="B1451" s="1">
        <v>2.01E-2</v>
      </c>
      <c r="C1451" s="1">
        <v>2.01E-2</v>
      </c>
      <c r="D1451" s="2" t="s">
        <v>0</v>
      </c>
      <c r="E1451">
        <v>2</v>
      </c>
      <c r="F1451" s="2" t="s">
        <v>1</v>
      </c>
      <c r="G1451">
        <v>4</v>
      </c>
      <c r="H1451">
        <v>12.5</v>
      </c>
      <c r="I1451" s="2" t="s">
        <v>0</v>
      </c>
      <c r="J1451">
        <v>2</v>
      </c>
      <c r="K1451" s="2" t="s">
        <v>1</v>
      </c>
      <c r="L1451">
        <v>3</v>
      </c>
      <c r="M1451">
        <v>11.5</v>
      </c>
      <c r="N1451" s="2" t="s">
        <v>652</v>
      </c>
      <c r="O1451" t="str">
        <f>D1451&amp;"-"&amp;E1451&amp;"-"&amp;F1451&amp;"-"&amp;G1451&amp;"-"&amp;H1451</f>
        <v>X-2-f-4-12.5</v>
      </c>
      <c r="P1451" t="str">
        <f>I1451&amp;"-"&amp;J1451&amp;"-"&amp;K1451&amp;"-"&amp;L1451&amp;"-"&amp;M1451</f>
        <v>X-2-f-3-11.5</v>
      </c>
      <c r="Q1451">
        <f>A1451+R1451</f>
        <v>5082.9830270000002</v>
      </c>
      <c r="R1451">
        <f>_xlfn.IFNA(VLOOKUP(P1451,PGOPHER!A$2:G$181,7,FALSE),_xlfn.IFNA(VLOOKUP(P1451,en!A$2:I$768,7,FALSE),-10000))</f>
        <v>3940.9598270000001</v>
      </c>
      <c r="S1451">
        <f>IF(O1451=O1450,Q1450+S1450,Q1451)</f>
        <v>5082.9830270000002</v>
      </c>
      <c r="T1451">
        <f>IF(O1451=O1450,T1450+1,1)</f>
        <v>1</v>
      </c>
      <c r="U1451" t="str">
        <f>IF(O1451=O1452,"",S1451/T1451)</f>
        <v/>
      </c>
      <c r="V1451" t="str">
        <f>IF(U1451="","",IF(ABS(Q1451-U1451)&gt;V$1,"error",""))</f>
        <v/>
      </c>
    </row>
    <row r="1452" spans="1:22" x14ac:dyDescent="0.55000000000000004">
      <c r="A1452">
        <v>961.6404</v>
      </c>
      <c r="B1452" s="1">
        <v>2.01E-2</v>
      </c>
      <c r="C1452" s="1">
        <v>2.01E-2</v>
      </c>
      <c r="D1452" s="2" t="s">
        <v>0</v>
      </c>
      <c r="E1452">
        <v>2</v>
      </c>
      <c r="F1452" s="2" t="s">
        <v>1</v>
      </c>
      <c r="G1452">
        <v>4</v>
      </c>
      <c r="H1452">
        <v>12.5</v>
      </c>
      <c r="I1452" s="2" t="s">
        <v>0</v>
      </c>
      <c r="J1452">
        <v>2</v>
      </c>
      <c r="K1452" s="2" t="s">
        <v>1</v>
      </c>
      <c r="L1452">
        <v>3</v>
      </c>
      <c r="M1452">
        <v>13.5</v>
      </c>
      <c r="N1452" s="2" t="s">
        <v>654</v>
      </c>
      <c r="O1452" t="str">
        <f>D1452&amp;"-"&amp;E1452&amp;"-"&amp;F1452&amp;"-"&amp;G1452&amp;"-"&amp;H1452</f>
        <v>X-2-f-4-12.5</v>
      </c>
      <c r="P1452" t="str">
        <f>I1452&amp;"-"&amp;J1452&amp;"-"&amp;K1452&amp;"-"&amp;L1452&amp;"-"&amp;M1452</f>
        <v>X-2-f-3-13.5</v>
      </c>
      <c r="Q1452">
        <f>A1452+R1452</f>
        <v>5082.9842560000006</v>
      </c>
      <c r="R1452">
        <f>_xlfn.IFNA(VLOOKUP(P1452,PGOPHER!A$2:G$181,7,FALSE),_xlfn.IFNA(VLOOKUP(P1452,en!A$2:I$768,7,FALSE),-10000))</f>
        <v>4121.3438560000004</v>
      </c>
      <c r="S1452">
        <f>IF(O1452=O1451,Q1451+S1451,Q1452)</f>
        <v>10165.966054</v>
      </c>
      <c r="T1452">
        <f>IF(O1452=O1451,T1451+1,1)</f>
        <v>2</v>
      </c>
      <c r="U1452">
        <f>IF(O1452=O1453,"",S1452/T1452)</f>
        <v>5082.9830270000002</v>
      </c>
      <c r="V1452" t="str">
        <f>IF(U1452="","",IF(ABS(Q1452-U1452)&gt;V$1,"error",""))</f>
        <v/>
      </c>
    </row>
    <row r="1453" spans="1:22" x14ac:dyDescent="0.55000000000000004">
      <c r="A1453">
        <v>1057.85499</v>
      </c>
      <c r="B1453" s="1">
        <v>2.0179999999999998E-3</v>
      </c>
      <c r="C1453" s="1">
        <v>2.0179999999999998E-3</v>
      </c>
      <c r="D1453" s="2" t="s">
        <v>0</v>
      </c>
      <c r="E1453">
        <v>1</v>
      </c>
      <c r="F1453" s="2" t="s">
        <v>2</v>
      </c>
      <c r="G1453">
        <v>1</v>
      </c>
      <c r="H1453">
        <v>13.5</v>
      </c>
      <c r="I1453" s="2" t="s">
        <v>0</v>
      </c>
      <c r="J1453">
        <v>1</v>
      </c>
      <c r="K1453" s="2" t="s">
        <v>2</v>
      </c>
      <c r="L1453">
        <v>0</v>
      </c>
      <c r="M1453">
        <v>14.5</v>
      </c>
      <c r="N1453" s="2" t="s">
        <v>211</v>
      </c>
      <c r="O1453" t="str">
        <f>D1453&amp;"-"&amp;E1453&amp;"-"&amp;F1453&amp;"-"&amp;G1453&amp;"-"&amp;H1453</f>
        <v>X-1-e-1-13.5</v>
      </c>
      <c r="P1453" t="str">
        <f>I1453&amp;"-"&amp;J1453&amp;"-"&amp;K1453&amp;"-"&amp;L1453&amp;"-"&amp;M1453</f>
        <v>X-1-e-0-14.5</v>
      </c>
      <c r="Q1453">
        <f>A1453+R1453</f>
        <v>1815.7841960000001</v>
      </c>
      <c r="R1453">
        <f>_xlfn.IFNA(VLOOKUP(P1453,PGOPHER!A$2:G$181,7,FALSE),_xlfn.IFNA(VLOOKUP(P1453,en!A$2:I$768,7,FALSE),-10000))</f>
        <v>757.92920600000002</v>
      </c>
      <c r="S1453">
        <f>IF(O1453=O1452,Q1452+S1452,Q1453)</f>
        <v>1815.7841960000001</v>
      </c>
      <c r="T1453">
        <f>IF(O1453=O1452,T1452+1,1)</f>
        <v>1</v>
      </c>
      <c r="U1453" t="str">
        <f>IF(O1453=O1454,"",S1453/T1453)</f>
        <v/>
      </c>
      <c r="V1453" t="str">
        <f>IF(U1453="","",IF(ABS(Q1453-U1453)&gt;V$1,"error",""))</f>
        <v/>
      </c>
    </row>
    <row r="1454" spans="1:22" x14ac:dyDescent="0.55000000000000004">
      <c r="A1454">
        <v>1251.52196</v>
      </c>
      <c r="B1454" s="1">
        <v>1E-3</v>
      </c>
      <c r="C1454" s="1">
        <v>1E-3</v>
      </c>
      <c r="D1454" s="2" t="s">
        <v>0</v>
      </c>
      <c r="E1454">
        <v>1</v>
      </c>
      <c r="F1454" s="2" t="s">
        <v>2</v>
      </c>
      <c r="G1454">
        <v>1</v>
      </c>
      <c r="H1454">
        <v>13.5</v>
      </c>
      <c r="I1454" s="2" t="s">
        <v>0</v>
      </c>
      <c r="J1454">
        <v>1</v>
      </c>
      <c r="K1454" s="2" t="s">
        <v>2</v>
      </c>
      <c r="L1454">
        <v>0</v>
      </c>
      <c r="M1454">
        <v>12.5</v>
      </c>
      <c r="N1454" s="2" t="s">
        <v>215</v>
      </c>
      <c r="O1454" t="str">
        <f>D1454&amp;"-"&amp;E1454&amp;"-"&amp;F1454&amp;"-"&amp;G1454&amp;"-"&amp;H1454</f>
        <v>X-1-e-1-13.5</v>
      </c>
      <c r="P1454" t="str">
        <f>I1454&amp;"-"&amp;J1454&amp;"-"&amp;K1454&amp;"-"&amp;L1454&amp;"-"&amp;M1454</f>
        <v>X-1-e-0-12.5</v>
      </c>
      <c r="Q1454">
        <f>A1454+R1454</f>
        <v>1815.786368</v>
      </c>
      <c r="R1454">
        <f>_xlfn.IFNA(VLOOKUP(P1454,PGOPHER!A$2:G$181,7,FALSE),_xlfn.IFNA(VLOOKUP(P1454,en!A$2:I$768,7,FALSE),-10000))</f>
        <v>564.264408</v>
      </c>
      <c r="S1454">
        <f>IF(O1454=O1453,Q1453+S1453,Q1454)</f>
        <v>3631.5683920000001</v>
      </c>
      <c r="T1454">
        <f>IF(O1454=O1453,T1453+1,1)</f>
        <v>2</v>
      </c>
      <c r="U1454" t="str">
        <f>IF(O1454=O1455,"",S1454/T1454)</f>
        <v/>
      </c>
      <c r="V1454" t="str">
        <f>IF(U1454="","",IF(ABS(Q1454-U1454)&gt;V$1,"error",""))</f>
        <v/>
      </c>
    </row>
    <row r="1455" spans="1:22" x14ac:dyDescent="0.55000000000000004">
      <c r="A1455">
        <v>1251.52136</v>
      </c>
      <c r="B1455" s="1">
        <v>1E-3</v>
      </c>
      <c r="C1455" s="1">
        <v>1E-3</v>
      </c>
      <c r="D1455" s="2" t="s">
        <v>0</v>
      </c>
      <c r="E1455">
        <v>1</v>
      </c>
      <c r="F1455" s="2" t="s">
        <v>2</v>
      </c>
      <c r="G1455">
        <v>1</v>
      </c>
      <c r="H1455">
        <v>13.5</v>
      </c>
      <c r="I1455" s="2" t="s">
        <v>0</v>
      </c>
      <c r="J1455">
        <v>1</v>
      </c>
      <c r="K1455" s="2" t="s">
        <v>2</v>
      </c>
      <c r="L1455">
        <v>0</v>
      </c>
      <c r="M1455">
        <v>12.5</v>
      </c>
      <c r="N1455" s="2" t="s">
        <v>212</v>
      </c>
      <c r="O1455" t="str">
        <f>D1455&amp;"-"&amp;E1455&amp;"-"&amp;F1455&amp;"-"&amp;G1455&amp;"-"&amp;H1455</f>
        <v>X-1-e-1-13.5</v>
      </c>
      <c r="P1455" t="str">
        <f>I1455&amp;"-"&amp;J1455&amp;"-"&amp;K1455&amp;"-"&amp;L1455&amp;"-"&amp;M1455</f>
        <v>X-1-e-0-12.5</v>
      </c>
      <c r="Q1455">
        <f>A1455+R1455</f>
        <v>1815.785768</v>
      </c>
      <c r="R1455">
        <f>_xlfn.IFNA(VLOOKUP(P1455,PGOPHER!A$2:G$181,7,FALSE),_xlfn.IFNA(VLOOKUP(P1455,en!A$2:I$768,7,FALSE),-10000))</f>
        <v>564.264408</v>
      </c>
      <c r="S1455">
        <f>IF(O1455=O1454,Q1454+S1454,Q1455)</f>
        <v>5447.3547600000002</v>
      </c>
      <c r="T1455">
        <f>IF(O1455=O1454,T1454+1,1)</f>
        <v>3</v>
      </c>
      <c r="U1455" t="str">
        <f>IF(O1455=O1456,"",S1455/T1455)</f>
        <v/>
      </c>
      <c r="V1455" t="str">
        <f>IF(U1455="","",IF(ABS(Q1455-U1455)&gt;V$1,"error",""))</f>
        <v/>
      </c>
    </row>
    <row r="1456" spans="1:22" x14ac:dyDescent="0.55000000000000004">
      <c r="A1456">
        <v>1057.8580999999999</v>
      </c>
      <c r="B1456" s="1">
        <v>7.6E-3</v>
      </c>
      <c r="C1456" s="1">
        <v>7.6E-3</v>
      </c>
      <c r="D1456" s="2" t="s">
        <v>0</v>
      </c>
      <c r="E1456">
        <v>1</v>
      </c>
      <c r="F1456" s="2" t="s">
        <v>2</v>
      </c>
      <c r="G1456">
        <v>1</v>
      </c>
      <c r="H1456">
        <v>13.5</v>
      </c>
      <c r="I1456" s="2" t="s">
        <v>0</v>
      </c>
      <c r="J1456">
        <v>1</v>
      </c>
      <c r="K1456" s="2" t="s">
        <v>2</v>
      </c>
      <c r="L1456">
        <v>0</v>
      </c>
      <c r="M1456">
        <v>14.5</v>
      </c>
      <c r="N1456" s="2" t="s">
        <v>209</v>
      </c>
      <c r="O1456" t="str">
        <f>D1456&amp;"-"&amp;E1456&amp;"-"&amp;F1456&amp;"-"&amp;G1456&amp;"-"&amp;H1456</f>
        <v>X-1-e-1-13.5</v>
      </c>
      <c r="P1456" t="str">
        <f>I1456&amp;"-"&amp;J1456&amp;"-"&amp;K1456&amp;"-"&amp;L1456&amp;"-"&amp;M1456</f>
        <v>X-1-e-0-14.5</v>
      </c>
      <c r="Q1456">
        <f>A1456+R1456</f>
        <v>1815.7873059999999</v>
      </c>
      <c r="R1456">
        <f>_xlfn.IFNA(VLOOKUP(P1456,PGOPHER!A$2:G$181,7,FALSE),_xlfn.IFNA(VLOOKUP(P1456,en!A$2:I$768,7,FALSE),-10000))</f>
        <v>757.92920600000002</v>
      </c>
      <c r="S1456">
        <f>IF(O1456=O1455,Q1455+S1455,Q1456)</f>
        <v>7263.1405279999999</v>
      </c>
      <c r="T1456">
        <f>IF(O1456=O1455,T1455+1,1)</f>
        <v>4</v>
      </c>
      <c r="U1456" t="str">
        <f>IF(O1456=O1457,"",S1456/T1456)</f>
        <v/>
      </c>
      <c r="V1456" t="str">
        <f>IF(U1456="","",IF(ABS(Q1456-U1456)&gt;V$1,"error",""))</f>
        <v/>
      </c>
    </row>
    <row r="1457" spans="1:22" x14ac:dyDescent="0.55000000000000004">
      <c r="A1457">
        <v>1057.8581300000001</v>
      </c>
      <c r="B1457" s="1">
        <v>1.6900000000000001E-3</v>
      </c>
      <c r="C1457" s="1">
        <v>1.6900000000000001E-3</v>
      </c>
      <c r="D1457" s="2" t="s">
        <v>0</v>
      </c>
      <c r="E1457">
        <v>1</v>
      </c>
      <c r="F1457" s="2" t="s">
        <v>2</v>
      </c>
      <c r="G1457">
        <v>1</v>
      </c>
      <c r="H1457">
        <v>13.5</v>
      </c>
      <c r="I1457" s="2" t="s">
        <v>0</v>
      </c>
      <c r="J1457">
        <v>1</v>
      </c>
      <c r="K1457" s="2" t="s">
        <v>2</v>
      </c>
      <c r="L1457">
        <v>0</v>
      </c>
      <c r="M1457">
        <v>14.5</v>
      </c>
      <c r="N1457" s="2" t="s">
        <v>216</v>
      </c>
      <c r="O1457" t="str">
        <f>D1457&amp;"-"&amp;E1457&amp;"-"&amp;F1457&amp;"-"&amp;G1457&amp;"-"&amp;H1457</f>
        <v>X-1-e-1-13.5</v>
      </c>
      <c r="P1457" t="str">
        <f>I1457&amp;"-"&amp;J1457&amp;"-"&amp;K1457&amp;"-"&amp;L1457&amp;"-"&amp;M1457</f>
        <v>X-1-e-0-14.5</v>
      </c>
      <c r="Q1457">
        <f>A1457+R1457</f>
        <v>1815.7873360000001</v>
      </c>
      <c r="R1457">
        <f>_xlfn.IFNA(VLOOKUP(P1457,PGOPHER!A$2:G$181,7,FALSE),_xlfn.IFNA(VLOOKUP(P1457,en!A$2:I$768,7,FALSE),-10000))</f>
        <v>757.92920600000002</v>
      </c>
      <c r="S1457">
        <f>IF(O1457=O1456,Q1456+S1456,Q1457)</f>
        <v>9078.9278340000001</v>
      </c>
      <c r="T1457">
        <f>IF(O1457=O1456,T1456+1,1)</f>
        <v>5</v>
      </c>
      <c r="U1457" t="str">
        <f>IF(O1457=O1458,"",S1457/T1457)</f>
        <v/>
      </c>
      <c r="V1457" t="str">
        <f>IF(U1457="","",IF(ABS(Q1457-U1457)&gt;V$1,"error",""))</f>
        <v/>
      </c>
    </row>
    <row r="1458" spans="1:22" x14ac:dyDescent="0.55000000000000004">
      <c r="A1458">
        <v>1251.5219999999999</v>
      </c>
      <c r="B1458" s="1">
        <v>1.17E-2</v>
      </c>
      <c r="C1458" s="1">
        <v>1.17E-2</v>
      </c>
      <c r="D1458" s="2" t="s">
        <v>0</v>
      </c>
      <c r="E1458">
        <v>1</v>
      </c>
      <c r="F1458" s="2" t="s">
        <v>2</v>
      </c>
      <c r="G1458">
        <v>1</v>
      </c>
      <c r="H1458">
        <v>13.5</v>
      </c>
      <c r="I1458" s="2" t="s">
        <v>0</v>
      </c>
      <c r="J1458">
        <v>1</v>
      </c>
      <c r="K1458" s="2" t="s">
        <v>2</v>
      </c>
      <c r="L1458">
        <v>0</v>
      </c>
      <c r="M1458">
        <v>12.5</v>
      </c>
      <c r="N1458" s="2" t="s">
        <v>206</v>
      </c>
      <c r="O1458" t="str">
        <f>D1458&amp;"-"&amp;E1458&amp;"-"&amp;F1458&amp;"-"&amp;G1458&amp;"-"&amp;H1458</f>
        <v>X-1-e-1-13.5</v>
      </c>
      <c r="P1458" t="str">
        <f>I1458&amp;"-"&amp;J1458&amp;"-"&amp;K1458&amp;"-"&amp;L1458&amp;"-"&amp;M1458</f>
        <v>X-1-e-0-12.5</v>
      </c>
      <c r="Q1458">
        <f>A1458+R1458</f>
        <v>1815.7864079999999</v>
      </c>
      <c r="R1458">
        <f>_xlfn.IFNA(VLOOKUP(P1458,PGOPHER!A$2:G$181,7,FALSE),_xlfn.IFNA(VLOOKUP(P1458,en!A$2:I$768,7,FALSE),-10000))</f>
        <v>564.264408</v>
      </c>
      <c r="S1458">
        <f>IF(O1458=O1457,Q1457+S1457,Q1458)</f>
        <v>10894.715169999999</v>
      </c>
      <c r="T1458">
        <f>IF(O1458=O1457,T1457+1,1)</f>
        <v>6</v>
      </c>
      <c r="U1458">
        <f>IF(O1458=O1459,"",S1458/T1458)</f>
        <v>1815.7858616666665</v>
      </c>
      <c r="V1458" t="str">
        <f>IF(U1458="","",IF(ABS(Q1458-U1458)&gt;V$1,"error",""))</f>
        <v/>
      </c>
    </row>
    <row r="1459" spans="1:22" x14ac:dyDescent="0.55000000000000004">
      <c r="A1459">
        <v>1025.8906999999999</v>
      </c>
      <c r="B1459" s="1">
        <v>1.8599999999999998E-2</v>
      </c>
      <c r="C1459" s="1">
        <v>1.8599999999999998E-2</v>
      </c>
      <c r="D1459" s="2" t="s">
        <v>0</v>
      </c>
      <c r="E1459">
        <v>1</v>
      </c>
      <c r="F1459" s="2" t="s">
        <v>2</v>
      </c>
      <c r="G1459">
        <v>2</v>
      </c>
      <c r="H1459">
        <v>13.5</v>
      </c>
      <c r="I1459" s="2" t="s">
        <v>0</v>
      </c>
      <c r="J1459">
        <v>1</v>
      </c>
      <c r="K1459" s="2" t="s">
        <v>2</v>
      </c>
      <c r="L1459">
        <v>1</v>
      </c>
      <c r="M1459">
        <v>14.5</v>
      </c>
      <c r="N1459" s="2" t="s">
        <v>456</v>
      </c>
      <c r="O1459" t="str">
        <f>D1459&amp;"-"&amp;E1459&amp;"-"&amp;F1459&amp;"-"&amp;G1459&amp;"-"&amp;H1459</f>
        <v>X-1-e-2-13.5</v>
      </c>
      <c r="P1459" t="str">
        <f>I1459&amp;"-"&amp;J1459&amp;"-"&amp;K1459&amp;"-"&amp;L1459&amp;"-"&amp;M1459</f>
        <v>X-1-e-1-14.5</v>
      </c>
      <c r="Q1459">
        <f>A1459+R1459</f>
        <v>2939.7501439999996</v>
      </c>
      <c r="R1459">
        <f>_xlfn.IFNA(VLOOKUP(P1459,PGOPHER!A$2:G$181,7,FALSE),_xlfn.IFNA(VLOOKUP(P1459,en!A$2:I$768,7,FALSE),-10000))</f>
        <v>1913.8594439999999</v>
      </c>
      <c r="S1459">
        <f>IF(O1459=O1458,Q1458+S1458,Q1459)</f>
        <v>2939.7501439999996</v>
      </c>
      <c r="T1459">
        <f>IF(O1459=O1458,T1458+1,1)</f>
        <v>1</v>
      </c>
      <c r="U1459" t="str">
        <f>IF(O1459=O1460,"",S1459/T1459)</f>
        <v/>
      </c>
      <c r="V1459" t="str">
        <f>IF(U1459="","",IF(ABS(Q1459-U1459)&gt;V$1,"error",""))</f>
        <v/>
      </c>
    </row>
    <row r="1460" spans="1:22" x14ac:dyDescent="0.55000000000000004">
      <c r="A1460">
        <v>1215.2208000000001</v>
      </c>
      <c r="B1460" s="1">
        <v>2.7199999999999998E-2</v>
      </c>
      <c r="C1460" s="1">
        <v>2.7199999999999998E-2</v>
      </c>
      <c r="D1460" s="2" t="s">
        <v>0</v>
      </c>
      <c r="E1460">
        <v>1</v>
      </c>
      <c r="F1460" s="2" t="s">
        <v>2</v>
      </c>
      <c r="G1460">
        <v>2</v>
      </c>
      <c r="H1460">
        <v>13.5</v>
      </c>
      <c r="I1460" s="2" t="s">
        <v>0</v>
      </c>
      <c r="J1460">
        <v>1</v>
      </c>
      <c r="K1460" s="2" t="s">
        <v>2</v>
      </c>
      <c r="L1460">
        <v>1</v>
      </c>
      <c r="M1460">
        <v>12.5</v>
      </c>
      <c r="N1460" s="2" t="s">
        <v>453</v>
      </c>
      <c r="O1460" t="str">
        <f>D1460&amp;"-"&amp;E1460&amp;"-"&amp;F1460&amp;"-"&amp;G1460&amp;"-"&amp;H1460</f>
        <v>X-1-e-2-13.5</v>
      </c>
      <c r="P1460" t="str">
        <f>I1460&amp;"-"&amp;J1460&amp;"-"&amp;K1460&amp;"-"&amp;L1460&amp;"-"&amp;M1460</f>
        <v>X-1-e-1-12.5</v>
      </c>
      <c r="Q1460">
        <f>A1460+R1460</f>
        <v>2939.7486310000004</v>
      </c>
      <c r="R1460">
        <f>_xlfn.IFNA(VLOOKUP(P1460,PGOPHER!A$2:G$181,7,FALSE),_xlfn.IFNA(VLOOKUP(P1460,en!A$2:I$768,7,FALSE),-10000))</f>
        <v>1724.5278310000001</v>
      </c>
      <c r="S1460">
        <f>IF(O1460=O1459,Q1459+S1459,Q1460)</f>
        <v>5879.5002879999993</v>
      </c>
      <c r="T1460">
        <f>IF(O1460=O1459,T1459+1,1)</f>
        <v>2</v>
      </c>
      <c r="U1460">
        <f>IF(O1460=O1461,"",S1460/T1460)</f>
        <v>2939.7501439999996</v>
      </c>
      <c r="V1460" t="str">
        <f>IF(U1460="","",IF(ABS(Q1460-U1460)&gt;V$1,"error",""))</f>
        <v/>
      </c>
    </row>
    <row r="1461" spans="1:22" x14ac:dyDescent="0.55000000000000004">
      <c r="A1461">
        <v>993.82100000000003</v>
      </c>
      <c r="B1461" s="1">
        <v>6.0699999999999999E-3</v>
      </c>
      <c r="C1461" s="1">
        <v>6.0699999999999999E-3</v>
      </c>
      <c r="D1461" s="2" t="s">
        <v>0</v>
      </c>
      <c r="E1461">
        <v>1</v>
      </c>
      <c r="F1461" s="2" t="s">
        <v>2</v>
      </c>
      <c r="G1461">
        <v>3</v>
      </c>
      <c r="H1461">
        <v>13.5</v>
      </c>
      <c r="I1461" s="2" t="s">
        <v>0</v>
      </c>
      <c r="J1461">
        <v>1</v>
      </c>
      <c r="K1461" s="2" t="s">
        <v>2</v>
      </c>
      <c r="L1461">
        <v>2</v>
      </c>
      <c r="M1461">
        <v>14.5</v>
      </c>
      <c r="N1461" s="2" t="s">
        <v>579</v>
      </c>
      <c r="O1461" t="str">
        <f>D1461&amp;"-"&amp;E1461&amp;"-"&amp;F1461&amp;"-"&amp;G1461&amp;"-"&amp;H1461</f>
        <v>X-1-e-3-13.5</v>
      </c>
      <c r="P1461" t="str">
        <f>I1461&amp;"-"&amp;J1461&amp;"-"&amp;K1461&amp;"-"&amp;L1461&amp;"-"&amp;M1461</f>
        <v>X-1-e-2-14.5</v>
      </c>
      <c r="Q1461">
        <f>A1461+R1461</f>
        <v>4029.3849839999998</v>
      </c>
      <c r="R1461">
        <f>_xlfn.IFNA(VLOOKUP(P1461,PGOPHER!A$2:G$181,7,FALSE),_xlfn.IFNA(VLOOKUP(P1461,en!A$2:I$768,7,FALSE),-10000))</f>
        <v>3035.5639839999999</v>
      </c>
      <c r="S1461">
        <f>IF(O1461=O1460,Q1460+S1460,Q1461)</f>
        <v>4029.3849839999998</v>
      </c>
      <c r="T1461">
        <f>IF(O1461=O1460,T1460+1,1)</f>
        <v>1</v>
      </c>
      <c r="U1461" t="str">
        <f>IF(O1461=O1462,"",S1461/T1461)</f>
        <v/>
      </c>
      <c r="V1461" t="str">
        <f>IF(U1461="","",IF(ABS(Q1461-U1461)&gt;V$1,"error",""))</f>
        <v/>
      </c>
    </row>
    <row r="1462" spans="1:22" x14ac:dyDescent="0.55000000000000004">
      <c r="A1462">
        <v>1178.7987000000001</v>
      </c>
      <c r="B1462" s="1">
        <v>1.01E-2</v>
      </c>
      <c r="C1462" s="1">
        <v>1.01E-2</v>
      </c>
      <c r="D1462" s="2" t="s">
        <v>0</v>
      </c>
      <c r="E1462">
        <v>1</v>
      </c>
      <c r="F1462" s="2" t="s">
        <v>2</v>
      </c>
      <c r="G1462">
        <v>3</v>
      </c>
      <c r="H1462">
        <v>13.5</v>
      </c>
      <c r="I1462" s="2" t="s">
        <v>0</v>
      </c>
      <c r="J1462">
        <v>1</v>
      </c>
      <c r="K1462" s="2" t="s">
        <v>2</v>
      </c>
      <c r="L1462">
        <v>2</v>
      </c>
      <c r="M1462">
        <v>12.5</v>
      </c>
      <c r="N1462" s="2" t="s">
        <v>578</v>
      </c>
      <c r="O1462" t="str">
        <f>D1462&amp;"-"&amp;E1462&amp;"-"&amp;F1462&amp;"-"&amp;G1462&amp;"-"&amp;H1462</f>
        <v>X-1-e-3-13.5</v>
      </c>
      <c r="P1462" t="str">
        <f>I1462&amp;"-"&amp;J1462&amp;"-"&amp;K1462&amp;"-"&amp;L1462&amp;"-"&amp;M1462</f>
        <v>X-1-e-2-12.5</v>
      </c>
      <c r="Q1462">
        <f>A1462+R1462</f>
        <v>4029.3843580000002</v>
      </c>
      <c r="R1462">
        <f>_xlfn.IFNA(VLOOKUP(P1462,PGOPHER!A$2:G$181,7,FALSE),_xlfn.IFNA(VLOOKUP(P1462,en!A$2:I$768,7,FALSE),-10000))</f>
        <v>2850.585658</v>
      </c>
      <c r="S1462">
        <f>IF(O1462=O1461,Q1461+S1461,Q1462)</f>
        <v>8058.7699679999996</v>
      </c>
      <c r="T1462">
        <f>IF(O1462=O1461,T1461+1,1)</f>
        <v>2</v>
      </c>
      <c r="U1462">
        <f>IF(O1462=O1463,"",S1462/T1462)</f>
        <v>4029.3849839999998</v>
      </c>
      <c r="V1462" t="str">
        <f>IF(U1462="","",IF(ABS(Q1462-U1462)&gt;V$1,"error",""))</f>
        <v/>
      </c>
    </row>
    <row r="1463" spans="1:22" x14ac:dyDescent="0.55000000000000004">
      <c r="A1463">
        <v>1142.0733</v>
      </c>
      <c r="B1463" s="1">
        <v>2.7699999999999999E-2</v>
      </c>
      <c r="C1463" s="1">
        <v>2.7699999999999999E-2</v>
      </c>
      <c r="D1463" s="2" t="s">
        <v>0</v>
      </c>
      <c r="E1463">
        <v>1</v>
      </c>
      <c r="F1463" s="2" t="s">
        <v>2</v>
      </c>
      <c r="G1463">
        <v>4</v>
      </c>
      <c r="H1463">
        <v>13.5</v>
      </c>
      <c r="I1463" s="2" t="s">
        <v>0</v>
      </c>
      <c r="J1463">
        <v>1</v>
      </c>
      <c r="K1463" s="2" t="s">
        <v>2</v>
      </c>
      <c r="L1463">
        <v>3</v>
      </c>
      <c r="M1463">
        <v>12.5</v>
      </c>
      <c r="N1463" s="2" t="s">
        <v>655</v>
      </c>
      <c r="O1463" t="str">
        <f>D1463&amp;"-"&amp;E1463&amp;"-"&amp;F1463&amp;"-"&amp;G1463&amp;"-"&amp;H1463</f>
        <v>X-1-e-4-13.5</v>
      </c>
      <c r="P1463" t="str">
        <f>I1463&amp;"-"&amp;J1463&amp;"-"&amp;K1463&amp;"-"&amp;L1463&amp;"-"&amp;M1463</f>
        <v>X-1-e-3-12.5</v>
      </c>
      <c r="Q1463">
        <f>A1463+R1463</f>
        <v>5084.4058590000004</v>
      </c>
      <c r="R1463">
        <f>_xlfn.IFNA(VLOOKUP(P1463,PGOPHER!A$2:G$181,7,FALSE),_xlfn.IFNA(VLOOKUP(P1463,en!A$2:I$768,7,FALSE),-10000))</f>
        <v>3942.3325589999999</v>
      </c>
      <c r="S1463">
        <f>IF(O1463=O1462,Q1462+S1462,Q1463)</f>
        <v>5084.4058590000004</v>
      </c>
      <c r="T1463">
        <f>IF(O1463=O1462,T1462+1,1)</f>
        <v>1</v>
      </c>
      <c r="U1463" t="str">
        <f>IF(O1463=O1464,"",S1463/T1463)</f>
        <v/>
      </c>
      <c r="V1463" t="str">
        <f>IF(U1463="","",IF(ABS(Q1463-U1463)&gt;V$1,"error",""))</f>
        <v/>
      </c>
    </row>
    <row r="1464" spans="1:22" x14ac:dyDescent="0.55000000000000004">
      <c r="A1464">
        <v>961.4837</v>
      </c>
      <c r="B1464" s="1">
        <v>2.7699999999999999E-2</v>
      </c>
      <c r="C1464" s="1">
        <v>2.7699999999999999E-2</v>
      </c>
      <c r="D1464" s="2" t="s">
        <v>0</v>
      </c>
      <c r="E1464">
        <v>1</v>
      </c>
      <c r="F1464" s="2" t="s">
        <v>2</v>
      </c>
      <c r="G1464">
        <v>4</v>
      </c>
      <c r="H1464">
        <v>13.5</v>
      </c>
      <c r="I1464" s="2" t="s">
        <v>0</v>
      </c>
      <c r="J1464">
        <v>1</v>
      </c>
      <c r="K1464" s="2" t="s">
        <v>2</v>
      </c>
      <c r="L1464">
        <v>3</v>
      </c>
      <c r="M1464">
        <v>14.5</v>
      </c>
      <c r="N1464" s="2" t="s">
        <v>657</v>
      </c>
      <c r="O1464" t="str">
        <f>D1464&amp;"-"&amp;E1464&amp;"-"&amp;F1464&amp;"-"&amp;G1464&amp;"-"&amp;H1464</f>
        <v>X-1-e-4-13.5</v>
      </c>
      <c r="P1464" t="str">
        <f>I1464&amp;"-"&amp;J1464&amp;"-"&amp;K1464&amp;"-"&amp;L1464&amp;"-"&amp;M1464</f>
        <v>X-1-e-3-14.5</v>
      </c>
      <c r="Q1464">
        <f>A1464+R1464</f>
        <v>5084.4108999999999</v>
      </c>
      <c r="R1464">
        <f>_xlfn.IFNA(VLOOKUP(P1464,PGOPHER!A$2:G$181,7,FALSE),_xlfn.IFNA(VLOOKUP(P1464,en!A$2:I$768,7,FALSE),-10000))</f>
        <v>4122.9272000000001</v>
      </c>
      <c r="S1464">
        <f>IF(O1464=O1463,Q1463+S1463,Q1464)</f>
        <v>10168.811718000001</v>
      </c>
      <c r="T1464">
        <f>IF(O1464=O1463,T1463+1,1)</f>
        <v>2</v>
      </c>
      <c r="U1464">
        <f>IF(O1464=O1465,"",S1464/T1464)</f>
        <v>5084.4058590000004</v>
      </c>
      <c r="V1464" t="str">
        <f>IF(U1464="","",IF(ABS(Q1464-U1464)&gt;V$1,"error",""))</f>
        <v/>
      </c>
    </row>
    <row r="1465" spans="1:22" x14ac:dyDescent="0.55000000000000004">
      <c r="A1465">
        <v>1256.1906799999999</v>
      </c>
      <c r="B1465" s="1">
        <v>1E-3</v>
      </c>
      <c r="C1465" s="1">
        <v>1E-3</v>
      </c>
      <c r="D1465" s="2" t="s">
        <v>0</v>
      </c>
      <c r="E1465">
        <v>2</v>
      </c>
      <c r="F1465" s="2" t="s">
        <v>1</v>
      </c>
      <c r="G1465">
        <v>1</v>
      </c>
      <c r="H1465">
        <v>13.5</v>
      </c>
      <c r="I1465" s="2" t="s">
        <v>0</v>
      </c>
      <c r="J1465">
        <v>2</v>
      </c>
      <c r="K1465" s="2" t="s">
        <v>1</v>
      </c>
      <c r="L1465">
        <v>0</v>
      </c>
      <c r="M1465">
        <v>12.5</v>
      </c>
      <c r="N1465" s="2" t="s">
        <v>217</v>
      </c>
      <c r="O1465" t="str">
        <f>D1465&amp;"-"&amp;E1465&amp;"-"&amp;F1465&amp;"-"&amp;G1465&amp;"-"&amp;H1465</f>
        <v>X-2-f-1-13.5</v>
      </c>
      <c r="P1465" t="str">
        <f>I1465&amp;"-"&amp;J1465&amp;"-"&amp;K1465&amp;"-"&amp;L1465&amp;"-"&amp;M1465</f>
        <v>X-2-f-0-12.5</v>
      </c>
      <c r="Q1465">
        <f>A1465+R1465</f>
        <v>1912.158778</v>
      </c>
      <c r="R1465">
        <f>_xlfn.IFNA(VLOOKUP(P1465,PGOPHER!A$2:G$181,7,FALSE),_xlfn.IFNA(VLOOKUP(P1465,en!A$2:I$768,7,FALSE),-10000))</f>
        <v>655.96809800000005</v>
      </c>
      <c r="S1465">
        <f>IF(O1465=O1464,Q1464+S1464,Q1465)</f>
        <v>1912.158778</v>
      </c>
      <c r="T1465">
        <f>IF(O1465=O1464,T1464+1,1)</f>
        <v>1</v>
      </c>
      <c r="U1465" t="str">
        <f>IF(O1465=O1466,"",S1465/T1465)</f>
        <v/>
      </c>
      <c r="V1465" t="str">
        <f>IF(U1465="","",IF(ABS(Q1465-U1465)&gt;V$1,"error",""))</f>
        <v/>
      </c>
    </row>
    <row r="1466" spans="1:22" x14ac:dyDescent="0.55000000000000004">
      <c r="A1466">
        <v>1048.85761</v>
      </c>
      <c r="B1466" s="1">
        <v>2.3119999999999998E-3</v>
      </c>
      <c r="C1466" s="1">
        <v>2.3119999999999998E-3</v>
      </c>
      <c r="D1466" s="2" t="s">
        <v>0</v>
      </c>
      <c r="E1466">
        <v>2</v>
      </c>
      <c r="F1466" s="2" t="s">
        <v>1</v>
      </c>
      <c r="G1466">
        <v>1</v>
      </c>
      <c r="H1466">
        <v>13.5</v>
      </c>
      <c r="I1466" s="2" t="s">
        <v>0</v>
      </c>
      <c r="J1466">
        <v>2</v>
      </c>
      <c r="K1466" s="2" t="s">
        <v>1</v>
      </c>
      <c r="L1466">
        <v>0</v>
      </c>
      <c r="M1466">
        <v>14.5</v>
      </c>
      <c r="N1466" s="2" t="s">
        <v>218</v>
      </c>
      <c r="O1466" t="str">
        <f>D1466&amp;"-"&amp;E1466&amp;"-"&amp;F1466&amp;"-"&amp;G1466&amp;"-"&amp;H1466</f>
        <v>X-2-f-1-13.5</v>
      </c>
      <c r="P1466" t="str">
        <f>I1466&amp;"-"&amp;J1466&amp;"-"&amp;K1466&amp;"-"&amp;L1466&amp;"-"&amp;M1466</f>
        <v>X-2-f-0-14.5</v>
      </c>
      <c r="Q1466">
        <f>A1466+R1466</f>
        <v>1912.160615</v>
      </c>
      <c r="R1466">
        <f>_xlfn.IFNA(VLOOKUP(P1466,PGOPHER!A$2:G$181,7,FALSE),_xlfn.IFNA(VLOOKUP(P1466,en!A$2:I$768,7,FALSE),-10000))</f>
        <v>863.30300499999998</v>
      </c>
      <c r="S1466">
        <f>IF(O1466=O1465,Q1465+S1465,Q1466)</f>
        <v>3824.317556</v>
      </c>
      <c r="T1466">
        <f>IF(O1466=O1465,T1465+1,1)</f>
        <v>2</v>
      </c>
      <c r="U1466" t="str">
        <f>IF(O1466=O1467,"",S1466/T1466)</f>
        <v/>
      </c>
      <c r="V1466" t="str">
        <f>IF(U1466="","",IF(ABS(Q1466-U1466)&gt;V$1,"error",""))</f>
        <v/>
      </c>
    </row>
    <row r="1467" spans="1:22" x14ac:dyDescent="0.55000000000000004">
      <c r="A1467">
        <v>1256.1903400000001</v>
      </c>
      <c r="B1467" s="1">
        <v>1E-3</v>
      </c>
      <c r="C1467" s="1">
        <v>1E-3</v>
      </c>
      <c r="D1467" s="2" t="s">
        <v>0</v>
      </c>
      <c r="E1467">
        <v>2</v>
      </c>
      <c r="F1467" s="2" t="s">
        <v>1</v>
      </c>
      <c r="G1467">
        <v>1</v>
      </c>
      <c r="H1467">
        <v>13.5</v>
      </c>
      <c r="I1467" s="2" t="s">
        <v>0</v>
      </c>
      <c r="J1467">
        <v>2</v>
      </c>
      <c r="K1467" s="2" t="s">
        <v>1</v>
      </c>
      <c r="L1467">
        <v>0</v>
      </c>
      <c r="M1467">
        <v>12.5</v>
      </c>
      <c r="N1467" s="2" t="s">
        <v>214</v>
      </c>
      <c r="O1467" t="str">
        <f>D1467&amp;"-"&amp;E1467&amp;"-"&amp;F1467&amp;"-"&amp;G1467&amp;"-"&amp;H1467</f>
        <v>X-2-f-1-13.5</v>
      </c>
      <c r="P1467" t="str">
        <f>I1467&amp;"-"&amp;J1467&amp;"-"&amp;K1467&amp;"-"&amp;L1467&amp;"-"&amp;M1467</f>
        <v>X-2-f-0-12.5</v>
      </c>
      <c r="Q1467">
        <f>A1467+R1467</f>
        <v>1912.1584380000002</v>
      </c>
      <c r="R1467">
        <f>_xlfn.IFNA(VLOOKUP(P1467,PGOPHER!A$2:G$181,7,FALSE),_xlfn.IFNA(VLOOKUP(P1467,en!A$2:I$768,7,FALSE),-10000))</f>
        <v>655.96809800000005</v>
      </c>
      <c r="S1467">
        <f>IF(O1467=O1466,Q1466+S1466,Q1467)</f>
        <v>5736.4781709999997</v>
      </c>
      <c r="T1467">
        <f>IF(O1467=O1466,T1466+1,1)</f>
        <v>3</v>
      </c>
      <c r="U1467" t="str">
        <f>IF(O1467=O1468,"",S1467/T1467)</f>
        <v/>
      </c>
      <c r="V1467" t="str">
        <f>IF(U1467="","",IF(ABS(Q1467-U1467)&gt;V$1,"error",""))</f>
        <v/>
      </c>
    </row>
    <row r="1468" spans="1:22" x14ac:dyDescent="0.55000000000000004">
      <c r="A1468">
        <v>1048.8576</v>
      </c>
      <c r="B1468" s="1">
        <v>2.1499999999999998E-2</v>
      </c>
      <c r="C1468" s="1">
        <v>2.1499999999999998E-2</v>
      </c>
      <c r="D1468" s="2" t="s">
        <v>0</v>
      </c>
      <c r="E1468">
        <v>2</v>
      </c>
      <c r="F1468" s="2" t="s">
        <v>1</v>
      </c>
      <c r="G1468">
        <v>1</v>
      </c>
      <c r="H1468">
        <v>13.5</v>
      </c>
      <c r="I1468" s="2" t="s">
        <v>0</v>
      </c>
      <c r="J1468">
        <v>2</v>
      </c>
      <c r="K1468" s="2" t="s">
        <v>1</v>
      </c>
      <c r="L1468">
        <v>0</v>
      </c>
      <c r="M1468">
        <v>14.5</v>
      </c>
      <c r="N1468" s="2" t="s">
        <v>210</v>
      </c>
      <c r="O1468" t="str">
        <f>D1468&amp;"-"&amp;E1468&amp;"-"&amp;F1468&amp;"-"&amp;G1468&amp;"-"&amp;H1468</f>
        <v>X-2-f-1-13.5</v>
      </c>
      <c r="P1468" t="str">
        <f>I1468&amp;"-"&amp;J1468&amp;"-"&amp;K1468&amp;"-"&amp;L1468&amp;"-"&amp;M1468</f>
        <v>X-2-f-0-14.5</v>
      </c>
      <c r="Q1468">
        <f>A1468+R1468</f>
        <v>1912.160605</v>
      </c>
      <c r="R1468">
        <f>_xlfn.IFNA(VLOOKUP(P1468,PGOPHER!A$2:G$181,7,FALSE),_xlfn.IFNA(VLOOKUP(P1468,en!A$2:I$768,7,FALSE),-10000))</f>
        <v>863.30300499999998</v>
      </c>
      <c r="S1468">
        <f>IF(O1468=O1467,Q1467+S1467,Q1468)</f>
        <v>7648.6366090000001</v>
      </c>
      <c r="T1468">
        <f>IF(O1468=O1467,T1467+1,1)</f>
        <v>4</v>
      </c>
      <c r="U1468" t="str">
        <f>IF(O1468=O1469,"",S1468/T1468)</f>
        <v/>
      </c>
      <c r="V1468" t="str">
        <f>IF(U1468="","",IF(ABS(Q1468-U1468)&gt;V$1,"error",""))</f>
        <v/>
      </c>
    </row>
    <row r="1469" spans="1:22" x14ac:dyDescent="0.55000000000000004">
      <c r="A1469">
        <v>1256.1905999999999</v>
      </c>
      <c r="B1469" s="1">
        <v>1E-3</v>
      </c>
      <c r="C1469" s="1">
        <v>1E-3</v>
      </c>
      <c r="D1469" s="2" t="s">
        <v>0</v>
      </c>
      <c r="E1469">
        <v>2</v>
      </c>
      <c r="F1469" s="2" t="s">
        <v>1</v>
      </c>
      <c r="G1469">
        <v>1</v>
      </c>
      <c r="H1469">
        <v>13.5</v>
      </c>
      <c r="I1469" s="2" t="s">
        <v>0</v>
      </c>
      <c r="J1469">
        <v>2</v>
      </c>
      <c r="K1469" s="2" t="s">
        <v>1</v>
      </c>
      <c r="L1469">
        <v>0</v>
      </c>
      <c r="M1469">
        <v>12.5</v>
      </c>
      <c r="N1469" s="2" t="s">
        <v>219</v>
      </c>
      <c r="O1469" t="str">
        <f>D1469&amp;"-"&amp;E1469&amp;"-"&amp;F1469&amp;"-"&amp;G1469&amp;"-"&amp;H1469</f>
        <v>X-2-f-1-13.5</v>
      </c>
      <c r="P1469" t="str">
        <f>I1469&amp;"-"&amp;J1469&amp;"-"&amp;K1469&amp;"-"&amp;L1469&amp;"-"&amp;M1469</f>
        <v>X-2-f-0-12.5</v>
      </c>
      <c r="Q1469">
        <f>A1469+R1469</f>
        <v>1912.158698</v>
      </c>
      <c r="R1469">
        <f>_xlfn.IFNA(VLOOKUP(P1469,PGOPHER!A$2:G$181,7,FALSE),_xlfn.IFNA(VLOOKUP(P1469,en!A$2:I$768,7,FALSE),-10000))</f>
        <v>655.96809800000005</v>
      </c>
      <c r="S1469">
        <f>IF(O1469=O1468,Q1468+S1468,Q1469)</f>
        <v>9560.7972140000002</v>
      </c>
      <c r="T1469">
        <f>IF(O1469=O1468,T1468+1,1)</f>
        <v>5</v>
      </c>
      <c r="U1469" t="str">
        <f>IF(O1469=O1470,"",S1469/T1469)</f>
        <v/>
      </c>
      <c r="V1469" t="str">
        <f>IF(U1469="","",IF(ABS(Q1469-U1469)&gt;V$1,"error",""))</f>
        <v/>
      </c>
    </row>
    <row r="1470" spans="1:22" x14ac:dyDescent="0.55000000000000004">
      <c r="A1470">
        <v>1256.1905999999999</v>
      </c>
      <c r="B1470" s="1">
        <v>1.8599999999999998E-2</v>
      </c>
      <c r="C1470" s="1">
        <v>1.8599999999999998E-2</v>
      </c>
      <c r="D1470" s="2" t="s">
        <v>0</v>
      </c>
      <c r="E1470">
        <v>2</v>
      </c>
      <c r="F1470" s="2" t="s">
        <v>1</v>
      </c>
      <c r="G1470">
        <v>1</v>
      </c>
      <c r="H1470">
        <v>13.5</v>
      </c>
      <c r="I1470" s="2" t="s">
        <v>0</v>
      </c>
      <c r="J1470">
        <v>2</v>
      </c>
      <c r="K1470" s="2" t="s">
        <v>1</v>
      </c>
      <c r="L1470">
        <v>0</v>
      </c>
      <c r="M1470">
        <v>12.5</v>
      </c>
      <c r="N1470" s="2" t="s">
        <v>208</v>
      </c>
      <c r="O1470" t="str">
        <f>D1470&amp;"-"&amp;E1470&amp;"-"&amp;F1470&amp;"-"&amp;G1470&amp;"-"&amp;H1470</f>
        <v>X-2-f-1-13.5</v>
      </c>
      <c r="P1470" t="str">
        <f>I1470&amp;"-"&amp;J1470&amp;"-"&amp;K1470&amp;"-"&amp;L1470&amp;"-"&amp;M1470</f>
        <v>X-2-f-0-12.5</v>
      </c>
      <c r="Q1470">
        <f>A1470+R1470</f>
        <v>1912.158698</v>
      </c>
      <c r="R1470">
        <f>_xlfn.IFNA(VLOOKUP(P1470,PGOPHER!A$2:G$181,7,FALSE),_xlfn.IFNA(VLOOKUP(P1470,en!A$2:I$768,7,FALSE),-10000))</f>
        <v>655.96809800000005</v>
      </c>
      <c r="S1470">
        <f>IF(O1470=O1469,Q1469+S1469,Q1470)</f>
        <v>11472.955911999999</v>
      </c>
      <c r="T1470">
        <f>IF(O1470=O1469,T1469+1,1)</f>
        <v>6</v>
      </c>
      <c r="U1470" t="str">
        <f>IF(O1470=O1471,"",S1470/T1470)</f>
        <v/>
      </c>
      <c r="V1470" t="str">
        <f>IF(U1470="","",IF(ABS(Q1470-U1470)&gt;V$1,"error",""))</f>
        <v/>
      </c>
    </row>
    <row r="1471" spans="1:22" x14ac:dyDescent="0.55000000000000004">
      <c r="A1471">
        <v>1256.1907000000001</v>
      </c>
      <c r="B1471" s="1">
        <v>1.8499999999999999E-2</v>
      </c>
      <c r="C1471" s="1">
        <v>1.8499999999999999E-2</v>
      </c>
      <c r="D1471" s="2" t="s">
        <v>0</v>
      </c>
      <c r="E1471">
        <v>2</v>
      </c>
      <c r="F1471" s="2" t="s">
        <v>1</v>
      </c>
      <c r="G1471">
        <v>1</v>
      </c>
      <c r="H1471">
        <v>13.5</v>
      </c>
      <c r="I1471" s="2" t="s">
        <v>0</v>
      </c>
      <c r="J1471">
        <v>2</v>
      </c>
      <c r="K1471" s="2" t="s">
        <v>1</v>
      </c>
      <c r="L1471">
        <v>0</v>
      </c>
      <c r="M1471">
        <v>12.5</v>
      </c>
      <c r="N1471" s="2" t="s">
        <v>207</v>
      </c>
      <c r="O1471" t="str">
        <f>D1471&amp;"-"&amp;E1471&amp;"-"&amp;F1471&amp;"-"&amp;G1471&amp;"-"&amp;H1471</f>
        <v>X-2-f-1-13.5</v>
      </c>
      <c r="P1471" t="str">
        <f>I1471&amp;"-"&amp;J1471&amp;"-"&amp;K1471&amp;"-"&amp;L1471&amp;"-"&amp;M1471</f>
        <v>X-2-f-0-12.5</v>
      </c>
      <c r="Q1471">
        <f>A1471+R1471</f>
        <v>1912.1587980000002</v>
      </c>
      <c r="R1471">
        <f>_xlfn.IFNA(VLOOKUP(P1471,PGOPHER!A$2:G$181,7,FALSE),_xlfn.IFNA(VLOOKUP(P1471,en!A$2:I$768,7,FALSE),-10000))</f>
        <v>655.96809800000005</v>
      </c>
      <c r="S1471">
        <f>IF(O1471=O1470,Q1470+S1470,Q1471)</f>
        <v>13385.114609999999</v>
      </c>
      <c r="T1471">
        <f>IF(O1471=O1470,T1470+1,1)</f>
        <v>7</v>
      </c>
      <c r="U1471" t="str">
        <f>IF(O1471=O1472,"",S1471/T1471)</f>
        <v/>
      </c>
      <c r="V1471" t="str">
        <f>IF(U1471="","",IF(ABS(Q1471-U1471)&gt;V$1,"error",""))</f>
        <v/>
      </c>
    </row>
    <row r="1472" spans="1:22" x14ac:dyDescent="0.55000000000000004">
      <c r="A1472">
        <v>1048.85547</v>
      </c>
      <c r="B1472" s="1">
        <v>1E-3</v>
      </c>
      <c r="C1472" s="1">
        <v>1E-3</v>
      </c>
      <c r="D1472" s="2" t="s">
        <v>0</v>
      </c>
      <c r="E1472">
        <v>2</v>
      </c>
      <c r="F1472" s="2" t="s">
        <v>1</v>
      </c>
      <c r="G1472">
        <v>1</v>
      </c>
      <c r="H1472">
        <v>13.5</v>
      </c>
      <c r="I1472" s="2" t="s">
        <v>0</v>
      </c>
      <c r="J1472">
        <v>2</v>
      </c>
      <c r="K1472" s="2" t="s">
        <v>1</v>
      </c>
      <c r="L1472">
        <v>0</v>
      </c>
      <c r="M1472">
        <v>14.5</v>
      </c>
      <c r="N1472" s="2" t="s">
        <v>213</v>
      </c>
      <c r="O1472" t="str">
        <f>D1472&amp;"-"&amp;E1472&amp;"-"&amp;F1472&amp;"-"&amp;G1472&amp;"-"&amp;H1472</f>
        <v>X-2-f-1-13.5</v>
      </c>
      <c r="P1472" t="str">
        <f>I1472&amp;"-"&amp;J1472&amp;"-"&amp;K1472&amp;"-"&amp;L1472&amp;"-"&amp;M1472</f>
        <v>X-2-f-0-14.5</v>
      </c>
      <c r="Q1472">
        <f>A1472+R1472</f>
        <v>1912.158475</v>
      </c>
      <c r="R1472">
        <f>_xlfn.IFNA(VLOOKUP(P1472,PGOPHER!A$2:G$181,7,FALSE),_xlfn.IFNA(VLOOKUP(P1472,en!A$2:I$768,7,FALSE),-10000))</f>
        <v>863.30300499999998</v>
      </c>
      <c r="S1472">
        <f>IF(O1472=O1471,Q1471+S1471,Q1472)</f>
        <v>15297.273407999999</v>
      </c>
      <c r="T1472">
        <f>IF(O1472=O1471,T1471+1,1)</f>
        <v>8</v>
      </c>
      <c r="U1472">
        <f>IF(O1472=O1473,"",S1472/T1472)</f>
        <v>1912.1591759999999</v>
      </c>
      <c r="V1472" t="str">
        <f>IF(U1472="","",IF(ABS(Q1472-U1472)&gt;V$1,"error",""))</f>
        <v/>
      </c>
    </row>
    <row r="1473" spans="1:22" x14ac:dyDescent="0.55000000000000004">
      <c r="A1473">
        <v>1219.7244000000001</v>
      </c>
      <c r="B1473" s="1">
        <v>1E-3</v>
      </c>
      <c r="C1473" s="1">
        <v>1E-3</v>
      </c>
      <c r="D1473" s="2" t="s">
        <v>0</v>
      </c>
      <c r="E1473">
        <v>2</v>
      </c>
      <c r="F1473" s="2" t="s">
        <v>1</v>
      </c>
      <c r="G1473">
        <v>2</v>
      </c>
      <c r="H1473">
        <v>13.5</v>
      </c>
      <c r="I1473" s="2" t="s">
        <v>0</v>
      </c>
      <c r="J1473">
        <v>2</v>
      </c>
      <c r="K1473" s="2" t="s">
        <v>1</v>
      </c>
      <c r="L1473">
        <v>1</v>
      </c>
      <c r="M1473">
        <v>12.5</v>
      </c>
      <c r="N1473" s="2" t="s">
        <v>455</v>
      </c>
      <c r="O1473" t="str">
        <f>D1473&amp;"-"&amp;E1473&amp;"-"&amp;F1473&amp;"-"&amp;G1473&amp;"-"&amp;H1473</f>
        <v>X-2-f-2-13.5</v>
      </c>
      <c r="P1473" t="str">
        <f>I1473&amp;"-"&amp;J1473&amp;"-"&amp;K1473&amp;"-"&amp;L1473&amp;"-"&amp;M1473</f>
        <v>X-2-f-1-12.5</v>
      </c>
      <c r="Q1473">
        <f>A1473+R1473</f>
        <v>3033.9217550000003</v>
      </c>
      <c r="R1473">
        <f>_xlfn.IFNA(VLOOKUP(P1473,PGOPHER!A$2:G$181,7,FALSE),_xlfn.IFNA(VLOOKUP(P1473,en!A$2:I$768,7,FALSE),-10000))</f>
        <v>1814.197355</v>
      </c>
      <c r="S1473">
        <f>IF(O1473=O1472,Q1472+S1472,Q1473)</f>
        <v>3033.9217550000003</v>
      </c>
      <c r="T1473">
        <f>IF(O1473=O1472,T1472+1,1)</f>
        <v>1</v>
      </c>
      <c r="U1473" t="str">
        <f>IF(O1473=O1474,"",S1473/T1473)</f>
        <v/>
      </c>
      <c r="V1473" t="str">
        <f>IF(U1473="","",IF(ABS(Q1473-U1473)&gt;V$1,"error",""))</f>
        <v/>
      </c>
    </row>
    <row r="1474" spans="1:22" x14ac:dyDescent="0.55000000000000004">
      <c r="A1474">
        <v>1219.7236</v>
      </c>
      <c r="B1474" s="1">
        <v>5.7400000000000003E-3</v>
      </c>
      <c r="C1474" s="1">
        <v>5.7400000000000003E-3</v>
      </c>
      <c r="D1474" s="2" t="s">
        <v>0</v>
      </c>
      <c r="E1474">
        <v>2</v>
      </c>
      <c r="F1474" s="2" t="s">
        <v>1</v>
      </c>
      <c r="G1474">
        <v>2</v>
      </c>
      <c r="H1474">
        <v>13.5</v>
      </c>
      <c r="I1474" s="2" t="s">
        <v>0</v>
      </c>
      <c r="J1474">
        <v>2</v>
      </c>
      <c r="K1474" s="2" t="s">
        <v>1</v>
      </c>
      <c r="L1474">
        <v>1</v>
      </c>
      <c r="M1474">
        <v>12.5</v>
      </c>
      <c r="N1474" s="2" t="s">
        <v>454</v>
      </c>
      <c r="O1474" t="str">
        <f>D1474&amp;"-"&amp;E1474&amp;"-"&amp;F1474&amp;"-"&amp;G1474&amp;"-"&amp;H1474</f>
        <v>X-2-f-2-13.5</v>
      </c>
      <c r="P1474" t="str">
        <f>I1474&amp;"-"&amp;J1474&amp;"-"&amp;K1474&amp;"-"&amp;L1474&amp;"-"&amp;M1474</f>
        <v>X-2-f-1-12.5</v>
      </c>
      <c r="Q1474">
        <f>A1474+R1474</f>
        <v>3033.920955</v>
      </c>
      <c r="R1474">
        <f>_xlfn.IFNA(VLOOKUP(P1474,PGOPHER!A$2:G$181,7,FALSE),_xlfn.IFNA(VLOOKUP(P1474,en!A$2:I$768,7,FALSE),-10000))</f>
        <v>1814.197355</v>
      </c>
      <c r="S1474">
        <f>IF(O1474=O1473,Q1473+S1473,Q1474)</f>
        <v>6067.8435100000006</v>
      </c>
      <c r="T1474">
        <f>IF(O1474=O1473,T1473+1,1)</f>
        <v>2</v>
      </c>
      <c r="U1474" t="str">
        <f>IF(O1474=O1475,"",S1474/T1474)</f>
        <v/>
      </c>
      <c r="V1474" t="str">
        <f>IF(U1474="","",IF(ABS(Q1474-U1474)&gt;V$1,"error",""))</f>
        <v/>
      </c>
    </row>
    <row r="1475" spans="1:22" x14ac:dyDescent="0.55000000000000004">
      <c r="A1475">
        <v>1017.0361</v>
      </c>
      <c r="B1475" s="1">
        <v>1.06E-2</v>
      </c>
      <c r="C1475" s="1">
        <v>1.06E-2</v>
      </c>
      <c r="D1475" s="2" t="s">
        <v>0</v>
      </c>
      <c r="E1475">
        <v>2</v>
      </c>
      <c r="F1475" s="2" t="s">
        <v>1</v>
      </c>
      <c r="G1475">
        <v>2</v>
      </c>
      <c r="H1475">
        <v>13.5</v>
      </c>
      <c r="I1475" s="2" t="s">
        <v>0</v>
      </c>
      <c r="J1475">
        <v>2</v>
      </c>
      <c r="K1475" s="2" t="s">
        <v>1</v>
      </c>
      <c r="L1475">
        <v>1</v>
      </c>
      <c r="M1475">
        <v>14.5</v>
      </c>
      <c r="N1475" s="2" t="s">
        <v>457</v>
      </c>
      <c r="O1475" t="str">
        <f>D1475&amp;"-"&amp;E1475&amp;"-"&amp;F1475&amp;"-"&amp;G1475&amp;"-"&amp;H1475</f>
        <v>X-2-f-2-13.5</v>
      </c>
      <c r="P1475" t="str">
        <f>I1475&amp;"-"&amp;J1475&amp;"-"&amp;K1475&amp;"-"&amp;L1475&amp;"-"&amp;M1475</f>
        <v>X-2-f-1-14.5</v>
      </c>
      <c r="Q1475">
        <f>A1475+R1475</f>
        <v>3033.921938</v>
      </c>
      <c r="R1475">
        <f>_xlfn.IFNA(VLOOKUP(P1475,PGOPHER!A$2:G$181,7,FALSE),_xlfn.IFNA(VLOOKUP(P1475,en!A$2:I$768,7,FALSE),-10000))</f>
        <v>2016.8858379999999</v>
      </c>
      <c r="S1475">
        <f>IF(O1475=O1474,Q1474+S1474,Q1475)</f>
        <v>9101.7644650000002</v>
      </c>
      <c r="T1475">
        <f>IF(O1475=O1474,T1474+1,1)</f>
        <v>3</v>
      </c>
      <c r="U1475">
        <f>IF(O1475=O1476,"",S1475/T1475)</f>
        <v>3033.9214883333334</v>
      </c>
      <c r="V1475" t="str">
        <f>IF(U1475="","",IF(ABS(Q1475-U1475)&gt;V$1,"error",""))</f>
        <v/>
      </c>
    </row>
    <row r="1476" spans="1:22" x14ac:dyDescent="0.55000000000000004">
      <c r="A1476">
        <v>1183.1280999999999</v>
      </c>
      <c r="B1476" s="1">
        <v>1.3899999999999999E-2</v>
      </c>
      <c r="C1476" s="1">
        <v>1.3899999999999999E-2</v>
      </c>
      <c r="D1476" s="2" t="s">
        <v>0</v>
      </c>
      <c r="E1476">
        <v>2</v>
      </c>
      <c r="F1476" s="2" t="s">
        <v>1</v>
      </c>
      <c r="G1476">
        <v>3</v>
      </c>
      <c r="H1476">
        <v>13.5</v>
      </c>
      <c r="I1476" s="2" t="s">
        <v>0</v>
      </c>
      <c r="J1476">
        <v>2</v>
      </c>
      <c r="K1476" s="2" t="s">
        <v>1</v>
      </c>
      <c r="L1476">
        <v>2</v>
      </c>
      <c r="M1476">
        <v>12.5</v>
      </c>
      <c r="N1476" s="2" t="s">
        <v>580</v>
      </c>
      <c r="O1476" t="str">
        <f>D1476&amp;"-"&amp;E1476&amp;"-"&amp;F1476&amp;"-"&amp;G1476&amp;"-"&amp;H1476</f>
        <v>X-2-f-3-13.5</v>
      </c>
      <c r="P1476" t="str">
        <f>I1476&amp;"-"&amp;J1476&amp;"-"&amp;K1476&amp;"-"&amp;L1476&amp;"-"&amp;M1476</f>
        <v>X-2-f-2-12.5</v>
      </c>
      <c r="Q1476">
        <f>A1476+R1476</f>
        <v>4121.3443109999998</v>
      </c>
      <c r="R1476">
        <f>_xlfn.IFNA(VLOOKUP(P1476,PGOPHER!A$2:G$181,7,FALSE),_xlfn.IFNA(VLOOKUP(P1476,en!A$2:I$768,7,FALSE),-10000))</f>
        <v>2938.2162109999999</v>
      </c>
      <c r="S1476">
        <f>IF(O1476=O1475,Q1475+S1475,Q1476)</f>
        <v>4121.3443109999998</v>
      </c>
      <c r="T1476">
        <f>IF(O1476=O1475,T1475+1,1)</f>
        <v>1</v>
      </c>
      <c r="U1476" t="str">
        <f>IF(O1476=O1477,"",S1476/T1476)</f>
        <v/>
      </c>
      <c r="V1476" t="str">
        <f>IF(U1476="","",IF(ABS(Q1476-U1476)&gt;V$1,"error",""))</f>
        <v/>
      </c>
    </row>
    <row r="1477" spans="1:22" x14ac:dyDescent="0.55000000000000004">
      <c r="A1477">
        <v>1183.1274000000001</v>
      </c>
      <c r="B1477" s="1">
        <v>1.47E-2</v>
      </c>
      <c r="C1477" s="1">
        <v>1.47E-2</v>
      </c>
      <c r="D1477" s="2" t="s">
        <v>0</v>
      </c>
      <c r="E1477">
        <v>2</v>
      </c>
      <c r="F1477" s="2" t="s">
        <v>1</v>
      </c>
      <c r="G1477">
        <v>3</v>
      </c>
      <c r="H1477">
        <v>13.5</v>
      </c>
      <c r="I1477" s="2" t="s">
        <v>0</v>
      </c>
      <c r="J1477">
        <v>2</v>
      </c>
      <c r="K1477" s="2" t="s">
        <v>1</v>
      </c>
      <c r="L1477">
        <v>2</v>
      </c>
      <c r="M1477">
        <v>12.5</v>
      </c>
      <c r="N1477" s="2" t="s">
        <v>581</v>
      </c>
      <c r="O1477" t="str">
        <f>D1477&amp;"-"&amp;E1477&amp;"-"&amp;F1477&amp;"-"&amp;G1477&amp;"-"&amp;H1477</f>
        <v>X-2-f-3-13.5</v>
      </c>
      <c r="P1477" t="str">
        <f>I1477&amp;"-"&amp;J1477&amp;"-"&amp;K1477&amp;"-"&amp;L1477&amp;"-"&amp;M1477</f>
        <v>X-2-f-2-12.5</v>
      </c>
      <c r="Q1477">
        <f>A1477+R1477</f>
        <v>4121.3436110000002</v>
      </c>
      <c r="R1477">
        <f>_xlfn.IFNA(VLOOKUP(P1477,PGOPHER!A$2:G$181,7,FALSE),_xlfn.IFNA(VLOOKUP(P1477,en!A$2:I$768,7,FALSE),-10000))</f>
        <v>2938.2162109999999</v>
      </c>
      <c r="S1477">
        <f>IF(O1477=O1476,Q1476+S1476,Q1477)</f>
        <v>8242.6886219999997</v>
      </c>
      <c r="T1477">
        <f>IF(O1477=O1476,T1476+1,1)</f>
        <v>2</v>
      </c>
      <c r="U1477" t="str">
        <f>IF(O1477=O1478,"",S1477/T1477)</f>
        <v/>
      </c>
      <c r="V1477" t="str">
        <f>IF(U1477="","",IF(ABS(Q1477-U1477)&gt;V$1,"error",""))</f>
        <v/>
      </c>
    </row>
    <row r="1478" spans="1:22" x14ac:dyDescent="0.55000000000000004">
      <c r="A1478">
        <v>985.10599999999999</v>
      </c>
      <c r="B1478" s="1">
        <v>3.8300000000000001E-2</v>
      </c>
      <c r="C1478" s="1">
        <v>3.8300000000000001E-2</v>
      </c>
      <c r="D1478" s="2" t="s">
        <v>0</v>
      </c>
      <c r="E1478">
        <v>2</v>
      </c>
      <c r="F1478" s="2" t="s">
        <v>1</v>
      </c>
      <c r="G1478">
        <v>3</v>
      </c>
      <c r="H1478">
        <v>13.5</v>
      </c>
      <c r="I1478" s="2" t="s">
        <v>0</v>
      </c>
      <c r="J1478">
        <v>2</v>
      </c>
      <c r="K1478" s="2" t="s">
        <v>1</v>
      </c>
      <c r="L1478">
        <v>2</v>
      </c>
      <c r="M1478">
        <v>14.5</v>
      </c>
      <c r="N1478" s="2" t="s">
        <v>582</v>
      </c>
      <c r="O1478" t="str">
        <f>D1478&amp;"-"&amp;E1478&amp;"-"&amp;F1478&amp;"-"&amp;G1478&amp;"-"&amp;H1478</f>
        <v>X-2-f-3-13.5</v>
      </c>
      <c r="P1478" t="str">
        <f>I1478&amp;"-"&amp;J1478&amp;"-"&amp;K1478&amp;"-"&amp;L1478&amp;"-"&amp;M1478</f>
        <v>X-2-f-2-14.5</v>
      </c>
      <c r="Q1478">
        <f>A1478+R1478</f>
        <v>4121.3457200000003</v>
      </c>
      <c r="R1478">
        <f>_xlfn.IFNA(VLOOKUP(P1478,PGOPHER!A$2:G$181,7,FALSE),_xlfn.IFNA(VLOOKUP(P1478,en!A$2:I$768,7,FALSE),-10000))</f>
        <v>3136.23972</v>
      </c>
      <c r="S1478">
        <f>IF(O1478=O1477,Q1477+S1477,Q1478)</f>
        <v>12364.032233</v>
      </c>
      <c r="T1478">
        <f>IF(O1478=O1477,T1477+1,1)</f>
        <v>3</v>
      </c>
      <c r="U1478">
        <f>IF(O1478=O1479,"",S1478/T1478)</f>
        <v>4121.3440776666666</v>
      </c>
      <c r="V1478" t="str">
        <f>IF(U1478="","",IF(ABS(Q1478-U1478)&gt;V$1,"error",""))</f>
        <v/>
      </c>
    </row>
    <row r="1479" spans="1:22" x14ac:dyDescent="0.55000000000000004">
      <c r="A1479">
        <v>1146.2172</v>
      </c>
      <c r="B1479" s="1">
        <v>7.1599999999999997E-3</v>
      </c>
      <c r="C1479" s="1">
        <v>7.1599999999999997E-3</v>
      </c>
      <c r="D1479" s="2" t="s">
        <v>0</v>
      </c>
      <c r="E1479">
        <v>2</v>
      </c>
      <c r="F1479" s="2" t="s">
        <v>1</v>
      </c>
      <c r="G1479">
        <v>4</v>
      </c>
      <c r="H1479">
        <v>13.5</v>
      </c>
      <c r="I1479" s="2" t="s">
        <v>0</v>
      </c>
      <c r="J1479">
        <v>2</v>
      </c>
      <c r="K1479" s="2" t="s">
        <v>1</v>
      </c>
      <c r="L1479">
        <v>3</v>
      </c>
      <c r="M1479">
        <v>12.5</v>
      </c>
      <c r="N1479" s="2" t="s">
        <v>656</v>
      </c>
      <c r="O1479" t="str">
        <f>D1479&amp;"-"&amp;E1479&amp;"-"&amp;F1479&amp;"-"&amp;G1479&amp;"-"&amp;H1479</f>
        <v>X-2-f-4-13.5</v>
      </c>
      <c r="P1479" t="str">
        <f>I1479&amp;"-"&amp;J1479&amp;"-"&amp;K1479&amp;"-"&amp;L1479&amp;"-"&amp;M1479</f>
        <v>X-2-f-3-12.5</v>
      </c>
      <c r="Q1479">
        <f>A1479+R1479</f>
        <v>5174.1220780000003</v>
      </c>
      <c r="R1479">
        <f>_xlfn.IFNA(VLOOKUP(P1479,PGOPHER!A$2:G$181,7,FALSE),_xlfn.IFNA(VLOOKUP(P1479,en!A$2:I$768,7,FALSE),-10000))</f>
        <v>4027.9048779999998</v>
      </c>
      <c r="S1479">
        <f>IF(O1479=O1478,Q1478+S1478,Q1479)</f>
        <v>5174.1220780000003</v>
      </c>
      <c r="T1479">
        <f>IF(O1479=O1478,T1478+1,1)</f>
        <v>1</v>
      </c>
      <c r="U1479" t="str">
        <f>IF(O1479=O1480,"",S1479/T1479)</f>
        <v/>
      </c>
      <c r="V1479" t="str">
        <f>IF(U1479="","",IF(ABS(Q1479-U1479)&gt;V$1,"error",""))</f>
        <v/>
      </c>
    </row>
    <row r="1480" spans="1:22" x14ac:dyDescent="0.55000000000000004">
      <c r="A1480">
        <v>952.8963</v>
      </c>
      <c r="B1480" s="1">
        <v>7.1599999999999997E-3</v>
      </c>
      <c r="C1480" s="1">
        <v>7.1599999999999997E-3</v>
      </c>
      <c r="D1480" s="2" t="s">
        <v>0</v>
      </c>
      <c r="E1480">
        <v>2</v>
      </c>
      <c r="F1480" s="2" t="s">
        <v>1</v>
      </c>
      <c r="G1480">
        <v>4</v>
      </c>
      <c r="H1480">
        <v>13.5</v>
      </c>
      <c r="I1480" s="2" t="s">
        <v>0</v>
      </c>
      <c r="J1480">
        <v>2</v>
      </c>
      <c r="K1480" s="2" t="s">
        <v>1</v>
      </c>
      <c r="L1480">
        <v>3</v>
      </c>
      <c r="M1480">
        <v>14.5</v>
      </c>
      <c r="N1480" s="2" t="s">
        <v>658</v>
      </c>
      <c r="O1480" t="str">
        <f>D1480&amp;"-"&amp;E1480&amp;"-"&amp;F1480&amp;"-"&amp;G1480&amp;"-"&amp;H1480</f>
        <v>X-2-f-4-13.5</v>
      </c>
      <c r="P1480" t="str">
        <f>I1480&amp;"-"&amp;J1480&amp;"-"&amp;K1480&amp;"-"&amp;L1480&amp;"-"&amp;M1480</f>
        <v>X-2-f-3-14.5</v>
      </c>
      <c r="Q1480">
        <f>A1480+R1480</f>
        <v>5174.1231430000007</v>
      </c>
      <c r="R1480">
        <f>_xlfn.IFNA(VLOOKUP(P1480,PGOPHER!A$2:G$181,7,FALSE),_xlfn.IFNA(VLOOKUP(P1480,en!A$2:I$768,7,FALSE),-10000))</f>
        <v>4221.2268430000004</v>
      </c>
      <c r="S1480">
        <f>IF(O1480=O1479,Q1479+S1479,Q1480)</f>
        <v>10348.244156000001</v>
      </c>
      <c r="T1480">
        <f>IF(O1480=O1479,T1479+1,1)</f>
        <v>2</v>
      </c>
      <c r="U1480">
        <f>IF(O1480=O1481,"",S1480/T1480)</f>
        <v>5174.1220780000003</v>
      </c>
      <c r="V1480" t="str">
        <f>IF(U1480="","",IF(ABS(Q1480-U1480)&gt;V$1,"error",""))</f>
        <v/>
      </c>
    </row>
    <row r="1481" spans="1:22" x14ac:dyDescent="0.55000000000000004">
      <c r="A1481">
        <v>1048.6792399999999</v>
      </c>
      <c r="B1481" s="1">
        <v>3.1029999999999999E-3</v>
      </c>
      <c r="C1481" s="1">
        <v>3.1029999999999999E-3</v>
      </c>
      <c r="D1481" s="2" t="s">
        <v>0</v>
      </c>
      <c r="E1481">
        <v>1</v>
      </c>
      <c r="F1481" s="2" t="s">
        <v>2</v>
      </c>
      <c r="G1481">
        <v>1</v>
      </c>
      <c r="H1481">
        <v>14.5</v>
      </c>
      <c r="I1481" s="2" t="s">
        <v>0</v>
      </c>
      <c r="J1481">
        <v>1</v>
      </c>
      <c r="K1481" s="2" t="s">
        <v>2</v>
      </c>
      <c r="L1481">
        <v>0</v>
      </c>
      <c r="M1481">
        <v>15.5</v>
      </c>
      <c r="N1481" s="2" t="s">
        <v>225</v>
      </c>
      <c r="O1481" t="str">
        <f>D1481&amp;"-"&amp;E1481&amp;"-"&amp;F1481&amp;"-"&amp;G1481&amp;"-"&amp;H1481</f>
        <v>X-1-e-1-14.5</v>
      </c>
      <c r="P1481" t="str">
        <f>I1481&amp;"-"&amp;J1481&amp;"-"&amp;K1481&amp;"-"&amp;L1481&amp;"-"&amp;M1481</f>
        <v>X-1-e-0-15.5</v>
      </c>
      <c r="Q1481">
        <f>A1481+R1481</f>
        <v>1913.8568989999999</v>
      </c>
      <c r="R1481">
        <f>_xlfn.IFNA(VLOOKUP(P1481,PGOPHER!A$2:G$181,7,FALSE),_xlfn.IFNA(VLOOKUP(P1481,en!A$2:I$768,7,FALSE),-10000))</f>
        <v>865.17765899999995</v>
      </c>
      <c r="S1481">
        <f>IF(O1481=O1480,Q1480+S1480,Q1481)</f>
        <v>1913.8568989999999</v>
      </c>
      <c r="T1481">
        <f>IF(O1481=O1480,T1480+1,1)</f>
        <v>1</v>
      </c>
      <c r="U1481" t="str">
        <f>IF(O1481=O1482,"",S1481/T1481)</f>
        <v/>
      </c>
      <c r="V1481" t="str">
        <f>IF(U1481="","",IF(ABS(Q1481-U1481)&gt;V$1,"error",""))</f>
        <v/>
      </c>
    </row>
    <row r="1482" spans="1:22" x14ac:dyDescent="0.55000000000000004">
      <c r="A1482">
        <v>1256.2485999999999</v>
      </c>
      <c r="B1482" s="1">
        <v>1E-3</v>
      </c>
      <c r="C1482" s="1">
        <v>1E-3</v>
      </c>
      <c r="D1482" s="2" t="s">
        <v>0</v>
      </c>
      <c r="E1482">
        <v>1</v>
      </c>
      <c r="F1482" s="2" t="s">
        <v>2</v>
      </c>
      <c r="G1482">
        <v>1</v>
      </c>
      <c r="H1482">
        <v>14.5</v>
      </c>
      <c r="I1482" s="2" t="s">
        <v>0</v>
      </c>
      <c r="J1482">
        <v>1</v>
      </c>
      <c r="K1482" s="2" t="s">
        <v>2</v>
      </c>
      <c r="L1482">
        <v>0</v>
      </c>
      <c r="M1482">
        <v>13.5</v>
      </c>
      <c r="N1482" s="2" t="s">
        <v>228</v>
      </c>
      <c r="O1482" t="str">
        <f>D1482&amp;"-"&amp;E1482&amp;"-"&amp;F1482&amp;"-"&amp;G1482&amp;"-"&amp;H1482</f>
        <v>X-1-e-1-14.5</v>
      </c>
      <c r="P1482" t="str">
        <f>I1482&amp;"-"&amp;J1482&amp;"-"&amp;K1482&amp;"-"&amp;L1482&amp;"-"&amp;M1482</f>
        <v>X-1-e-0-13.5</v>
      </c>
      <c r="Q1482">
        <f>A1482+R1482</f>
        <v>1913.8593219999998</v>
      </c>
      <c r="R1482">
        <f>_xlfn.IFNA(VLOOKUP(P1482,PGOPHER!A$2:G$181,7,FALSE),_xlfn.IFNA(VLOOKUP(P1482,en!A$2:I$768,7,FALSE),-10000))</f>
        <v>657.61072200000001</v>
      </c>
      <c r="S1482">
        <f>IF(O1482=O1481,Q1481+S1481,Q1482)</f>
        <v>3827.7137979999998</v>
      </c>
      <c r="T1482">
        <f>IF(O1482=O1481,T1481+1,1)</f>
        <v>2</v>
      </c>
      <c r="U1482" t="str">
        <f>IF(O1482=O1483,"",S1482/T1482)</f>
        <v/>
      </c>
      <c r="V1482" t="str">
        <f>IF(U1482="","",IF(ABS(Q1482-U1482)&gt;V$1,"error",""))</f>
        <v/>
      </c>
    </row>
    <row r="1483" spans="1:22" x14ac:dyDescent="0.55000000000000004">
      <c r="A1483">
        <v>1256.2481499999999</v>
      </c>
      <c r="B1483" s="1">
        <v>1E-3</v>
      </c>
      <c r="C1483" s="1">
        <v>1E-3</v>
      </c>
      <c r="D1483" s="2" t="s">
        <v>0</v>
      </c>
      <c r="E1483">
        <v>1</v>
      </c>
      <c r="F1483" s="2" t="s">
        <v>2</v>
      </c>
      <c r="G1483">
        <v>1</v>
      </c>
      <c r="H1483">
        <v>14.5</v>
      </c>
      <c r="I1483" s="2" t="s">
        <v>0</v>
      </c>
      <c r="J1483">
        <v>1</v>
      </c>
      <c r="K1483" s="2" t="s">
        <v>2</v>
      </c>
      <c r="L1483">
        <v>0</v>
      </c>
      <c r="M1483">
        <v>13.5</v>
      </c>
      <c r="N1483" s="2" t="s">
        <v>226</v>
      </c>
      <c r="O1483" t="str">
        <f>D1483&amp;"-"&amp;E1483&amp;"-"&amp;F1483&amp;"-"&amp;G1483&amp;"-"&amp;H1483</f>
        <v>X-1-e-1-14.5</v>
      </c>
      <c r="P1483" t="str">
        <f>I1483&amp;"-"&amp;J1483&amp;"-"&amp;K1483&amp;"-"&amp;L1483&amp;"-"&amp;M1483</f>
        <v>X-1-e-0-13.5</v>
      </c>
      <c r="Q1483">
        <f>A1483+R1483</f>
        <v>1913.8588719999998</v>
      </c>
      <c r="R1483">
        <f>_xlfn.IFNA(VLOOKUP(P1483,PGOPHER!A$2:G$181,7,FALSE),_xlfn.IFNA(VLOOKUP(P1483,en!A$2:I$768,7,FALSE),-10000))</f>
        <v>657.61072200000001</v>
      </c>
      <c r="S1483">
        <f>IF(O1483=O1482,Q1482+S1482,Q1483)</f>
        <v>5741.5731199999991</v>
      </c>
      <c r="T1483">
        <f>IF(O1483=O1482,T1482+1,1)</f>
        <v>3</v>
      </c>
      <c r="U1483" t="str">
        <f>IF(O1483=O1484,"",S1483/T1483)</f>
        <v/>
      </c>
      <c r="V1483" t="str">
        <f>IF(U1483="","",IF(ABS(Q1483-U1483)&gt;V$1,"error",""))</f>
        <v/>
      </c>
    </row>
    <row r="1484" spans="1:22" x14ac:dyDescent="0.55000000000000004">
      <c r="A1484">
        <v>1048.6821</v>
      </c>
      <c r="B1484" s="1">
        <v>2.9399999999999999E-2</v>
      </c>
      <c r="C1484" s="1">
        <v>2.9399999999999999E-2</v>
      </c>
      <c r="D1484" s="2" t="s">
        <v>0</v>
      </c>
      <c r="E1484">
        <v>1</v>
      </c>
      <c r="F1484" s="2" t="s">
        <v>2</v>
      </c>
      <c r="G1484">
        <v>1</v>
      </c>
      <c r="H1484">
        <v>14.5</v>
      </c>
      <c r="I1484" s="2" t="s">
        <v>0</v>
      </c>
      <c r="J1484">
        <v>1</v>
      </c>
      <c r="K1484" s="2" t="s">
        <v>2</v>
      </c>
      <c r="L1484">
        <v>0</v>
      </c>
      <c r="M1484">
        <v>15.5</v>
      </c>
      <c r="N1484" s="2" t="s">
        <v>223</v>
      </c>
      <c r="O1484" t="str">
        <f>D1484&amp;"-"&amp;E1484&amp;"-"&amp;F1484&amp;"-"&amp;G1484&amp;"-"&amp;H1484</f>
        <v>X-1-e-1-14.5</v>
      </c>
      <c r="P1484" t="str">
        <f>I1484&amp;"-"&amp;J1484&amp;"-"&amp;K1484&amp;"-"&amp;L1484&amp;"-"&amp;M1484</f>
        <v>X-1-e-0-15.5</v>
      </c>
      <c r="Q1484">
        <f>A1484+R1484</f>
        <v>1913.8597589999999</v>
      </c>
      <c r="R1484">
        <f>_xlfn.IFNA(VLOOKUP(P1484,PGOPHER!A$2:G$181,7,FALSE),_xlfn.IFNA(VLOOKUP(P1484,en!A$2:I$768,7,FALSE),-10000))</f>
        <v>865.17765899999995</v>
      </c>
      <c r="S1484">
        <f>IF(O1484=O1483,Q1483+S1483,Q1484)</f>
        <v>7655.4319919999989</v>
      </c>
      <c r="T1484">
        <f>IF(O1484=O1483,T1483+1,1)</f>
        <v>4</v>
      </c>
      <c r="U1484" t="str">
        <f>IF(O1484=O1485,"",S1484/T1484)</f>
        <v/>
      </c>
      <c r="V1484" t="str">
        <f>IF(U1484="","",IF(ABS(Q1484-U1484)&gt;V$1,"error",""))</f>
        <v/>
      </c>
    </row>
    <row r="1485" spans="1:22" x14ac:dyDescent="0.55000000000000004">
      <c r="A1485">
        <v>1256.2492999999999</v>
      </c>
      <c r="B1485" s="1">
        <v>2.18E-2</v>
      </c>
      <c r="C1485" s="1">
        <v>2.18E-2</v>
      </c>
      <c r="D1485" s="2" t="s">
        <v>0</v>
      </c>
      <c r="E1485">
        <v>1</v>
      </c>
      <c r="F1485" s="2" t="s">
        <v>2</v>
      </c>
      <c r="G1485">
        <v>1</v>
      </c>
      <c r="H1485">
        <v>14.5</v>
      </c>
      <c r="I1485" s="2" t="s">
        <v>0</v>
      </c>
      <c r="J1485">
        <v>1</v>
      </c>
      <c r="K1485" s="2" t="s">
        <v>2</v>
      </c>
      <c r="L1485">
        <v>0</v>
      </c>
      <c r="M1485">
        <v>13.5</v>
      </c>
      <c r="N1485" s="2" t="s">
        <v>221</v>
      </c>
      <c r="O1485" t="str">
        <f>D1485&amp;"-"&amp;E1485&amp;"-"&amp;F1485&amp;"-"&amp;G1485&amp;"-"&amp;H1485</f>
        <v>X-1-e-1-14.5</v>
      </c>
      <c r="P1485" t="str">
        <f>I1485&amp;"-"&amp;J1485&amp;"-"&amp;K1485&amp;"-"&amp;L1485&amp;"-"&amp;M1485</f>
        <v>X-1-e-0-13.5</v>
      </c>
      <c r="Q1485">
        <f>A1485+R1485</f>
        <v>1913.8600219999998</v>
      </c>
      <c r="R1485">
        <f>_xlfn.IFNA(VLOOKUP(P1485,PGOPHER!A$2:G$181,7,FALSE),_xlfn.IFNA(VLOOKUP(P1485,en!A$2:I$768,7,FALSE),-10000))</f>
        <v>657.61072200000001</v>
      </c>
      <c r="S1485">
        <f>IF(O1485=O1484,Q1484+S1484,Q1485)</f>
        <v>9569.2917509999988</v>
      </c>
      <c r="T1485">
        <f>IF(O1485=O1484,T1484+1,1)</f>
        <v>5</v>
      </c>
      <c r="U1485" t="str">
        <f>IF(O1485=O1486,"",S1485/T1485)</f>
        <v/>
      </c>
      <c r="V1485" t="str">
        <f>IF(U1485="","",IF(ABS(Q1485-U1485)&gt;V$1,"error",""))</f>
        <v/>
      </c>
    </row>
    <row r="1486" spans="1:22" x14ac:dyDescent="0.55000000000000004">
      <c r="A1486">
        <v>1048.6820600000001</v>
      </c>
      <c r="B1486" s="1">
        <v>1.41E-3</v>
      </c>
      <c r="C1486" s="1">
        <v>1.41E-3</v>
      </c>
      <c r="D1486" s="2" t="s">
        <v>0</v>
      </c>
      <c r="E1486">
        <v>1</v>
      </c>
      <c r="F1486" s="2" t="s">
        <v>2</v>
      </c>
      <c r="G1486">
        <v>1</v>
      </c>
      <c r="H1486">
        <v>14.5</v>
      </c>
      <c r="I1486" s="2" t="s">
        <v>0</v>
      </c>
      <c r="J1486">
        <v>1</v>
      </c>
      <c r="K1486" s="2" t="s">
        <v>2</v>
      </c>
      <c r="L1486">
        <v>0</v>
      </c>
      <c r="M1486">
        <v>15.5</v>
      </c>
      <c r="N1486" s="2" t="s">
        <v>229</v>
      </c>
      <c r="O1486" t="str">
        <f>D1486&amp;"-"&amp;E1486&amp;"-"&amp;F1486&amp;"-"&amp;G1486&amp;"-"&amp;H1486</f>
        <v>X-1-e-1-14.5</v>
      </c>
      <c r="P1486" t="str">
        <f>I1486&amp;"-"&amp;J1486&amp;"-"&amp;K1486&amp;"-"&amp;L1486&amp;"-"&amp;M1486</f>
        <v>X-1-e-0-15.5</v>
      </c>
      <c r="Q1486">
        <f>A1486+R1486</f>
        <v>1913.859719</v>
      </c>
      <c r="R1486">
        <f>_xlfn.IFNA(VLOOKUP(P1486,PGOPHER!A$2:G$181,7,FALSE),_xlfn.IFNA(VLOOKUP(P1486,en!A$2:I$768,7,FALSE),-10000))</f>
        <v>865.17765899999995</v>
      </c>
      <c r="S1486">
        <f>IF(O1486=O1485,Q1485+S1485,Q1486)</f>
        <v>11483.151772999998</v>
      </c>
      <c r="T1486">
        <f>IF(O1486=O1485,T1485+1,1)</f>
        <v>6</v>
      </c>
      <c r="U1486" t="str">
        <f>IF(O1486=O1487,"",S1486/T1486)</f>
        <v/>
      </c>
      <c r="V1486" t="str">
        <f>IF(U1486="","",IF(ABS(Q1486-U1486)&gt;V$1,"error",""))</f>
        <v/>
      </c>
    </row>
    <row r="1487" spans="1:22" x14ac:dyDescent="0.55000000000000004">
      <c r="A1487">
        <v>1256.2492999999999</v>
      </c>
      <c r="B1487" s="1">
        <v>1E-3</v>
      </c>
      <c r="C1487" s="1">
        <v>1E-3</v>
      </c>
      <c r="D1487" s="2" t="s">
        <v>0</v>
      </c>
      <c r="E1487">
        <v>1</v>
      </c>
      <c r="F1487" s="2" t="s">
        <v>2</v>
      </c>
      <c r="G1487">
        <v>1</v>
      </c>
      <c r="H1487">
        <v>14.5</v>
      </c>
      <c r="I1487" s="2" t="s">
        <v>0</v>
      </c>
      <c r="J1487">
        <v>1</v>
      </c>
      <c r="K1487" s="2" t="s">
        <v>2</v>
      </c>
      <c r="L1487">
        <v>0</v>
      </c>
      <c r="M1487">
        <v>13.5</v>
      </c>
      <c r="N1487" s="2" t="s">
        <v>232</v>
      </c>
      <c r="O1487" t="str">
        <f>D1487&amp;"-"&amp;E1487&amp;"-"&amp;F1487&amp;"-"&amp;G1487&amp;"-"&amp;H1487</f>
        <v>X-1-e-1-14.5</v>
      </c>
      <c r="P1487" t="str">
        <f>I1487&amp;"-"&amp;J1487&amp;"-"&amp;K1487&amp;"-"&amp;L1487&amp;"-"&amp;M1487</f>
        <v>X-1-e-0-13.5</v>
      </c>
      <c r="Q1487">
        <f>A1487+R1487</f>
        <v>1913.8600219999998</v>
      </c>
      <c r="R1487">
        <f>_xlfn.IFNA(VLOOKUP(P1487,PGOPHER!A$2:G$181,7,FALSE),_xlfn.IFNA(VLOOKUP(P1487,en!A$2:I$768,7,FALSE),-10000))</f>
        <v>657.61072200000001</v>
      </c>
      <c r="S1487">
        <f>IF(O1487=O1486,Q1486+S1486,Q1487)</f>
        <v>13397.011491999998</v>
      </c>
      <c r="T1487">
        <f>IF(O1487=O1486,T1486+1,1)</f>
        <v>7</v>
      </c>
      <c r="U1487" t="str">
        <f>IF(O1487=O1488,"",S1487/T1487)</f>
        <v/>
      </c>
      <c r="V1487" t="str">
        <f>IF(U1487="","",IF(ABS(Q1487-U1487)&gt;V$1,"error",""))</f>
        <v/>
      </c>
    </row>
    <row r="1488" spans="1:22" x14ac:dyDescent="0.55000000000000004">
      <c r="A1488">
        <v>1256.2485999999999</v>
      </c>
      <c r="B1488" s="1">
        <v>2.1000000000000001E-2</v>
      </c>
      <c r="C1488" s="1">
        <v>2.1000000000000001E-2</v>
      </c>
      <c r="D1488" s="2" t="s">
        <v>0</v>
      </c>
      <c r="E1488">
        <v>1</v>
      </c>
      <c r="F1488" s="2" t="s">
        <v>2</v>
      </c>
      <c r="G1488">
        <v>1</v>
      </c>
      <c r="H1488">
        <v>14.5</v>
      </c>
      <c r="I1488" s="2" t="s">
        <v>0</v>
      </c>
      <c r="J1488">
        <v>1</v>
      </c>
      <c r="K1488" s="2" t="s">
        <v>2</v>
      </c>
      <c r="L1488">
        <v>0</v>
      </c>
      <c r="M1488">
        <v>13.5</v>
      </c>
      <c r="N1488" s="2" t="s">
        <v>220</v>
      </c>
      <c r="O1488" t="str">
        <f>D1488&amp;"-"&amp;E1488&amp;"-"&amp;F1488&amp;"-"&amp;G1488&amp;"-"&amp;H1488</f>
        <v>X-1-e-1-14.5</v>
      </c>
      <c r="P1488" t="str">
        <f>I1488&amp;"-"&amp;J1488&amp;"-"&amp;K1488&amp;"-"&amp;L1488&amp;"-"&amp;M1488</f>
        <v>X-1-e-0-13.5</v>
      </c>
      <c r="Q1488">
        <f>A1488+R1488</f>
        <v>1913.8593219999998</v>
      </c>
      <c r="R1488">
        <f>_xlfn.IFNA(VLOOKUP(P1488,PGOPHER!A$2:G$181,7,FALSE),_xlfn.IFNA(VLOOKUP(P1488,en!A$2:I$768,7,FALSE),-10000))</f>
        <v>657.61072200000001</v>
      </c>
      <c r="S1488">
        <f>IF(O1488=O1487,Q1487+S1487,Q1488)</f>
        <v>15310.871513999999</v>
      </c>
      <c r="T1488">
        <f>IF(O1488=O1487,T1487+1,1)</f>
        <v>8</v>
      </c>
      <c r="U1488">
        <f>IF(O1488=O1489,"",S1488/T1488)</f>
        <v>1913.8589392499998</v>
      </c>
      <c r="V1488" t="str">
        <f>IF(U1488="","",IF(ABS(Q1488-U1488)&gt;V$1,"error",""))</f>
        <v/>
      </c>
    </row>
    <row r="1489" spans="1:22" x14ac:dyDescent="0.55000000000000004">
      <c r="A1489">
        <v>1219.7788</v>
      </c>
      <c r="B1489" s="1">
        <v>7.6099999999999996E-3</v>
      </c>
      <c r="C1489" s="1">
        <v>7.6099999999999996E-3</v>
      </c>
      <c r="D1489" s="2" t="s">
        <v>0</v>
      </c>
      <c r="E1489">
        <v>1</v>
      </c>
      <c r="F1489" s="2" t="s">
        <v>2</v>
      </c>
      <c r="G1489">
        <v>2</v>
      </c>
      <c r="H1489">
        <v>14.5</v>
      </c>
      <c r="I1489" s="2" t="s">
        <v>0</v>
      </c>
      <c r="J1489">
        <v>1</v>
      </c>
      <c r="K1489" s="2" t="s">
        <v>2</v>
      </c>
      <c r="L1489">
        <v>1</v>
      </c>
      <c r="M1489">
        <v>13.5</v>
      </c>
      <c r="N1489" s="2" t="s">
        <v>459</v>
      </c>
      <c r="O1489" t="str">
        <f>D1489&amp;"-"&amp;E1489&amp;"-"&amp;F1489&amp;"-"&amp;G1489&amp;"-"&amp;H1489</f>
        <v>X-1-e-2-14.5</v>
      </c>
      <c r="P1489" t="str">
        <f>I1489&amp;"-"&amp;J1489&amp;"-"&amp;K1489&amp;"-"&amp;L1489&amp;"-"&amp;M1489</f>
        <v>X-1-e-1-13.5</v>
      </c>
      <c r="Q1489">
        <f>A1489+R1489</f>
        <v>3035.5649750000002</v>
      </c>
      <c r="R1489">
        <f>_xlfn.IFNA(VLOOKUP(P1489,PGOPHER!A$2:G$181,7,FALSE),_xlfn.IFNA(VLOOKUP(P1489,en!A$2:I$768,7,FALSE),-10000))</f>
        <v>1815.786175</v>
      </c>
      <c r="S1489">
        <f>IF(O1489=O1488,Q1488+S1488,Q1489)</f>
        <v>3035.5649750000002</v>
      </c>
      <c r="T1489">
        <f>IF(O1489=O1488,T1488+1,1)</f>
        <v>1</v>
      </c>
      <c r="U1489" t="str">
        <f>IF(O1489=O1490,"",S1489/T1489)</f>
        <v/>
      </c>
      <c r="V1489" t="str">
        <f>IF(U1489="","",IF(ABS(Q1489-U1489)&gt;V$1,"error",""))</f>
        <v/>
      </c>
    </row>
    <row r="1490" spans="1:22" x14ac:dyDescent="0.55000000000000004">
      <c r="A1490">
        <v>1219.7774999999999</v>
      </c>
      <c r="B1490" s="1">
        <v>6.1799999999999997E-3</v>
      </c>
      <c r="C1490" s="1">
        <v>6.1799999999999997E-3</v>
      </c>
      <c r="D1490" s="2" t="s">
        <v>0</v>
      </c>
      <c r="E1490">
        <v>1</v>
      </c>
      <c r="F1490" s="2" t="s">
        <v>2</v>
      </c>
      <c r="G1490">
        <v>2</v>
      </c>
      <c r="H1490">
        <v>14.5</v>
      </c>
      <c r="I1490" s="2" t="s">
        <v>0</v>
      </c>
      <c r="J1490">
        <v>1</v>
      </c>
      <c r="K1490" s="2" t="s">
        <v>2</v>
      </c>
      <c r="L1490">
        <v>1</v>
      </c>
      <c r="M1490">
        <v>13.5</v>
      </c>
      <c r="N1490" s="2" t="s">
        <v>458</v>
      </c>
      <c r="O1490" t="str">
        <f>D1490&amp;"-"&amp;E1490&amp;"-"&amp;F1490&amp;"-"&amp;G1490&amp;"-"&amp;H1490</f>
        <v>X-1-e-2-14.5</v>
      </c>
      <c r="P1490" t="str">
        <f>I1490&amp;"-"&amp;J1490&amp;"-"&amp;K1490&amp;"-"&amp;L1490&amp;"-"&amp;M1490</f>
        <v>X-1-e-1-13.5</v>
      </c>
      <c r="Q1490">
        <f>A1490+R1490</f>
        <v>3035.5636749999999</v>
      </c>
      <c r="R1490">
        <f>_xlfn.IFNA(VLOOKUP(P1490,PGOPHER!A$2:G$181,7,FALSE),_xlfn.IFNA(VLOOKUP(P1490,en!A$2:I$768,7,FALSE),-10000))</f>
        <v>1815.786175</v>
      </c>
      <c r="S1490">
        <f>IF(O1490=O1489,Q1489+S1489,Q1490)</f>
        <v>6071.1299500000005</v>
      </c>
      <c r="T1490">
        <f>IF(O1490=O1489,T1489+1,1)</f>
        <v>2</v>
      </c>
      <c r="U1490" t="str">
        <f>IF(O1490=O1491,"",S1490/T1490)</f>
        <v/>
      </c>
      <c r="V1490" t="str">
        <f>IF(U1490="","",IF(ABS(Q1490-U1490)&gt;V$1,"error",""))</f>
        <v/>
      </c>
    </row>
    <row r="1491" spans="1:22" x14ac:dyDescent="0.55000000000000004">
      <c r="A1491">
        <v>1016.865</v>
      </c>
      <c r="B1491" s="1">
        <v>1.2E-2</v>
      </c>
      <c r="C1491" s="1">
        <v>1.2E-2</v>
      </c>
      <c r="D1491" s="2" t="s">
        <v>0</v>
      </c>
      <c r="E1491">
        <v>1</v>
      </c>
      <c r="F1491" s="2" t="s">
        <v>2</v>
      </c>
      <c r="G1491">
        <v>2</v>
      </c>
      <c r="H1491">
        <v>14.5</v>
      </c>
      <c r="I1491" s="2" t="s">
        <v>0</v>
      </c>
      <c r="J1491">
        <v>1</v>
      </c>
      <c r="K1491" s="2" t="s">
        <v>2</v>
      </c>
      <c r="L1491">
        <v>1</v>
      </c>
      <c r="M1491">
        <v>15.5</v>
      </c>
      <c r="N1491" s="2" t="s">
        <v>461</v>
      </c>
      <c r="O1491" t="str">
        <f>D1491&amp;"-"&amp;E1491&amp;"-"&amp;F1491&amp;"-"&amp;G1491&amp;"-"&amp;H1491</f>
        <v>X-1-e-2-14.5</v>
      </c>
      <c r="P1491" t="str">
        <f>I1491&amp;"-"&amp;J1491&amp;"-"&amp;K1491&amp;"-"&amp;L1491&amp;"-"&amp;M1491</f>
        <v>X-1-e-1-15.5</v>
      </c>
      <c r="Q1491">
        <f>A1491+R1491</f>
        <v>3035.565932</v>
      </c>
      <c r="R1491">
        <f>_xlfn.IFNA(VLOOKUP(P1491,PGOPHER!A$2:G$181,7,FALSE),_xlfn.IFNA(VLOOKUP(P1491,en!A$2:I$768,7,FALSE),-10000))</f>
        <v>2018.700932</v>
      </c>
      <c r="S1491">
        <f>IF(O1491=O1490,Q1490+S1490,Q1491)</f>
        <v>9106.6936249999999</v>
      </c>
      <c r="T1491">
        <f>IF(O1491=O1490,T1490+1,1)</f>
        <v>3</v>
      </c>
      <c r="U1491">
        <f>IF(O1491=O1492,"",S1491/T1491)</f>
        <v>3035.5645416666666</v>
      </c>
      <c r="V1491" t="str">
        <f>IF(U1491="","",IF(ABS(Q1491-U1491)&gt;V$1,"error",""))</f>
        <v/>
      </c>
    </row>
    <row r="1492" spans="1:22" x14ac:dyDescent="0.55000000000000004">
      <c r="A1492">
        <v>1183.1777999999999</v>
      </c>
      <c r="B1492" s="1">
        <v>2.06E-2</v>
      </c>
      <c r="C1492" s="1">
        <v>2.06E-2</v>
      </c>
      <c r="D1492" s="2" t="s">
        <v>0</v>
      </c>
      <c r="E1492">
        <v>1</v>
      </c>
      <c r="F1492" s="2" t="s">
        <v>2</v>
      </c>
      <c r="G1492">
        <v>3</v>
      </c>
      <c r="H1492">
        <v>14.5</v>
      </c>
      <c r="I1492" s="2" t="s">
        <v>0</v>
      </c>
      <c r="J1492">
        <v>1</v>
      </c>
      <c r="K1492" s="2" t="s">
        <v>2</v>
      </c>
      <c r="L1492">
        <v>2</v>
      </c>
      <c r="M1492">
        <v>13.5</v>
      </c>
      <c r="N1492" s="2" t="s">
        <v>583</v>
      </c>
      <c r="O1492" t="str">
        <f>D1492&amp;"-"&amp;E1492&amp;"-"&amp;F1492&amp;"-"&amp;G1492&amp;"-"&amp;H1492</f>
        <v>X-1-e-3-14.5</v>
      </c>
      <c r="P1492" t="str">
        <f>I1492&amp;"-"&amp;J1492&amp;"-"&amp;K1492&amp;"-"&amp;L1492&amp;"-"&amp;M1492</f>
        <v>X-1-e-2-13.5</v>
      </c>
      <c r="Q1492">
        <f>A1492+R1492</f>
        <v>4122.9272799999999</v>
      </c>
      <c r="R1492">
        <f>_xlfn.IFNA(VLOOKUP(P1492,PGOPHER!A$2:G$181,7,FALSE),_xlfn.IFNA(VLOOKUP(P1492,en!A$2:I$768,7,FALSE),-10000))</f>
        <v>2939.7494799999999</v>
      </c>
      <c r="S1492">
        <f>IF(O1492=O1491,Q1491+S1491,Q1492)</f>
        <v>4122.9272799999999</v>
      </c>
      <c r="T1492">
        <f>IF(O1492=O1491,T1491+1,1)</f>
        <v>1</v>
      </c>
      <c r="U1492" t="str">
        <f>IF(O1492=O1493,"",S1492/T1492)</f>
        <v/>
      </c>
      <c r="V1492" t="str">
        <f>IF(U1492="","",IF(ABS(Q1492-U1492)&gt;V$1,"error",""))</f>
        <v/>
      </c>
    </row>
    <row r="1493" spans="1:22" x14ac:dyDescent="0.55000000000000004">
      <c r="A1493">
        <v>984.9393</v>
      </c>
      <c r="B1493" s="1">
        <v>2.92E-2</v>
      </c>
      <c r="C1493" s="1">
        <v>2.92E-2</v>
      </c>
      <c r="D1493" s="2" t="s">
        <v>0</v>
      </c>
      <c r="E1493">
        <v>1</v>
      </c>
      <c r="F1493" s="2" t="s">
        <v>2</v>
      </c>
      <c r="G1493">
        <v>3</v>
      </c>
      <c r="H1493">
        <v>14.5</v>
      </c>
      <c r="I1493" s="2" t="s">
        <v>0</v>
      </c>
      <c r="J1493">
        <v>1</v>
      </c>
      <c r="K1493" s="2" t="s">
        <v>2</v>
      </c>
      <c r="L1493">
        <v>2</v>
      </c>
      <c r="M1493">
        <v>15.5</v>
      </c>
      <c r="N1493" s="2" t="s">
        <v>584</v>
      </c>
      <c r="O1493" t="str">
        <f>D1493&amp;"-"&amp;E1493&amp;"-"&amp;F1493&amp;"-"&amp;G1493&amp;"-"&amp;H1493</f>
        <v>X-1-e-3-14.5</v>
      </c>
      <c r="P1493" t="str">
        <f>I1493&amp;"-"&amp;J1493&amp;"-"&amp;K1493&amp;"-"&amp;L1493&amp;"-"&amp;M1493</f>
        <v>X-1-e-2-15.5</v>
      </c>
      <c r="Q1493">
        <f>A1493+R1493</f>
        <v>4122.9278340000001</v>
      </c>
      <c r="R1493">
        <f>_xlfn.IFNA(VLOOKUP(P1493,PGOPHER!A$2:G$181,7,FALSE),_xlfn.IFNA(VLOOKUP(P1493,en!A$2:I$768,7,FALSE),-10000))</f>
        <v>3137.9885340000001</v>
      </c>
      <c r="S1493">
        <f>IF(O1493=O1492,Q1492+S1492,Q1493)</f>
        <v>8245.8545599999998</v>
      </c>
      <c r="T1493">
        <f>IF(O1493=O1492,T1492+1,1)</f>
        <v>2</v>
      </c>
      <c r="U1493" t="str">
        <f>IF(O1493=O1494,"",S1493/T1493)</f>
        <v/>
      </c>
      <c r="V1493" t="str">
        <f>IF(U1493="","",IF(ABS(Q1493-U1493)&gt;V$1,"error",""))</f>
        <v/>
      </c>
    </row>
    <row r="1494" spans="1:22" x14ac:dyDescent="0.55000000000000004">
      <c r="A1494">
        <v>1183.1777999999999</v>
      </c>
      <c r="B1494" s="1">
        <v>2.06E-2</v>
      </c>
      <c r="C1494" s="1">
        <v>2.06E-2</v>
      </c>
      <c r="D1494" s="2" t="s">
        <v>0</v>
      </c>
      <c r="E1494">
        <v>1</v>
      </c>
      <c r="F1494" s="2" t="s">
        <v>2</v>
      </c>
      <c r="G1494">
        <v>3</v>
      </c>
      <c r="H1494">
        <v>14.5</v>
      </c>
      <c r="I1494" s="2" t="s">
        <v>0</v>
      </c>
      <c r="J1494">
        <v>1</v>
      </c>
      <c r="K1494" s="2" t="s">
        <v>2</v>
      </c>
      <c r="L1494">
        <v>2</v>
      </c>
      <c r="M1494">
        <v>13.5</v>
      </c>
      <c r="N1494" s="2" t="s">
        <v>585</v>
      </c>
      <c r="O1494" t="str">
        <f>D1494&amp;"-"&amp;E1494&amp;"-"&amp;F1494&amp;"-"&amp;G1494&amp;"-"&amp;H1494</f>
        <v>X-1-e-3-14.5</v>
      </c>
      <c r="P1494" t="str">
        <f>I1494&amp;"-"&amp;J1494&amp;"-"&amp;K1494&amp;"-"&amp;L1494&amp;"-"&amp;M1494</f>
        <v>X-1-e-2-13.5</v>
      </c>
      <c r="Q1494">
        <f>A1494+R1494</f>
        <v>4122.9272799999999</v>
      </c>
      <c r="R1494">
        <f>_xlfn.IFNA(VLOOKUP(P1494,PGOPHER!A$2:G$181,7,FALSE),_xlfn.IFNA(VLOOKUP(P1494,en!A$2:I$768,7,FALSE),-10000))</f>
        <v>2939.7494799999999</v>
      </c>
      <c r="S1494">
        <f>IF(O1494=O1493,Q1493+S1493,Q1494)</f>
        <v>12368.782394</v>
      </c>
      <c r="T1494">
        <f>IF(O1494=O1493,T1493+1,1)</f>
        <v>3</v>
      </c>
      <c r="U1494">
        <f>IF(O1494=O1495,"",S1494/T1494)</f>
        <v>4122.9274646666663</v>
      </c>
      <c r="V1494" t="str">
        <f>IF(U1494="","",IF(ABS(Q1494-U1494)&gt;V$1,"error",""))</f>
        <v/>
      </c>
    </row>
    <row r="1495" spans="1:22" x14ac:dyDescent="0.55000000000000004">
      <c r="A1495">
        <v>1146.2652</v>
      </c>
      <c r="B1495" s="1">
        <v>7.4599999999999996E-3</v>
      </c>
      <c r="C1495" s="1">
        <v>7.4599999999999996E-3</v>
      </c>
      <c r="D1495" s="2" t="s">
        <v>0</v>
      </c>
      <c r="E1495">
        <v>1</v>
      </c>
      <c r="F1495" s="2" t="s">
        <v>2</v>
      </c>
      <c r="G1495">
        <v>4</v>
      </c>
      <c r="H1495">
        <v>14.5</v>
      </c>
      <c r="I1495" s="2" t="s">
        <v>0</v>
      </c>
      <c r="J1495">
        <v>1</v>
      </c>
      <c r="K1495" s="2" t="s">
        <v>2</v>
      </c>
      <c r="L1495">
        <v>3</v>
      </c>
      <c r="M1495">
        <v>13.5</v>
      </c>
      <c r="N1495" s="2" t="s">
        <v>659</v>
      </c>
      <c r="O1495" t="str">
        <f>D1495&amp;"-"&amp;E1495&amp;"-"&amp;F1495&amp;"-"&amp;G1495&amp;"-"&amp;H1495</f>
        <v>X-1-e-4-14.5</v>
      </c>
      <c r="P1495" t="str">
        <f>I1495&amp;"-"&amp;J1495&amp;"-"&amp;K1495&amp;"-"&amp;L1495&amp;"-"&amp;M1495</f>
        <v>X-1-e-3-13.5</v>
      </c>
      <c r="Q1495">
        <f>A1495+R1495</f>
        <v>5175.6492070000004</v>
      </c>
      <c r="R1495">
        <f>_xlfn.IFNA(VLOOKUP(P1495,PGOPHER!A$2:G$181,7,FALSE),_xlfn.IFNA(VLOOKUP(P1495,en!A$2:I$768,7,FALSE),-10000))</f>
        <v>4029.3840070000001</v>
      </c>
      <c r="S1495">
        <f>IF(O1495=O1494,Q1494+S1494,Q1495)</f>
        <v>5175.6492070000004</v>
      </c>
      <c r="T1495">
        <f>IF(O1495=O1494,T1494+1,1)</f>
        <v>1</v>
      </c>
      <c r="U1495" t="str">
        <f>IF(O1495=O1496,"",S1495/T1495)</f>
        <v/>
      </c>
      <c r="V1495" t="str">
        <f>IF(U1495="","",IF(ABS(Q1495-U1495)&gt;V$1,"error",""))</f>
        <v/>
      </c>
    </row>
    <row r="1496" spans="1:22" x14ac:dyDescent="0.55000000000000004">
      <c r="A1496">
        <v>952.73410000000001</v>
      </c>
      <c r="B1496" s="1">
        <v>7.4599999999999996E-3</v>
      </c>
      <c r="C1496" s="1">
        <v>7.4599999999999996E-3</v>
      </c>
      <c r="D1496" s="2" t="s">
        <v>0</v>
      </c>
      <c r="E1496">
        <v>1</v>
      </c>
      <c r="F1496" s="2" t="s">
        <v>2</v>
      </c>
      <c r="G1496">
        <v>4</v>
      </c>
      <c r="H1496">
        <v>14.5</v>
      </c>
      <c r="I1496" s="2" t="s">
        <v>0</v>
      </c>
      <c r="J1496">
        <v>1</v>
      </c>
      <c r="K1496" s="2" t="s">
        <v>2</v>
      </c>
      <c r="L1496">
        <v>3</v>
      </c>
      <c r="M1496">
        <v>15.5</v>
      </c>
      <c r="N1496" s="2" t="s">
        <v>661</v>
      </c>
      <c r="O1496" t="str">
        <f>D1496&amp;"-"&amp;E1496&amp;"-"&amp;F1496&amp;"-"&amp;G1496&amp;"-"&amp;H1496</f>
        <v>X-1-e-4-14.5</v>
      </c>
      <c r="P1496" t="str">
        <f>I1496&amp;"-"&amp;J1496&amp;"-"&amp;K1496&amp;"-"&amp;L1496&amp;"-"&amp;M1496</f>
        <v>X-1-e-3-15.5</v>
      </c>
      <c r="Q1496">
        <f>A1496+R1496</f>
        <v>5175.649531</v>
      </c>
      <c r="R1496">
        <f>_xlfn.IFNA(VLOOKUP(P1496,PGOPHER!A$2:G$181,7,FALSE),_xlfn.IFNA(VLOOKUP(P1496,en!A$2:I$768,7,FALSE),-10000))</f>
        <v>4222.9154310000004</v>
      </c>
      <c r="S1496">
        <f>IF(O1496=O1495,Q1495+S1495,Q1496)</f>
        <v>10351.298414000001</v>
      </c>
      <c r="T1496">
        <f>IF(O1496=O1495,T1495+1,1)</f>
        <v>2</v>
      </c>
      <c r="U1496">
        <f>IF(O1496=O1497,"",S1496/T1496)</f>
        <v>5175.6492070000004</v>
      </c>
      <c r="V1496" t="str">
        <f>IF(U1496="","",IF(ABS(Q1496-U1496)&gt;V$1,"error",""))</f>
        <v/>
      </c>
    </row>
    <row r="1497" spans="1:22" x14ac:dyDescent="0.55000000000000004">
      <c r="A1497">
        <v>1039.5720100000001</v>
      </c>
      <c r="B1497" s="1">
        <v>1E-3</v>
      </c>
      <c r="C1497" s="1">
        <v>1E-3</v>
      </c>
      <c r="D1497" s="2" t="s">
        <v>0</v>
      </c>
      <c r="E1497">
        <v>2</v>
      </c>
      <c r="F1497" s="2" t="s">
        <v>1</v>
      </c>
      <c r="G1497">
        <v>1</v>
      </c>
      <c r="H1497">
        <v>14.5</v>
      </c>
      <c r="I1497" s="2" t="s">
        <v>0</v>
      </c>
      <c r="J1497">
        <v>2</v>
      </c>
      <c r="K1497" s="2" t="s">
        <v>1</v>
      </c>
      <c r="L1497">
        <v>0</v>
      </c>
      <c r="M1497">
        <v>15.5</v>
      </c>
      <c r="N1497" s="2" t="s">
        <v>231</v>
      </c>
      <c r="O1497" t="str">
        <f>D1497&amp;"-"&amp;E1497&amp;"-"&amp;F1497&amp;"-"&amp;G1497&amp;"-"&amp;H1497</f>
        <v>X-2-f-1-14.5</v>
      </c>
      <c r="P1497" t="str">
        <f>I1497&amp;"-"&amp;J1497&amp;"-"&amp;K1497&amp;"-"&amp;L1497&amp;"-"&amp;M1497</f>
        <v>X-2-f-0-15.5</v>
      </c>
      <c r="Q1497">
        <f>A1497+R1497</f>
        <v>2016.886117</v>
      </c>
      <c r="R1497">
        <f>_xlfn.IFNA(VLOOKUP(P1497,PGOPHER!A$2:G$181,7,FALSE),_xlfn.IFNA(VLOOKUP(P1497,en!A$2:I$768,7,FALSE),-10000))</f>
        <v>977.31410700000004</v>
      </c>
      <c r="S1497">
        <f>IF(O1497=O1496,Q1496+S1496,Q1497)</f>
        <v>2016.886117</v>
      </c>
      <c r="T1497">
        <f>IF(O1497=O1496,T1496+1,1)</f>
        <v>1</v>
      </c>
      <c r="U1497" t="str">
        <f>IF(O1497=O1498,"",S1497/T1497)</f>
        <v/>
      </c>
      <c r="V1497" t="str">
        <f>IF(U1497="","",IF(ABS(Q1497-U1497)&gt;V$1,"error",""))</f>
        <v/>
      </c>
    </row>
    <row r="1498" spans="1:22" x14ac:dyDescent="0.55000000000000004">
      <c r="A1498">
        <v>1260.71792</v>
      </c>
      <c r="B1498" s="1">
        <v>1E-3</v>
      </c>
      <c r="C1498" s="1">
        <v>1E-3</v>
      </c>
      <c r="D1498" s="2" t="s">
        <v>0</v>
      </c>
      <c r="E1498">
        <v>2</v>
      </c>
      <c r="F1498" s="2" t="s">
        <v>1</v>
      </c>
      <c r="G1498">
        <v>1</v>
      </c>
      <c r="H1498">
        <v>14.5</v>
      </c>
      <c r="I1498" s="2" t="s">
        <v>0</v>
      </c>
      <c r="J1498">
        <v>2</v>
      </c>
      <c r="K1498" s="2" t="s">
        <v>1</v>
      </c>
      <c r="L1498">
        <v>0</v>
      </c>
      <c r="M1498">
        <v>13.5</v>
      </c>
      <c r="N1498" s="2" t="s">
        <v>230</v>
      </c>
      <c r="O1498" t="str">
        <f>D1498&amp;"-"&amp;E1498&amp;"-"&amp;F1498&amp;"-"&amp;G1498&amp;"-"&amp;H1498</f>
        <v>X-2-f-1-14.5</v>
      </c>
      <c r="P1498" t="str">
        <f>I1498&amp;"-"&amp;J1498&amp;"-"&amp;K1498&amp;"-"&amp;L1498&amp;"-"&amp;M1498</f>
        <v>X-2-f-0-13.5</v>
      </c>
      <c r="Q1498">
        <f>A1498+R1498</f>
        <v>2016.8857889999999</v>
      </c>
      <c r="R1498">
        <f>_xlfn.IFNA(VLOOKUP(P1498,PGOPHER!A$2:G$181,7,FALSE),_xlfn.IFNA(VLOOKUP(P1498,en!A$2:I$768,7,FALSE),-10000))</f>
        <v>756.167869</v>
      </c>
      <c r="S1498">
        <f>IF(O1498=O1497,Q1497+S1497,Q1498)</f>
        <v>4033.772234</v>
      </c>
      <c r="T1498">
        <f>IF(O1498=O1497,T1497+1,1)</f>
        <v>2</v>
      </c>
      <c r="U1498" t="str">
        <f>IF(O1498=O1499,"",S1498/T1498)</f>
        <v/>
      </c>
      <c r="V1498" t="str">
        <f>IF(U1498="","",IF(ABS(Q1498-U1498)&gt;V$1,"error",""))</f>
        <v/>
      </c>
    </row>
    <row r="1499" spans="1:22" x14ac:dyDescent="0.55000000000000004">
      <c r="A1499">
        <v>1039.5719999999999</v>
      </c>
      <c r="B1499" s="1">
        <v>0.01</v>
      </c>
      <c r="C1499" s="1">
        <v>0.01</v>
      </c>
      <c r="D1499" s="2" t="s">
        <v>0</v>
      </c>
      <c r="E1499">
        <v>2</v>
      </c>
      <c r="F1499" s="2" t="s">
        <v>1</v>
      </c>
      <c r="G1499">
        <v>1</v>
      </c>
      <c r="H1499">
        <v>14.5</v>
      </c>
      <c r="I1499" s="2" t="s">
        <v>0</v>
      </c>
      <c r="J1499">
        <v>2</v>
      </c>
      <c r="K1499" s="2" t="s">
        <v>1</v>
      </c>
      <c r="L1499">
        <v>0</v>
      </c>
      <c r="M1499">
        <v>15.5</v>
      </c>
      <c r="N1499" s="2" t="s">
        <v>224</v>
      </c>
      <c r="O1499" t="str">
        <f>D1499&amp;"-"&amp;E1499&amp;"-"&amp;F1499&amp;"-"&amp;G1499&amp;"-"&amp;H1499</f>
        <v>X-2-f-1-14.5</v>
      </c>
      <c r="P1499" t="str">
        <f>I1499&amp;"-"&amp;J1499&amp;"-"&amp;K1499&amp;"-"&amp;L1499&amp;"-"&amp;M1499</f>
        <v>X-2-f-0-15.5</v>
      </c>
      <c r="Q1499">
        <f>A1499+R1499</f>
        <v>2016.8861069999998</v>
      </c>
      <c r="R1499">
        <f>_xlfn.IFNA(VLOOKUP(P1499,PGOPHER!A$2:G$181,7,FALSE),_xlfn.IFNA(VLOOKUP(P1499,en!A$2:I$768,7,FALSE),-10000))</f>
        <v>977.31410700000004</v>
      </c>
      <c r="S1499">
        <f>IF(O1499=O1498,Q1498+S1498,Q1499)</f>
        <v>6050.658023</v>
      </c>
      <c r="T1499">
        <f>IF(O1499=O1498,T1498+1,1)</f>
        <v>3</v>
      </c>
      <c r="U1499" t="str">
        <f>IF(O1499=O1500,"",S1499/T1499)</f>
        <v/>
      </c>
      <c r="V1499" t="str">
        <f>IF(U1499="","",IF(ABS(Q1499-U1499)&gt;V$1,"error",""))</f>
        <v/>
      </c>
    </row>
    <row r="1500" spans="1:22" x14ac:dyDescent="0.55000000000000004">
      <c r="A1500">
        <v>1260.7179000000001</v>
      </c>
      <c r="B1500" s="1">
        <v>1.0500000000000001E-2</v>
      </c>
      <c r="C1500" s="1">
        <v>1.0500000000000001E-2</v>
      </c>
      <c r="D1500" s="2" t="s">
        <v>0</v>
      </c>
      <c r="E1500">
        <v>2</v>
      </c>
      <c r="F1500" s="2" t="s">
        <v>1</v>
      </c>
      <c r="G1500">
        <v>1</v>
      </c>
      <c r="H1500">
        <v>14.5</v>
      </c>
      <c r="I1500" s="2" t="s">
        <v>0</v>
      </c>
      <c r="J1500">
        <v>2</v>
      </c>
      <c r="K1500" s="2" t="s">
        <v>1</v>
      </c>
      <c r="L1500">
        <v>0</v>
      </c>
      <c r="M1500">
        <v>13.5</v>
      </c>
      <c r="N1500" s="2" t="s">
        <v>222</v>
      </c>
      <c r="O1500" t="str">
        <f>D1500&amp;"-"&amp;E1500&amp;"-"&amp;F1500&amp;"-"&amp;G1500&amp;"-"&amp;H1500</f>
        <v>X-2-f-1-14.5</v>
      </c>
      <c r="P1500" t="str">
        <f>I1500&amp;"-"&amp;J1500&amp;"-"&amp;K1500&amp;"-"&amp;L1500&amp;"-"&amp;M1500</f>
        <v>X-2-f-0-13.5</v>
      </c>
      <c r="Q1500">
        <f>A1500+R1500</f>
        <v>2016.885769</v>
      </c>
      <c r="R1500">
        <f>_xlfn.IFNA(VLOOKUP(P1500,PGOPHER!A$2:G$181,7,FALSE),_xlfn.IFNA(VLOOKUP(P1500,en!A$2:I$768,7,FALSE),-10000))</f>
        <v>756.167869</v>
      </c>
      <c r="S1500">
        <f>IF(O1500=O1499,Q1499+S1499,Q1500)</f>
        <v>8067.5441300000002</v>
      </c>
      <c r="T1500">
        <f>IF(O1500=O1499,T1499+1,1)</f>
        <v>4</v>
      </c>
      <c r="U1500" t="str">
        <f>IF(O1500=O1501,"",S1500/T1500)</f>
        <v/>
      </c>
      <c r="V1500" t="str">
        <f>IF(U1500="","",IF(ABS(Q1500-U1500)&gt;V$1,"error",""))</f>
        <v/>
      </c>
    </row>
    <row r="1501" spans="1:22" x14ac:dyDescent="0.55000000000000004">
      <c r="A1501">
        <v>1260.7179100000001</v>
      </c>
      <c r="B1501" s="1">
        <v>1E-3</v>
      </c>
      <c r="C1501" s="1">
        <v>1E-3</v>
      </c>
      <c r="D1501" s="2" t="s">
        <v>0</v>
      </c>
      <c r="E1501">
        <v>2</v>
      </c>
      <c r="F1501" s="2" t="s">
        <v>1</v>
      </c>
      <c r="G1501">
        <v>1</v>
      </c>
      <c r="H1501">
        <v>14.5</v>
      </c>
      <c r="I1501" s="2" t="s">
        <v>0</v>
      </c>
      <c r="J1501">
        <v>2</v>
      </c>
      <c r="K1501" s="2" t="s">
        <v>1</v>
      </c>
      <c r="L1501">
        <v>0</v>
      </c>
      <c r="M1501">
        <v>13.5</v>
      </c>
      <c r="N1501" s="2" t="s">
        <v>227</v>
      </c>
      <c r="O1501" t="str">
        <f>D1501&amp;"-"&amp;E1501&amp;"-"&amp;F1501&amp;"-"&amp;G1501&amp;"-"&amp;H1501</f>
        <v>X-2-f-1-14.5</v>
      </c>
      <c r="P1501" t="str">
        <f>I1501&amp;"-"&amp;J1501&amp;"-"&amp;K1501&amp;"-"&amp;L1501&amp;"-"&amp;M1501</f>
        <v>X-2-f-0-13.5</v>
      </c>
      <c r="Q1501">
        <f>A1501+R1501</f>
        <v>2016.8857790000002</v>
      </c>
      <c r="R1501">
        <f>_xlfn.IFNA(VLOOKUP(P1501,PGOPHER!A$2:G$181,7,FALSE),_xlfn.IFNA(VLOOKUP(P1501,en!A$2:I$768,7,FALSE),-10000))</f>
        <v>756.167869</v>
      </c>
      <c r="S1501">
        <f>IF(O1501=O1500,Q1500+S1500,Q1501)</f>
        <v>10084.429899000001</v>
      </c>
      <c r="T1501">
        <f>IF(O1501=O1500,T1500+1,1)</f>
        <v>5</v>
      </c>
      <c r="U1501">
        <f>IF(O1501=O1502,"",S1501/T1501)</f>
        <v>2016.8859798000001</v>
      </c>
      <c r="V1501" t="str">
        <f>IF(U1501="","",IF(ABS(Q1501-U1501)&gt;V$1,"error",""))</f>
        <v/>
      </c>
    </row>
    <row r="1502" spans="1:22" x14ac:dyDescent="0.55000000000000004">
      <c r="A1502">
        <v>1007.8994</v>
      </c>
      <c r="B1502" s="1">
        <v>2.4299999999999999E-2</v>
      </c>
      <c r="C1502" s="1">
        <v>2.4299999999999999E-2</v>
      </c>
      <c r="D1502" s="2" t="s">
        <v>0</v>
      </c>
      <c r="E1502">
        <v>2</v>
      </c>
      <c r="F1502" s="2" t="s">
        <v>1</v>
      </c>
      <c r="G1502">
        <v>2</v>
      </c>
      <c r="H1502">
        <v>14.5</v>
      </c>
      <c r="I1502" s="2" t="s">
        <v>0</v>
      </c>
      <c r="J1502">
        <v>2</v>
      </c>
      <c r="K1502" s="2" t="s">
        <v>1</v>
      </c>
      <c r="L1502">
        <v>1</v>
      </c>
      <c r="M1502">
        <v>15.5</v>
      </c>
      <c r="N1502" s="2" t="s">
        <v>462</v>
      </c>
      <c r="O1502" t="str">
        <f>D1502&amp;"-"&amp;E1502&amp;"-"&amp;F1502&amp;"-"&amp;G1502&amp;"-"&amp;H1502</f>
        <v>X-2-f-2-14.5</v>
      </c>
      <c r="P1502" t="str">
        <f>I1502&amp;"-"&amp;J1502&amp;"-"&amp;K1502&amp;"-"&amp;L1502&amp;"-"&amp;M1502</f>
        <v>X-2-f-1-15.5</v>
      </c>
      <c r="Q1502">
        <f>A1502+R1502</f>
        <v>3136.2401689999997</v>
      </c>
      <c r="R1502">
        <f>_xlfn.IFNA(VLOOKUP(P1502,PGOPHER!A$2:G$181,7,FALSE),_xlfn.IFNA(VLOOKUP(P1502,en!A$2:I$768,7,FALSE),-10000))</f>
        <v>2128.3407689999999</v>
      </c>
      <c r="S1502">
        <f>IF(O1502=O1501,Q1501+S1501,Q1502)</f>
        <v>3136.2401689999997</v>
      </c>
      <c r="T1502">
        <f>IF(O1502=O1501,T1501+1,1)</f>
        <v>1</v>
      </c>
      <c r="U1502" t="str">
        <f>IF(O1502=O1503,"",S1502/T1502)</f>
        <v/>
      </c>
      <c r="V1502" t="str">
        <f>IF(U1502="","",IF(ABS(Q1502-U1502)&gt;V$1,"error",""))</f>
        <v/>
      </c>
    </row>
    <row r="1503" spans="1:22" x14ac:dyDescent="0.55000000000000004">
      <c r="A1503">
        <v>1224.0803000000001</v>
      </c>
      <c r="B1503" s="1">
        <v>3.4099999999999998E-2</v>
      </c>
      <c r="C1503" s="1">
        <v>3.4099999999999998E-2</v>
      </c>
      <c r="D1503" s="2" t="s">
        <v>0</v>
      </c>
      <c r="E1503">
        <v>2</v>
      </c>
      <c r="F1503" s="2" t="s">
        <v>1</v>
      </c>
      <c r="G1503">
        <v>2</v>
      </c>
      <c r="H1503">
        <v>14.5</v>
      </c>
      <c r="I1503" s="2" t="s">
        <v>0</v>
      </c>
      <c r="J1503">
        <v>2</v>
      </c>
      <c r="K1503" s="2" t="s">
        <v>1</v>
      </c>
      <c r="L1503">
        <v>1</v>
      </c>
      <c r="M1503">
        <v>13.5</v>
      </c>
      <c r="N1503" s="2" t="s">
        <v>460</v>
      </c>
      <c r="O1503" t="str">
        <f>D1503&amp;"-"&amp;E1503&amp;"-"&amp;F1503&amp;"-"&amp;G1503&amp;"-"&amp;H1503</f>
        <v>X-2-f-2-14.5</v>
      </c>
      <c r="P1503" t="str">
        <f>I1503&amp;"-"&amp;J1503&amp;"-"&amp;K1503&amp;"-"&amp;L1503&amp;"-"&amp;M1503</f>
        <v>X-2-f-1-13.5</v>
      </c>
      <c r="Q1503">
        <f>A1503+R1503</f>
        <v>3136.2389880000001</v>
      </c>
      <c r="R1503">
        <f>_xlfn.IFNA(VLOOKUP(P1503,PGOPHER!A$2:G$181,7,FALSE),_xlfn.IFNA(VLOOKUP(P1503,en!A$2:I$768,7,FALSE),-10000))</f>
        <v>1912.158688</v>
      </c>
      <c r="S1503">
        <f>IF(O1503=O1502,Q1502+S1502,Q1503)</f>
        <v>6272.4803379999994</v>
      </c>
      <c r="T1503">
        <f>IF(O1503=O1502,T1502+1,1)</f>
        <v>2</v>
      </c>
      <c r="U1503">
        <f>IF(O1503=O1504,"",S1503/T1503)</f>
        <v>3136.2401689999997</v>
      </c>
      <c r="V1503" t="str">
        <f>IF(U1503="","",IF(ABS(Q1503-U1503)&gt;V$1,"error",""))</f>
        <v/>
      </c>
    </row>
    <row r="1504" spans="1:22" x14ac:dyDescent="0.55000000000000004">
      <c r="A1504">
        <v>976.11189999999999</v>
      </c>
      <c r="B1504" s="1">
        <v>1.4E-2</v>
      </c>
      <c r="C1504" s="1">
        <v>1.4E-2</v>
      </c>
      <c r="D1504" s="2" t="s">
        <v>0</v>
      </c>
      <c r="E1504">
        <v>2</v>
      </c>
      <c r="F1504" s="2" t="s">
        <v>1</v>
      </c>
      <c r="G1504">
        <v>3</v>
      </c>
      <c r="H1504">
        <v>14.5</v>
      </c>
      <c r="I1504" s="2" t="s">
        <v>0</v>
      </c>
      <c r="J1504">
        <v>2</v>
      </c>
      <c r="K1504" s="2" t="s">
        <v>1</v>
      </c>
      <c r="L1504">
        <v>2</v>
      </c>
      <c r="M1504">
        <v>15.5</v>
      </c>
      <c r="N1504" s="2" t="s">
        <v>587</v>
      </c>
      <c r="O1504" t="str">
        <f>D1504&amp;"-"&amp;E1504&amp;"-"&amp;F1504&amp;"-"&amp;G1504&amp;"-"&amp;H1504</f>
        <v>X-2-f-3-14.5</v>
      </c>
      <c r="P1504" t="str">
        <f>I1504&amp;"-"&amp;J1504&amp;"-"&amp;K1504&amp;"-"&amp;L1504&amp;"-"&amp;M1504</f>
        <v>X-2-f-2-15.5</v>
      </c>
      <c r="Q1504">
        <f>A1504+R1504</f>
        <v>4221.226928</v>
      </c>
      <c r="R1504">
        <f>_xlfn.IFNA(VLOOKUP(P1504,PGOPHER!A$2:G$181,7,FALSE),_xlfn.IFNA(VLOOKUP(P1504,en!A$2:I$768,7,FALSE),-10000))</f>
        <v>3245.1150280000002</v>
      </c>
      <c r="S1504">
        <f>IF(O1504=O1503,Q1503+S1503,Q1504)</f>
        <v>4221.226928</v>
      </c>
      <c r="T1504">
        <f>IF(O1504=O1503,T1503+1,1)</f>
        <v>1</v>
      </c>
      <c r="U1504" t="str">
        <f>IF(O1504=O1505,"",S1504/T1504)</f>
        <v/>
      </c>
      <c r="V1504" t="str">
        <f>IF(U1504="","",IF(ABS(Q1504-U1504)&gt;V$1,"error",""))</f>
        <v/>
      </c>
    </row>
    <row r="1505" spans="1:22" x14ac:dyDescent="0.55000000000000004">
      <c r="A1505">
        <v>1187.3055999999999</v>
      </c>
      <c r="B1505" s="1">
        <v>6.8100000000000001E-3</v>
      </c>
      <c r="C1505" s="1">
        <v>6.8100000000000001E-3</v>
      </c>
      <c r="D1505" s="2" t="s">
        <v>0</v>
      </c>
      <c r="E1505">
        <v>2</v>
      </c>
      <c r="F1505" s="2" t="s">
        <v>1</v>
      </c>
      <c r="G1505">
        <v>3</v>
      </c>
      <c r="H1505">
        <v>14.5</v>
      </c>
      <c r="I1505" s="2" t="s">
        <v>0</v>
      </c>
      <c r="J1505">
        <v>2</v>
      </c>
      <c r="K1505" s="2" t="s">
        <v>1</v>
      </c>
      <c r="L1505">
        <v>2</v>
      </c>
      <c r="M1505">
        <v>13.5</v>
      </c>
      <c r="N1505" s="2" t="s">
        <v>586</v>
      </c>
      <c r="O1505" t="str">
        <f>D1505&amp;"-"&amp;E1505&amp;"-"&amp;F1505&amp;"-"&amp;G1505&amp;"-"&amp;H1505</f>
        <v>X-2-f-3-14.5</v>
      </c>
      <c r="P1505" t="str">
        <f>I1505&amp;"-"&amp;J1505&amp;"-"&amp;K1505&amp;"-"&amp;L1505&amp;"-"&amp;M1505</f>
        <v>X-2-f-2-13.5</v>
      </c>
      <c r="Q1505">
        <f>A1505+R1505</f>
        <v>4221.2273050000003</v>
      </c>
      <c r="R1505">
        <f>_xlfn.IFNA(VLOOKUP(P1505,PGOPHER!A$2:G$181,7,FALSE),_xlfn.IFNA(VLOOKUP(P1505,en!A$2:I$768,7,FALSE),-10000))</f>
        <v>3033.9217050000002</v>
      </c>
      <c r="S1505">
        <f>IF(O1505=O1504,Q1504+S1504,Q1505)</f>
        <v>8442.4538560000001</v>
      </c>
      <c r="T1505">
        <f>IF(O1505=O1504,T1504+1,1)</f>
        <v>2</v>
      </c>
      <c r="U1505">
        <f>IF(O1505=O1506,"",S1505/T1505)</f>
        <v>4221.226928</v>
      </c>
      <c r="V1505" t="str">
        <f>IF(U1505="","",IF(ABS(Q1505-U1505)&gt;V$1,"error",""))</f>
        <v/>
      </c>
    </row>
    <row r="1506" spans="1:22" x14ac:dyDescent="0.55000000000000004">
      <c r="A1506">
        <v>944.03549999999996</v>
      </c>
      <c r="B1506" s="1">
        <v>2.9100000000000001E-2</v>
      </c>
      <c r="C1506" s="1">
        <v>2.9100000000000001E-2</v>
      </c>
      <c r="D1506" s="2" t="s">
        <v>0</v>
      </c>
      <c r="E1506">
        <v>2</v>
      </c>
      <c r="F1506" s="2" t="s">
        <v>1</v>
      </c>
      <c r="G1506">
        <v>4</v>
      </c>
      <c r="H1506">
        <v>14.5</v>
      </c>
      <c r="I1506" s="2" t="s">
        <v>0</v>
      </c>
      <c r="J1506">
        <v>2</v>
      </c>
      <c r="K1506" s="2" t="s">
        <v>1</v>
      </c>
      <c r="L1506">
        <v>3</v>
      </c>
      <c r="M1506">
        <v>15.5</v>
      </c>
      <c r="N1506" s="2" t="s">
        <v>662</v>
      </c>
      <c r="O1506" t="str">
        <f>D1506&amp;"-"&amp;E1506&amp;"-"&amp;F1506&amp;"-"&amp;G1506&amp;"-"&amp;H1506</f>
        <v>X-2-f-4-14.5</v>
      </c>
      <c r="P1506" t="str">
        <f>I1506&amp;"-"&amp;J1506&amp;"-"&amp;K1506&amp;"-"&amp;L1506&amp;"-"&amp;M1506</f>
        <v>X-2-f-3-15.5</v>
      </c>
      <c r="Q1506">
        <f>A1506+R1506</f>
        <v>5271.5489079999998</v>
      </c>
      <c r="R1506">
        <f>_xlfn.IFNA(VLOOKUP(P1506,PGOPHER!A$2:G$181,7,FALSE),_xlfn.IFNA(VLOOKUP(P1506,en!A$2:I$768,7,FALSE),-10000))</f>
        <v>4327.5134079999998</v>
      </c>
      <c r="S1506">
        <f>IF(O1506=O1505,Q1505+S1505,Q1506)</f>
        <v>5271.5489079999998</v>
      </c>
      <c r="T1506">
        <f>IF(O1506=O1505,T1505+1,1)</f>
        <v>1</v>
      </c>
      <c r="U1506" t="str">
        <f>IF(O1506=O1507,"",S1506/T1506)</f>
        <v/>
      </c>
      <c r="V1506" t="str">
        <f>IF(U1506="","",IF(ABS(Q1506-U1506)&gt;V$1,"error",""))</f>
        <v/>
      </c>
    </row>
    <row r="1507" spans="1:22" x14ac:dyDescent="0.55000000000000004">
      <c r="A1507">
        <v>1150.2067</v>
      </c>
      <c r="B1507" s="1">
        <v>2.9100000000000001E-2</v>
      </c>
      <c r="C1507" s="1">
        <v>2.9100000000000001E-2</v>
      </c>
      <c r="D1507" s="2" t="s">
        <v>0</v>
      </c>
      <c r="E1507">
        <v>2</v>
      </c>
      <c r="F1507" s="2" t="s">
        <v>1</v>
      </c>
      <c r="G1507">
        <v>4</v>
      </c>
      <c r="H1507">
        <v>14.5</v>
      </c>
      <c r="I1507" s="2" t="s">
        <v>0</v>
      </c>
      <c r="J1507">
        <v>2</v>
      </c>
      <c r="K1507" s="2" t="s">
        <v>1</v>
      </c>
      <c r="L1507">
        <v>3</v>
      </c>
      <c r="M1507">
        <v>13.5</v>
      </c>
      <c r="N1507" s="2" t="s">
        <v>660</v>
      </c>
      <c r="O1507" t="str">
        <f>D1507&amp;"-"&amp;E1507&amp;"-"&amp;F1507&amp;"-"&amp;G1507&amp;"-"&amp;H1507</f>
        <v>X-2-f-4-14.5</v>
      </c>
      <c r="P1507" t="str">
        <f>I1507&amp;"-"&amp;J1507&amp;"-"&amp;K1507&amp;"-"&amp;L1507&amp;"-"&amp;M1507</f>
        <v>X-2-f-3-13.5</v>
      </c>
      <c r="Q1507">
        <f>A1507+R1507</f>
        <v>5271.5505560000001</v>
      </c>
      <c r="R1507">
        <f>_xlfn.IFNA(VLOOKUP(P1507,PGOPHER!A$2:G$181,7,FALSE),_xlfn.IFNA(VLOOKUP(P1507,en!A$2:I$768,7,FALSE),-10000))</f>
        <v>4121.3438560000004</v>
      </c>
      <c r="S1507">
        <f>IF(O1507=O1506,Q1506+S1506,Q1507)</f>
        <v>10543.097816</v>
      </c>
      <c r="T1507">
        <f>IF(O1507=O1506,T1506+1,1)</f>
        <v>2</v>
      </c>
      <c r="U1507">
        <f>IF(O1507=O1508,"",S1507/T1507)</f>
        <v>5271.5489079999998</v>
      </c>
      <c r="V1507" t="str">
        <f>IF(U1507="","",IF(ABS(Q1507-U1507)&gt;V$1,"error",""))</f>
        <v/>
      </c>
    </row>
    <row r="1508" spans="1:22" x14ac:dyDescent="0.55000000000000004">
      <c r="A1508">
        <v>1039.3913600000001</v>
      </c>
      <c r="B1508" s="1">
        <v>1.6850000000000001E-3</v>
      </c>
      <c r="C1508" s="1">
        <v>1.6850000000000001E-3</v>
      </c>
      <c r="D1508" s="2" t="s">
        <v>0</v>
      </c>
      <c r="E1508">
        <v>1</v>
      </c>
      <c r="F1508" s="2" t="s">
        <v>2</v>
      </c>
      <c r="G1508">
        <v>1</v>
      </c>
      <c r="H1508">
        <v>15.5</v>
      </c>
      <c r="I1508" s="2" t="s">
        <v>0</v>
      </c>
      <c r="J1508">
        <v>1</v>
      </c>
      <c r="K1508" s="2" t="s">
        <v>2</v>
      </c>
      <c r="L1508">
        <v>0</v>
      </c>
      <c r="M1508">
        <v>16.5</v>
      </c>
      <c r="N1508" s="2" t="s">
        <v>237</v>
      </c>
      <c r="O1508" t="str">
        <f>D1508&amp;"-"&amp;E1508&amp;"-"&amp;F1508&amp;"-"&amp;G1508&amp;"-"&amp;H1508</f>
        <v>X-1-e-1-15.5</v>
      </c>
      <c r="P1508" t="str">
        <f>I1508&amp;"-"&amp;J1508&amp;"-"&amp;K1508&amp;"-"&amp;L1508&amp;"-"&amp;M1508</f>
        <v>X-1-e-0-16.5</v>
      </c>
      <c r="Q1508">
        <f>A1508+R1508</f>
        <v>2018.699325</v>
      </c>
      <c r="R1508">
        <f>_xlfn.IFNA(VLOOKUP(P1508,PGOPHER!A$2:G$181,7,FALSE),_xlfn.IFNA(VLOOKUP(P1508,en!A$2:I$768,7,FALSE),-10000))</f>
        <v>979.30796499999997</v>
      </c>
      <c r="S1508">
        <f>IF(O1508=O1507,Q1507+S1507,Q1508)</f>
        <v>2018.699325</v>
      </c>
      <c r="T1508">
        <f>IF(O1508=O1507,T1507+1,1)</f>
        <v>1</v>
      </c>
      <c r="U1508" t="str">
        <f>IF(O1508=O1509,"",S1508/T1508)</f>
        <v/>
      </c>
      <c r="V1508" t="str">
        <f>IF(U1508="","",IF(ABS(Q1508-U1508)&gt;V$1,"error",""))</f>
        <v/>
      </c>
    </row>
    <row r="1509" spans="1:22" x14ac:dyDescent="0.55000000000000004">
      <c r="A1509">
        <v>1260.7708700000001</v>
      </c>
      <c r="B1509" s="1">
        <v>1.2509999999999999E-3</v>
      </c>
      <c r="C1509" s="1">
        <v>1.2509999999999999E-3</v>
      </c>
      <c r="D1509" s="2" t="s">
        <v>0</v>
      </c>
      <c r="E1509">
        <v>1</v>
      </c>
      <c r="F1509" s="2" t="s">
        <v>2</v>
      </c>
      <c r="G1509">
        <v>1</v>
      </c>
      <c r="H1509">
        <v>15.5</v>
      </c>
      <c r="I1509" s="2" t="s">
        <v>0</v>
      </c>
      <c r="J1509">
        <v>1</v>
      </c>
      <c r="K1509" s="2" t="s">
        <v>2</v>
      </c>
      <c r="L1509">
        <v>0</v>
      </c>
      <c r="M1509">
        <v>14.5</v>
      </c>
      <c r="N1509" s="2" t="s">
        <v>241</v>
      </c>
      <c r="O1509" t="str">
        <f>D1509&amp;"-"&amp;E1509&amp;"-"&amp;F1509&amp;"-"&amp;G1509&amp;"-"&amp;H1509</f>
        <v>X-1-e-1-15.5</v>
      </c>
      <c r="P1509" t="str">
        <f>I1509&amp;"-"&amp;J1509&amp;"-"&amp;K1509&amp;"-"&amp;L1509&amp;"-"&amp;M1509</f>
        <v>X-1-e-0-14.5</v>
      </c>
      <c r="Q1509">
        <f>A1509+R1509</f>
        <v>2018.7000760000001</v>
      </c>
      <c r="R1509">
        <f>_xlfn.IFNA(VLOOKUP(P1509,PGOPHER!A$2:G$181,7,FALSE),_xlfn.IFNA(VLOOKUP(P1509,en!A$2:I$768,7,FALSE),-10000))</f>
        <v>757.92920600000002</v>
      </c>
      <c r="S1509">
        <f>IF(O1509=O1508,Q1508+S1508,Q1509)</f>
        <v>4037.3986500000001</v>
      </c>
      <c r="T1509">
        <f>IF(O1509=O1508,T1508+1,1)</f>
        <v>2</v>
      </c>
      <c r="U1509" t="str">
        <f>IF(O1509=O1510,"",S1509/T1509)</f>
        <v/>
      </c>
      <c r="V1509" t="str">
        <f>IF(U1509="","",IF(ABS(Q1509-U1509)&gt;V$1,"error",""))</f>
        <v/>
      </c>
    </row>
    <row r="1510" spans="1:22" x14ac:dyDescent="0.55000000000000004">
      <c r="A1510">
        <v>1260.7724000000001</v>
      </c>
      <c r="B1510" s="1">
        <v>1E-3</v>
      </c>
      <c r="C1510" s="1">
        <v>1E-3</v>
      </c>
      <c r="D1510" s="2" t="s">
        <v>0</v>
      </c>
      <c r="E1510">
        <v>1</v>
      </c>
      <c r="F1510" s="2" t="s">
        <v>2</v>
      </c>
      <c r="G1510">
        <v>1</v>
      </c>
      <c r="H1510">
        <v>15.5</v>
      </c>
      <c r="I1510" s="2" t="s">
        <v>0</v>
      </c>
      <c r="J1510">
        <v>1</v>
      </c>
      <c r="K1510" s="2" t="s">
        <v>2</v>
      </c>
      <c r="L1510">
        <v>0</v>
      </c>
      <c r="M1510">
        <v>14.5</v>
      </c>
      <c r="N1510" s="2" t="s">
        <v>238</v>
      </c>
      <c r="O1510" t="str">
        <f>D1510&amp;"-"&amp;E1510&amp;"-"&amp;F1510&amp;"-"&amp;G1510&amp;"-"&amp;H1510</f>
        <v>X-1-e-1-15.5</v>
      </c>
      <c r="P1510" t="str">
        <f>I1510&amp;"-"&amp;J1510&amp;"-"&amp;K1510&amp;"-"&amp;L1510&amp;"-"&amp;M1510</f>
        <v>X-1-e-0-14.5</v>
      </c>
      <c r="Q1510">
        <f>A1510+R1510</f>
        <v>2018.7016060000001</v>
      </c>
      <c r="R1510">
        <f>_xlfn.IFNA(VLOOKUP(P1510,PGOPHER!A$2:G$181,7,FALSE),_xlfn.IFNA(VLOOKUP(P1510,en!A$2:I$768,7,FALSE),-10000))</f>
        <v>757.92920600000002</v>
      </c>
      <c r="S1510">
        <f>IF(O1510=O1509,Q1509+S1509,Q1510)</f>
        <v>6056.0987260000002</v>
      </c>
      <c r="T1510">
        <f>IF(O1510=O1509,T1509+1,1)</f>
        <v>3</v>
      </c>
      <c r="U1510" t="str">
        <f>IF(O1510=O1511,"",S1510/T1510)</f>
        <v/>
      </c>
      <c r="V1510" t="str">
        <f>IF(U1510="","",IF(ABS(Q1510-U1510)&gt;V$1,"error",""))</f>
        <v/>
      </c>
    </row>
    <row r="1511" spans="1:22" x14ac:dyDescent="0.55000000000000004">
      <c r="A1511">
        <v>1039.3933999999999</v>
      </c>
      <c r="B1511" s="1">
        <v>1.17E-2</v>
      </c>
      <c r="C1511" s="1">
        <v>1.17E-2</v>
      </c>
      <c r="D1511" s="2" t="s">
        <v>0</v>
      </c>
      <c r="E1511">
        <v>1</v>
      </c>
      <c r="F1511" s="2" t="s">
        <v>2</v>
      </c>
      <c r="G1511">
        <v>1</v>
      </c>
      <c r="H1511">
        <v>15.5</v>
      </c>
      <c r="I1511" s="2" t="s">
        <v>0</v>
      </c>
      <c r="J1511">
        <v>1</v>
      </c>
      <c r="K1511" s="2" t="s">
        <v>2</v>
      </c>
      <c r="L1511">
        <v>0</v>
      </c>
      <c r="M1511">
        <v>16.5</v>
      </c>
      <c r="N1511" s="2" t="s">
        <v>235</v>
      </c>
      <c r="O1511" t="str">
        <f>D1511&amp;"-"&amp;E1511&amp;"-"&amp;F1511&amp;"-"&amp;G1511&amp;"-"&amp;H1511</f>
        <v>X-1-e-1-15.5</v>
      </c>
      <c r="P1511" t="str">
        <f>I1511&amp;"-"&amp;J1511&amp;"-"&amp;K1511&amp;"-"&amp;L1511&amp;"-"&amp;M1511</f>
        <v>X-1-e-0-16.5</v>
      </c>
      <c r="Q1511">
        <f>A1511+R1511</f>
        <v>2018.7013649999999</v>
      </c>
      <c r="R1511">
        <f>_xlfn.IFNA(VLOOKUP(P1511,PGOPHER!A$2:G$181,7,FALSE),_xlfn.IFNA(VLOOKUP(P1511,en!A$2:I$768,7,FALSE),-10000))</f>
        <v>979.30796499999997</v>
      </c>
      <c r="S1511">
        <f>IF(O1511=O1510,Q1510+S1510,Q1511)</f>
        <v>8074.8003320000007</v>
      </c>
      <c r="T1511">
        <f>IF(O1511=O1510,T1510+1,1)</f>
        <v>4</v>
      </c>
      <c r="U1511" t="str">
        <f>IF(O1511=O1512,"",S1511/T1511)</f>
        <v/>
      </c>
      <c r="V1511" t="str">
        <f>IF(U1511="","",IF(ABS(Q1511-U1511)&gt;V$1,"error",""))</f>
        <v/>
      </c>
    </row>
    <row r="1512" spans="1:22" x14ac:dyDescent="0.55000000000000004">
      <c r="A1512">
        <v>1039.39339</v>
      </c>
      <c r="B1512" s="1">
        <v>1E-3</v>
      </c>
      <c r="C1512" s="1">
        <v>1E-3</v>
      </c>
      <c r="D1512" s="2" t="s">
        <v>0</v>
      </c>
      <c r="E1512">
        <v>1</v>
      </c>
      <c r="F1512" s="2" t="s">
        <v>2</v>
      </c>
      <c r="G1512">
        <v>1</v>
      </c>
      <c r="H1512">
        <v>15.5</v>
      </c>
      <c r="I1512" s="2" t="s">
        <v>0</v>
      </c>
      <c r="J1512">
        <v>1</v>
      </c>
      <c r="K1512" s="2" t="s">
        <v>2</v>
      </c>
      <c r="L1512">
        <v>0</v>
      </c>
      <c r="M1512">
        <v>16.5</v>
      </c>
      <c r="N1512" s="2" t="s">
        <v>242</v>
      </c>
      <c r="O1512" t="str">
        <f>D1512&amp;"-"&amp;E1512&amp;"-"&amp;F1512&amp;"-"&amp;G1512&amp;"-"&amp;H1512</f>
        <v>X-1-e-1-15.5</v>
      </c>
      <c r="P1512" t="str">
        <f>I1512&amp;"-"&amp;J1512&amp;"-"&amp;K1512&amp;"-"&amp;L1512&amp;"-"&amp;M1512</f>
        <v>X-1-e-0-16.5</v>
      </c>
      <c r="Q1512">
        <f>A1512+R1512</f>
        <v>2018.7013549999999</v>
      </c>
      <c r="R1512">
        <f>_xlfn.IFNA(VLOOKUP(P1512,PGOPHER!A$2:G$181,7,FALSE),_xlfn.IFNA(VLOOKUP(P1512,en!A$2:I$768,7,FALSE),-10000))</f>
        <v>979.30796499999997</v>
      </c>
      <c r="S1512">
        <f>IF(O1512=O1511,Q1511+S1511,Q1512)</f>
        <v>10093.501697</v>
      </c>
      <c r="T1512">
        <f>IF(O1512=O1511,T1511+1,1)</f>
        <v>5</v>
      </c>
      <c r="U1512" t="str">
        <f>IF(O1512=O1513,"",S1512/T1512)</f>
        <v/>
      </c>
      <c r="V1512" t="str">
        <f>IF(U1512="","",IF(ABS(Q1512-U1512)&gt;V$1,"error",""))</f>
        <v/>
      </c>
    </row>
    <row r="1513" spans="1:22" x14ac:dyDescent="0.55000000000000004">
      <c r="A1513">
        <v>1260.7709</v>
      </c>
      <c r="B1513" s="1">
        <v>1.09E-2</v>
      </c>
      <c r="C1513" s="1">
        <v>1.09E-2</v>
      </c>
      <c r="D1513" s="2" t="s">
        <v>0</v>
      </c>
      <c r="E1513">
        <v>1</v>
      </c>
      <c r="F1513" s="2" t="s">
        <v>2</v>
      </c>
      <c r="G1513">
        <v>1</v>
      </c>
      <c r="H1513">
        <v>15.5</v>
      </c>
      <c r="I1513" s="2" t="s">
        <v>0</v>
      </c>
      <c r="J1513">
        <v>1</v>
      </c>
      <c r="K1513" s="2" t="s">
        <v>2</v>
      </c>
      <c r="L1513">
        <v>0</v>
      </c>
      <c r="M1513">
        <v>14.5</v>
      </c>
      <c r="N1513" s="2" t="s">
        <v>233</v>
      </c>
      <c r="O1513" t="str">
        <f>D1513&amp;"-"&amp;E1513&amp;"-"&amp;F1513&amp;"-"&amp;G1513&amp;"-"&amp;H1513</f>
        <v>X-1-e-1-15.5</v>
      </c>
      <c r="P1513" t="str">
        <f>I1513&amp;"-"&amp;J1513&amp;"-"&amp;K1513&amp;"-"&amp;L1513&amp;"-"&amp;M1513</f>
        <v>X-1-e-0-14.5</v>
      </c>
      <c r="Q1513">
        <f>A1513+R1513</f>
        <v>2018.700106</v>
      </c>
      <c r="R1513">
        <f>_xlfn.IFNA(VLOOKUP(P1513,PGOPHER!A$2:G$181,7,FALSE),_xlfn.IFNA(VLOOKUP(P1513,en!A$2:I$768,7,FALSE),-10000))</f>
        <v>757.92920600000002</v>
      </c>
      <c r="S1513">
        <f>IF(O1513=O1512,Q1512+S1512,Q1513)</f>
        <v>12112.203051999999</v>
      </c>
      <c r="T1513">
        <f>IF(O1513=O1512,T1512+1,1)</f>
        <v>6</v>
      </c>
      <c r="U1513">
        <f>IF(O1513=O1514,"",S1513/T1513)</f>
        <v>2018.7005086666666</v>
      </c>
      <c r="V1513" t="str">
        <f>IF(U1513="","",IF(ABS(Q1513-U1513)&gt;V$1,"error",""))</f>
        <v/>
      </c>
    </row>
    <row r="1514" spans="1:22" x14ac:dyDescent="0.55000000000000004">
      <c r="A1514">
        <v>1007.7257</v>
      </c>
      <c r="B1514" s="1">
        <v>4.4499999999999998E-2</v>
      </c>
      <c r="C1514" s="1">
        <v>4.4499999999999998E-2</v>
      </c>
      <c r="D1514" s="2" t="s">
        <v>0</v>
      </c>
      <c r="E1514">
        <v>1</v>
      </c>
      <c r="F1514" s="2" t="s">
        <v>2</v>
      </c>
      <c r="G1514">
        <v>2</v>
      </c>
      <c r="H1514">
        <v>15.5</v>
      </c>
      <c r="I1514" s="2" t="s">
        <v>0</v>
      </c>
      <c r="J1514">
        <v>1</v>
      </c>
      <c r="K1514" s="2" t="s">
        <v>2</v>
      </c>
      <c r="L1514">
        <v>1</v>
      </c>
      <c r="M1514">
        <v>16.5</v>
      </c>
      <c r="N1514" s="2" t="s">
        <v>465</v>
      </c>
      <c r="O1514" t="str">
        <f>D1514&amp;"-"&amp;E1514&amp;"-"&amp;F1514&amp;"-"&amp;G1514&amp;"-"&amp;H1514</f>
        <v>X-1-e-2-15.5</v>
      </c>
      <c r="P1514" t="str">
        <f>I1514&amp;"-"&amp;J1514&amp;"-"&amp;K1514&amp;"-"&amp;L1514&amp;"-"&amp;M1514</f>
        <v>X-1-e-1-16.5</v>
      </c>
      <c r="Q1514">
        <f>A1514+R1514</f>
        <v>3137.9905330000001</v>
      </c>
      <c r="R1514">
        <f>_xlfn.IFNA(VLOOKUP(P1514,PGOPHER!A$2:G$181,7,FALSE),_xlfn.IFNA(VLOOKUP(P1514,en!A$2:I$768,7,FALSE),-10000))</f>
        <v>2130.2648330000002</v>
      </c>
      <c r="S1514">
        <f>IF(O1514=O1513,Q1513+S1513,Q1514)</f>
        <v>3137.9905330000001</v>
      </c>
      <c r="T1514">
        <f>IF(O1514=O1513,T1513+1,1)</f>
        <v>1</v>
      </c>
      <c r="U1514" t="str">
        <f>IF(O1514=O1515,"",S1514/T1514)</f>
        <v/>
      </c>
      <c r="V1514" t="str">
        <f>IF(U1514="","",IF(ABS(Q1514-U1514)&gt;V$1,"error",""))</f>
        <v/>
      </c>
    </row>
    <row r="1515" spans="1:22" x14ac:dyDescent="0.55000000000000004">
      <c r="A1515">
        <v>1224.1297</v>
      </c>
      <c r="B1515" s="1">
        <v>3.1899999999999998E-2</v>
      </c>
      <c r="C1515" s="1">
        <v>3.1899999999999998E-2</v>
      </c>
      <c r="D1515" s="2" t="s">
        <v>0</v>
      </c>
      <c r="E1515">
        <v>1</v>
      </c>
      <c r="F1515" s="2" t="s">
        <v>2</v>
      </c>
      <c r="G1515">
        <v>2</v>
      </c>
      <c r="H1515">
        <v>15.5</v>
      </c>
      <c r="I1515" s="2" t="s">
        <v>0</v>
      </c>
      <c r="J1515">
        <v>1</v>
      </c>
      <c r="K1515" s="2" t="s">
        <v>2</v>
      </c>
      <c r="L1515">
        <v>1</v>
      </c>
      <c r="M1515">
        <v>14.5</v>
      </c>
      <c r="N1515" s="2" t="s">
        <v>463</v>
      </c>
      <c r="O1515" t="str">
        <f>D1515&amp;"-"&amp;E1515&amp;"-"&amp;F1515&amp;"-"&amp;G1515&amp;"-"&amp;H1515</f>
        <v>X-1-e-2-15.5</v>
      </c>
      <c r="P1515" t="str">
        <f>I1515&amp;"-"&amp;J1515&amp;"-"&amp;K1515&amp;"-"&amp;L1515&amp;"-"&amp;M1515</f>
        <v>X-1-e-1-14.5</v>
      </c>
      <c r="Q1515">
        <f>A1515+R1515</f>
        <v>3137.9891440000001</v>
      </c>
      <c r="R1515">
        <f>_xlfn.IFNA(VLOOKUP(P1515,PGOPHER!A$2:G$181,7,FALSE),_xlfn.IFNA(VLOOKUP(P1515,en!A$2:I$768,7,FALSE),-10000))</f>
        <v>1913.8594439999999</v>
      </c>
      <c r="S1515">
        <f>IF(O1515=O1514,Q1514+S1514,Q1515)</f>
        <v>6275.9810660000003</v>
      </c>
      <c r="T1515">
        <f>IF(O1515=O1514,T1514+1,1)</f>
        <v>2</v>
      </c>
      <c r="U1515">
        <f>IF(O1515=O1516,"",S1515/T1515)</f>
        <v>3137.9905330000001</v>
      </c>
      <c r="V1515" t="str">
        <f>IF(U1515="","",IF(ABS(Q1515-U1515)&gt;V$1,"error",""))</f>
        <v/>
      </c>
    </row>
    <row r="1516" spans="1:22" x14ac:dyDescent="0.55000000000000004">
      <c r="A1516">
        <v>975.94290000000001</v>
      </c>
      <c r="B1516" s="1">
        <v>1.5299999999999999E-2</v>
      </c>
      <c r="C1516" s="1">
        <v>1.5299999999999999E-2</v>
      </c>
      <c r="D1516" s="2" t="s">
        <v>0</v>
      </c>
      <c r="E1516">
        <v>1</v>
      </c>
      <c r="F1516" s="2" t="s">
        <v>2</v>
      </c>
      <c r="G1516">
        <v>3</v>
      </c>
      <c r="H1516">
        <v>15.5</v>
      </c>
      <c r="I1516" s="2" t="s">
        <v>0</v>
      </c>
      <c r="J1516">
        <v>1</v>
      </c>
      <c r="K1516" s="2" t="s">
        <v>2</v>
      </c>
      <c r="L1516">
        <v>2</v>
      </c>
      <c r="M1516">
        <v>16.5</v>
      </c>
      <c r="N1516" s="2" t="s">
        <v>589</v>
      </c>
      <c r="O1516" t="str">
        <f>D1516&amp;"-"&amp;E1516&amp;"-"&amp;F1516&amp;"-"&amp;G1516&amp;"-"&amp;H1516</f>
        <v>X-1-e-3-15.5</v>
      </c>
      <c r="P1516" t="str">
        <f>I1516&amp;"-"&amp;J1516&amp;"-"&amp;K1516&amp;"-"&amp;L1516&amp;"-"&amp;M1516</f>
        <v>X-1-e-2-16.5</v>
      </c>
      <c r="Q1516">
        <f>A1516+R1516</f>
        <v>4222.9170479999993</v>
      </c>
      <c r="R1516">
        <f>_xlfn.IFNA(VLOOKUP(P1516,PGOPHER!A$2:G$181,7,FALSE),_xlfn.IFNA(VLOOKUP(P1516,en!A$2:I$768,7,FALSE),-10000))</f>
        <v>3246.9741479999998</v>
      </c>
      <c r="S1516">
        <f>IF(O1516=O1515,Q1515+S1515,Q1516)</f>
        <v>4222.9170479999993</v>
      </c>
      <c r="T1516">
        <f>IF(O1516=O1515,T1515+1,1)</f>
        <v>1</v>
      </c>
      <c r="U1516" t="str">
        <f>IF(O1516=O1517,"",S1516/T1516)</f>
        <v/>
      </c>
      <c r="V1516" t="str">
        <f>IF(U1516="","",IF(ABS(Q1516-U1516)&gt;V$1,"error",""))</f>
        <v/>
      </c>
    </row>
    <row r="1517" spans="1:22" x14ac:dyDescent="0.55000000000000004">
      <c r="A1517">
        <v>1187.3512000000001</v>
      </c>
      <c r="B1517" s="1">
        <v>7.8600000000000007E-3</v>
      </c>
      <c r="C1517" s="1">
        <v>7.8600000000000007E-3</v>
      </c>
      <c r="D1517" s="2" t="s">
        <v>0</v>
      </c>
      <c r="E1517">
        <v>1</v>
      </c>
      <c r="F1517" s="2" t="s">
        <v>2</v>
      </c>
      <c r="G1517">
        <v>3</v>
      </c>
      <c r="H1517">
        <v>15.5</v>
      </c>
      <c r="I1517" s="2" t="s">
        <v>0</v>
      </c>
      <c r="J1517">
        <v>1</v>
      </c>
      <c r="K1517" s="2" t="s">
        <v>2</v>
      </c>
      <c r="L1517">
        <v>2</v>
      </c>
      <c r="M1517">
        <v>14.5</v>
      </c>
      <c r="N1517" s="2" t="s">
        <v>588</v>
      </c>
      <c r="O1517" t="str">
        <f>D1517&amp;"-"&amp;E1517&amp;"-"&amp;F1517&amp;"-"&amp;G1517&amp;"-"&amp;H1517</f>
        <v>X-1-e-3-15.5</v>
      </c>
      <c r="P1517" t="str">
        <f>I1517&amp;"-"&amp;J1517&amp;"-"&amp;K1517&amp;"-"&amp;L1517&amp;"-"&amp;M1517</f>
        <v>X-1-e-2-14.5</v>
      </c>
      <c r="Q1517">
        <f>A1517+R1517</f>
        <v>4222.9151839999995</v>
      </c>
      <c r="R1517">
        <f>_xlfn.IFNA(VLOOKUP(P1517,PGOPHER!A$2:G$181,7,FALSE),_xlfn.IFNA(VLOOKUP(P1517,en!A$2:I$768,7,FALSE),-10000))</f>
        <v>3035.5639839999999</v>
      </c>
      <c r="S1517">
        <f>IF(O1517=O1516,Q1516+S1516,Q1517)</f>
        <v>8445.8340959999987</v>
      </c>
      <c r="T1517">
        <f>IF(O1517=O1516,T1516+1,1)</f>
        <v>2</v>
      </c>
      <c r="U1517">
        <f>IF(O1517=O1518,"",S1517/T1517)</f>
        <v>4222.9170479999993</v>
      </c>
      <c r="V1517" t="str">
        <f>IF(U1517="","",IF(ABS(Q1517-U1517)&gt;V$1,"error",""))</f>
        <v/>
      </c>
    </row>
    <row r="1518" spans="1:22" x14ac:dyDescent="0.55000000000000004">
      <c r="A1518">
        <v>1150.2467999999999</v>
      </c>
      <c r="B1518" s="1">
        <v>1.83E-2</v>
      </c>
      <c r="C1518" s="1">
        <v>1.83E-2</v>
      </c>
      <c r="D1518" s="2" t="s">
        <v>0</v>
      </c>
      <c r="E1518">
        <v>1</v>
      </c>
      <c r="F1518" s="2" t="s">
        <v>2</v>
      </c>
      <c r="G1518">
        <v>4</v>
      </c>
      <c r="H1518">
        <v>15.5</v>
      </c>
      <c r="I1518" s="2" t="s">
        <v>0</v>
      </c>
      <c r="J1518">
        <v>1</v>
      </c>
      <c r="K1518" s="2" t="s">
        <v>2</v>
      </c>
      <c r="L1518">
        <v>3</v>
      </c>
      <c r="M1518">
        <v>14.5</v>
      </c>
      <c r="N1518" s="2" t="s">
        <v>663</v>
      </c>
      <c r="O1518" t="str">
        <f>D1518&amp;"-"&amp;E1518&amp;"-"&amp;F1518&amp;"-"&amp;G1518&amp;"-"&amp;H1518</f>
        <v>X-1-e-4-15.5</v>
      </c>
      <c r="P1518" t="str">
        <f>I1518&amp;"-"&amp;J1518&amp;"-"&amp;K1518&amp;"-"&amp;L1518&amp;"-"&amp;M1518</f>
        <v>X-1-e-3-14.5</v>
      </c>
      <c r="Q1518">
        <f>A1518+R1518</f>
        <v>5273.174</v>
      </c>
      <c r="R1518">
        <f>_xlfn.IFNA(VLOOKUP(P1518,PGOPHER!A$2:G$181,7,FALSE),_xlfn.IFNA(VLOOKUP(P1518,en!A$2:I$768,7,FALSE),-10000))</f>
        <v>4122.9272000000001</v>
      </c>
      <c r="S1518">
        <f>IF(O1518=O1517,Q1517+S1517,Q1518)</f>
        <v>5273.174</v>
      </c>
      <c r="T1518">
        <f>IF(O1518=O1517,T1517+1,1)</f>
        <v>1</v>
      </c>
      <c r="U1518" t="str">
        <f>IF(O1518=O1519,"",S1518/T1518)</f>
        <v/>
      </c>
      <c r="V1518" t="str">
        <f>IF(U1518="","",IF(ABS(Q1518-U1518)&gt;V$1,"error",""))</f>
        <v/>
      </c>
    </row>
    <row r="1519" spans="1:22" x14ac:dyDescent="0.55000000000000004">
      <c r="A1519">
        <v>943.87279999999998</v>
      </c>
      <c r="B1519" s="1">
        <v>1.83E-2</v>
      </c>
      <c r="C1519" s="1">
        <v>1.83E-2</v>
      </c>
      <c r="D1519" s="2" t="s">
        <v>0</v>
      </c>
      <c r="E1519">
        <v>1</v>
      </c>
      <c r="F1519" s="2" t="s">
        <v>2</v>
      </c>
      <c r="G1519">
        <v>4</v>
      </c>
      <c r="H1519">
        <v>15.5</v>
      </c>
      <c r="I1519" s="2" t="s">
        <v>0</v>
      </c>
      <c r="J1519">
        <v>1</v>
      </c>
      <c r="K1519" s="2" t="s">
        <v>2</v>
      </c>
      <c r="L1519">
        <v>3</v>
      </c>
      <c r="M1519">
        <v>16.5</v>
      </c>
      <c r="N1519" s="2" t="s">
        <v>665</v>
      </c>
      <c r="O1519" t="str">
        <f>D1519&amp;"-"&amp;E1519&amp;"-"&amp;F1519&amp;"-"&amp;G1519&amp;"-"&amp;H1519</f>
        <v>X-1-e-4-15.5</v>
      </c>
      <c r="P1519" t="str">
        <f>I1519&amp;"-"&amp;J1519&amp;"-"&amp;K1519&amp;"-"&amp;L1519&amp;"-"&amp;M1519</f>
        <v>X-1-e-3-16.5</v>
      </c>
      <c r="Q1519">
        <f>A1519+R1519</f>
        <v>5273.1754490000003</v>
      </c>
      <c r="R1519">
        <f>_xlfn.IFNA(VLOOKUP(P1519,PGOPHER!A$2:G$181,7,FALSE),_xlfn.IFNA(VLOOKUP(P1519,en!A$2:I$768,7,FALSE),-10000))</f>
        <v>4329.3026490000002</v>
      </c>
      <c r="S1519">
        <f>IF(O1519=O1518,Q1518+S1518,Q1519)</f>
        <v>10546.348</v>
      </c>
      <c r="T1519">
        <f>IF(O1519=O1518,T1518+1,1)</f>
        <v>2</v>
      </c>
      <c r="U1519">
        <f>IF(O1519=O1520,"",S1519/T1519)</f>
        <v>5273.174</v>
      </c>
      <c r="V1519" t="str">
        <f>IF(U1519="","",IF(ABS(Q1519-U1519)&gt;V$1,"error",""))</f>
        <v/>
      </c>
    </row>
    <row r="1520" spans="1:22" x14ac:dyDescent="0.55000000000000004">
      <c r="A1520">
        <v>1030.1751099999999</v>
      </c>
      <c r="B1520" s="1">
        <v>1E-3</v>
      </c>
      <c r="C1520" s="1">
        <v>1E-3</v>
      </c>
      <c r="D1520" s="2" t="s">
        <v>0</v>
      </c>
      <c r="E1520">
        <v>2</v>
      </c>
      <c r="F1520" s="2" t="s">
        <v>1</v>
      </c>
      <c r="G1520">
        <v>1</v>
      </c>
      <c r="H1520">
        <v>15.5</v>
      </c>
      <c r="I1520" s="2" t="s">
        <v>0</v>
      </c>
      <c r="J1520">
        <v>2</v>
      </c>
      <c r="K1520" s="2" t="s">
        <v>1</v>
      </c>
      <c r="L1520">
        <v>0</v>
      </c>
      <c r="M1520">
        <v>16.5</v>
      </c>
      <c r="N1520" s="2" t="s">
        <v>239</v>
      </c>
      <c r="O1520" t="str">
        <f>D1520&amp;"-"&amp;E1520&amp;"-"&amp;F1520&amp;"-"&amp;G1520&amp;"-"&amp;H1520</f>
        <v>X-2-f-1-15.5</v>
      </c>
      <c r="P1520" t="str">
        <f>I1520&amp;"-"&amp;J1520&amp;"-"&amp;K1520&amp;"-"&amp;L1520&amp;"-"&amp;M1520</f>
        <v>X-2-f-0-16.5</v>
      </c>
      <c r="Q1520">
        <f>A1520+R1520</f>
        <v>2128.3400929999998</v>
      </c>
      <c r="R1520">
        <f>_xlfn.IFNA(VLOOKUP(P1520,PGOPHER!A$2:G$181,7,FALSE),_xlfn.IFNA(VLOOKUP(P1520,en!A$2:I$768,7,FALSE),-10000))</f>
        <v>1098.1649829999999</v>
      </c>
      <c r="S1520">
        <f>IF(O1520=O1519,Q1519+S1519,Q1520)</f>
        <v>2128.3400929999998</v>
      </c>
      <c r="T1520">
        <f>IF(O1520=O1519,T1519+1,1)</f>
        <v>1</v>
      </c>
      <c r="U1520" t="str">
        <f>IF(O1520=O1521,"",S1520/T1520)</f>
        <v/>
      </c>
      <c r="V1520" t="str">
        <f>IF(U1520="","",IF(ABS(Q1520-U1520)&gt;V$1,"error",""))</f>
        <v/>
      </c>
    </row>
    <row r="1521" spans="1:22" x14ac:dyDescent="0.55000000000000004">
      <c r="A1521">
        <v>1265.03826</v>
      </c>
      <c r="B1521" s="1">
        <v>1E-3</v>
      </c>
      <c r="C1521" s="1">
        <v>1E-3</v>
      </c>
      <c r="D1521" s="2" t="s">
        <v>0</v>
      </c>
      <c r="E1521">
        <v>2</v>
      </c>
      <c r="F1521" s="2" t="s">
        <v>1</v>
      </c>
      <c r="G1521">
        <v>1</v>
      </c>
      <c r="H1521">
        <v>15.5</v>
      </c>
      <c r="I1521" s="2" t="s">
        <v>0</v>
      </c>
      <c r="J1521">
        <v>2</v>
      </c>
      <c r="K1521" s="2" t="s">
        <v>1</v>
      </c>
      <c r="L1521">
        <v>0</v>
      </c>
      <c r="M1521">
        <v>14.5</v>
      </c>
      <c r="N1521" s="2" t="s">
        <v>243</v>
      </c>
      <c r="O1521" t="str">
        <f>D1521&amp;"-"&amp;E1521&amp;"-"&amp;F1521&amp;"-"&amp;G1521&amp;"-"&amp;H1521</f>
        <v>X-2-f-1-15.5</v>
      </c>
      <c r="P1521" t="str">
        <f>I1521&amp;"-"&amp;J1521&amp;"-"&amp;K1521&amp;"-"&amp;L1521&amp;"-"&amp;M1521</f>
        <v>X-2-f-0-14.5</v>
      </c>
      <c r="Q1521">
        <f>A1521+R1521</f>
        <v>2128.341265</v>
      </c>
      <c r="R1521">
        <f>_xlfn.IFNA(VLOOKUP(P1521,PGOPHER!A$2:G$181,7,FALSE),_xlfn.IFNA(VLOOKUP(P1521,en!A$2:I$768,7,FALSE),-10000))</f>
        <v>863.30300499999998</v>
      </c>
      <c r="S1521">
        <f>IF(O1521=O1520,Q1520+S1520,Q1521)</f>
        <v>4256.6801859999996</v>
      </c>
      <c r="T1521">
        <f>IF(O1521=O1520,T1520+1,1)</f>
        <v>2</v>
      </c>
      <c r="U1521" t="str">
        <f>IF(O1521=O1522,"",S1521/T1521)</f>
        <v/>
      </c>
      <c r="V1521" t="str">
        <f>IF(U1521="","",IF(ABS(Q1521-U1521)&gt;V$1,"error",""))</f>
        <v/>
      </c>
    </row>
    <row r="1522" spans="1:22" x14ac:dyDescent="0.55000000000000004">
      <c r="A1522">
        <v>1265.0371500000001</v>
      </c>
      <c r="B1522" s="1">
        <v>1E-3</v>
      </c>
      <c r="C1522" s="1">
        <v>1E-3</v>
      </c>
      <c r="D1522" s="2" t="s">
        <v>0</v>
      </c>
      <c r="E1522">
        <v>2</v>
      </c>
      <c r="F1522" s="2" t="s">
        <v>1</v>
      </c>
      <c r="G1522">
        <v>1</v>
      </c>
      <c r="H1522">
        <v>15.5</v>
      </c>
      <c r="I1522" s="2" t="s">
        <v>0</v>
      </c>
      <c r="J1522">
        <v>2</v>
      </c>
      <c r="K1522" s="2" t="s">
        <v>1</v>
      </c>
      <c r="L1522">
        <v>0</v>
      </c>
      <c r="M1522">
        <v>14.5</v>
      </c>
      <c r="N1522" s="2" t="s">
        <v>240</v>
      </c>
      <c r="O1522" t="str">
        <f>D1522&amp;"-"&amp;E1522&amp;"-"&amp;F1522&amp;"-"&amp;G1522&amp;"-"&amp;H1522</f>
        <v>X-2-f-1-15.5</v>
      </c>
      <c r="P1522" t="str">
        <f>I1522&amp;"-"&amp;J1522&amp;"-"&amp;K1522&amp;"-"&amp;L1522&amp;"-"&amp;M1522</f>
        <v>X-2-f-0-14.5</v>
      </c>
      <c r="Q1522">
        <f>A1522+R1522</f>
        <v>2128.3401549999999</v>
      </c>
      <c r="R1522">
        <f>_xlfn.IFNA(VLOOKUP(P1522,PGOPHER!A$2:G$181,7,FALSE),_xlfn.IFNA(VLOOKUP(P1522,en!A$2:I$768,7,FALSE),-10000))</f>
        <v>863.30300499999998</v>
      </c>
      <c r="S1522">
        <f>IF(O1522=O1521,Q1521+S1521,Q1522)</f>
        <v>6385.0214509999996</v>
      </c>
      <c r="T1522">
        <f>IF(O1522=O1521,T1521+1,1)</f>
        <v>3</v>
      </c>
      <c r="U1522" t="str">
        <f>IF(O1522=O1523,"",S1522/T1522)</f>
        <v/>
      </c>
      <c r="V1522" t="str">
        <f>IF(U1522="","",IF(ABS(Q1522-U1522)&gt;V$1,"error",""))</f>
        <v/>
      </c>
    </row>
    <row r="1523" spans="1:22" x14ac:dyDescent="0.55000000000000004">
      <c r="A1523">
        <v>1030.1763000000001</v>
      </c>
      <c r="B1523" s="1">
        <v>1E-3</v>
      </c>
      <c r="C1523" s="1">
        <v>1E-3</v>
      </c>
      <c r="D1523" s="2" t="s">
        <v>0</v>
      </c>
      <c r="E1523">
        <v>2</v>
      </c>
      <c r="F1523" s="2" t="s">
        <v>1</v>
      </c>
      <c r="G1523">
        <v>1</v>
      </c>
      <c r="H1523">
        <v>15.5</v>
      </c>
      <c r="I1523" s="2" t="s">
        <v>0</v>
      </c>
      <c r="J1523">
        <v>2</v>
      </c>
      <c r="K1523" s="2" t="s">
        <v>1</v>
      </c>
      <c r="L1523">
        <v>0</v>
      </c>
      <c r="M1523">
        <v>16.5</v>
      </c>
      <c r="N1523" s="2" t="s">
        <v>236</v>
      </c>
      <c r="O1523" t="str">
        <f>D1523&amp;"-"&amp;E1523&amp;"-"&amp;F1523&amp;"-"&amp;G1523&amp;"-"&amp;H1523</f>
        <v>X-2-f-1-15.5</v>
      </c>
      <c r="P1523" t="str">
        <f>I1523&amp;"-"&amp;J1523&amp;"-"&amp;K1523&amp;"-"&amp;L1523&amp;"-"&amp;M1523</f>
        <v>X-2-f-0-16.5</v>
      </c>
      <c r="Q1523">
        <f>A1523+R1523</f>
        <v>2128.3412829999997</v>
      </c>
      <c r="R1523">
        <f>_xlfn.IFNA(VLOOKUP(P1523,PGOPHER!A$2:G$181,7,FALSE),_xlfn.IFNA(VLOOKUP(P1523,en!A$2:I$768,7,FALSE),-10000))</f>
        <v>1098.1649829999999</v>
      </c>
      <c r="S1523">
        <f>IF(O1523=O1522,Q1522+S1522,Q1523)</f>
        <v>8513.3616059999986</v>
      </c>
      <c r="T1523">
        <f>IF(O1523=O1522,T1522+1,1)</f>
        <v>4</v>
      </c>
      <c r="U1523" t="str">
        <f>IF(O1523=O1524,"",S1523/T1523)</f>
        <v/>
      </c>
      <c r="V1523" t="str">
        <f>IF(U1523="","",IF(ABS(Q1523-U1523)&gt;V$1,"error",""))</f>
        <v/>
      </c>
    </row>
    <row r="1524" spans="1:22" x14ac:dyDescent="0.55000000000000004">
      <c r="A1524">
        <v>1030.1763000000001</v>
      </c>
      <c r="B1524" s="1">
        <v>1E-3</v>
      </c>
      <c r="C1524" s="1">
        <v>1E-3</v>
      </c>
      <c r="D1524" s="2" t="s">
        <v>0</v>
      </c>
      <c r="E1524">
        <v>2</v>
      </c>
      <c r="F1524" s="2" t="s">
        <v>1</v>
      </c>
      <c r="G1524">
        <v>1</v>
      </c>
      <c r="H1524">
        <v>15.5</v>
      </c>
      <c r="I1524" s="2" t="s">
        <v>0</v>
      </c>
      <c r="J1524">
        <v>2</v>
      </c>
      <c r="K1524" s="2" t="s">
        <v>1</v>
      </c>
      <c r="L1524">
        <v>0</v>
      </c>
      <c r="M1524">
        <v>16.5</v>
      </c>
      <c r="N1524" s="2" t="s">
        <v>244</v>
      </c>
      <c r="O1524" t="str">
        <f>D1524&amp;"-"&amp;E1524&amp;"-"&amp;F1524&amp;"-"&amp;G1524&amp;"-"&amp;H1524</f>
        <v>X-2-f-1-15.5</v>
      </c>
      <c r="P1524" t="str">
        <f>I1524&amp;"-"&amp;J1524&amp;"-"&amp;K1524&amp;"-"&amp;L1524&amp;"-"&amp;M1524</f>
        <v>X-2-f-0-16.5</v>
      </c>
      <c r="Q1524">
        <f>A1524+R1524</f>
        <v>2128.3412829999997</v>
      </c>
      <c r="R1524">
        <f>_xlfn.IFNA(VLOOKUP(P1524,PGOPHER!A$2:G$181,7,FALSE),_xlfn.IFNA(VLOOKUP(P1524,en!A$2:I$768,7,FALSE),-10000))</f>
        <v>1098.1649829999999</v>
      </c>
      <c r="S1524">
        <f>IF(O1524=O1523,Q1523+S1523,Q1524)</f>
        <v>10641.702888999998</v>
      </c>
      <c r="T1524">
        <f>IF(O1524=O1523,T1523+1,1)</f>
        <v>5</v>
      </c>
      <c r="U1524" t="str">
        <f>IF(O1524=O1525,"",S1524/T1524)</f>
        <v/>
      </c>
      <c r="V1524" t="str">
        <f>IF(U1524="","",IF(ABS(Q1524-U1524)&gt;V$1,"error",""))</f>
        <v/>
      </c>
    </row>
    <row r="1525" spans="1:22" x14ac:dyDescent="0.55000000000000004">
      <c r="A1525">
        <v>1265.0382999999999</v>
      </c>
      <c r="B1525" s="1">
        <v>3.7100000000000001E-2</v>
      </c>
      <c r="C1525" s="1">
        <v>3.7100000000000001E-2</v>
      </c>
      <c r="D1525" s="2" t="s">
        <v>0</v>
      </c>
      <c r="E1525">
        <v>2</v>
      </c>
      <c r="F1525" s="2" t="s">
        <v>1</v>
      </c>
      <c r="G1525">
        <v>1</v>
      </c>
      <c r="H1525">
        <v>15.5</v>
      </c>
      <c r="I1525" s="2" t="s">
        <v>0</v>
      </c>
      <c r="J1525">
        <v>2</v>
      </c>
      <c r="K1525" s="2" t="s">
        <v>1</v>
      </c>
      <c r="L1525">
        <v>0</v>
      </c>
      <c r="M1525">
        <v>14.5</v>
      </c>
      <c r="N1525" s="2" t="s">
        <v>234</v>
      </c>
      <c r="O1525" t="str">
        <f>D1525&amp;"-"&amp;E1525&amp;"-"&amp;F1525&amp;"-"&amp;G1525&amp;"-"&amp;H1525</f>
        <v>X-2-f-1-15.5</v>
      </c>
      <c r="P1525" t="str">
        <f>I1525&amp;"-"&amp;J1525&amp;"-"&amp;K1525&amp;"-"&amp;L1525&amp;"-"&amp;M1525</f>
        <v>X-2-f-0-14.5</v>
      </c>
      <c r="Q1525">
        <f>A1525+R1525</f>
        <v>2128.3413049999999</v>
      </c>
      <c r="R1525">
        <f>_xlfn.IFNA(VLOOKUP(P1525,PGOPHER!A$2:G$181,7,FALSE),_xlfn.IFNA(VLOOKUP(P1525,en!A$2:I$768,7,FALSE),-10000))</f>
        <v>863.30300499999998</v>
      </c>
      <c r="S1525">
        <f>IF(O1525=O1524,Q1524+S1524,Q1525)</f>
        <v>12770.044171999998</v>
      </c>
      <c r="T1525">
        <f>IF(O1525=O1524,T1524+1,1)</f>
        <v>6</v>
      </c>
      <c r="U1525">
        <f>IF(O1525=O1526,"",S1525/T1525)</f>
        <v>2128.3406953333329</v>
      </c>
      <c r="V1525" t="str">
        <f>IF(U1525="","",IF(ABS(Q1525-U1525)&gt;V$1,"error",""))</f>
        <v/>
      </c>
    </row>
    <row r="1526" spans="1:22" x14ac:dyDescent="0.55000000000000004">
      <c r="A1526">
        <v>998.65200000000004</v>
      </c>
      <c r="B1526" s="1">
        <v>1.46E-2</v>
      </c>
      <c r="C1526" s="1">
        <v>1.46E-2</v>
      </c>
      <c r="D1526" s="2" t="s">
        <v>0</v>
      </c>
      <c r="E1526">
        <v>2</v>
      </c>
      <c r="F1526" s="2" t="s">
        <v>1</v>
      </c>
      <c r="G1526">
        <v>2</v>
      </c>
      <c r="H1526">
        <v>15.5</v>
      </c>
      <c r="I1526" s="2" t="s">
        <v>0</v>
      </c>
      <c r="J1526">
        <v>2</v>
      </c>
      <c r="K1526" s="2" t="s">
        <v>1</v>
      </c>
      <c r="L1526">
        <v>1</v>
      </c>
      <c r="M1526">
        <v>16.5</v>
      </c>
      <c r="N1526" s="2" t="s">
        <v>466</v>
      </c>
      <c r="O1526" t="str">
        <f>D1526&amp;"-"&amp;E1526&amp;"-"&amp;F1526&amp;"-"&amp;G1526&amp;"-"&amp;H1526</f>
        <v>X-2-f-2-15.5</v>
      </c>
      <c r="P1526" t="str">
        <f>I1526&amp;"-"&amp;J1526&amp;"-"&amp;K1526&amp;"-"&amp;L1526&amp;"-"&amp;M1526</f>
        <v>X-2-f-1-16.5</v>
      </c>
      <c r="Q1526">
        <f>A1526+R1526</f>
        <v>3245.1149249999999</v>
      </c>
      <c r="R1526">
        <f>_xlfn.IFNA(VLOOKUP(P1526,PGOPHER!A$2:G$181,7,FALSE),_xlfn.IFNA(VLOOKUP(P1526,en!A$2:I$768,7,FALSE),-10000))</f>
        <v>2246.4629249999998</v>
      </c>
      <c r="S1526">
        <f>IF(O1526=O1525,Q1525+S1525,Q1526)</f>
        <v>3245.1149249999999</v>
      </c>
      <c r="T1526">
        <f>IF(O1526=O1525,T1525+1,1)</f>
        <v>1</v>
      </c>
      <c r="U1526" t="str">
        <f>IF(O1526=O1527,"",S1526/T1526)</f>
        <v/>
      </c>
      <c r="V1526" t="str">
        <f>IF(U1526="","",IF(ABS(Q1526-U1526)&gt;V$1,"error",""))</f>
        <v/>
      </c>
    </row>
    <row r="1527" spans="1:22" x14ac:dyDescent="0.55000000000000004">
      <c r="A1527">
        <v>1228.2289000000001</v>
      </c>
      <c r="B1527" s="1">
        <v>1.11E-2</v>
      </c>
      <c r="C1527" s="1">
        <v>1.11E-2</v>
      </c>
      <c r="D1527" s="2" t="s">
        <v>0</v>
      </c>
      <c r="E1527">
        <v>2</v>
      </c>
      <c r="F1527" s="2" t="s">
        <v>1</v>
      </c>
      <c r="G1527">
        <v>2</v>
      </c>
      <c r="H1527">
        <v>15.5</v>
      </c>
      <c r="I1527" s="2" t="s">
        <v>0</v>
      </c>
      <c r="J1527">
        <v>2</v>
      </c>
      <c r="K1527" s="2" t="s">
        <v>1</v>
      </c>
      <c r="L1527">
        <v>1</v>
      </c>
      <c r="M1527">
        <v>14.5</v>
      </c>
      <c r="N1527" s="2" t="s">
        <v>464</v>
      </c>
      <c r="O1527" t="str">
        <f>D1527&amp;"-"&amp;E1527&amp;"-"&amp;F1527&amp;"-"&amp;G1527&amp;"-"&amp;H1527</f>
        <v>X-2-f-2-15.5</v>
      </c>
      <c r="P1527" t="str">
        <f>I1527&amp;"-"&amp;J1527&amp;"-"&amp;K1527&amp;"-"&amp;L1527&amp;"-"&amp;M1527</f>
        <v>X-2-f-1-14.5</v>
      </c>
      <c r="Q1527">
        <f>A1527+R1527</f>
        <v>3245.1147380000002</v>
      </c>
      <c r="R1527">
        <f>_xlfn.IFNA(VLOOKUP(P1527,PGOPHER!A$2:G$181,7,FALSE),_xlfn.IFNA(VLOOKUP(P1527,en!A$2:I$768,7,FALSE),-10000))</f>
        <v>2016.8858379999999</v>
      </c>
      <c r="S1527">
        <f>IF(O1527=O1526,Q1526+S1526,Q1527)</f>
        <v>6490.2298499999997</v>
      </c>
      <c r="T1527">
        <f>IF(O1527=O1526,T1526+1,1)</f>
        <v>2</v>
      </c>
      <c r="U1527">
        <f>IF(O1527=O1528,"",S1527/T1527)</f>
        <v>3245.1149249999999</v>
      </c>
      <c r="V1527" t="str">
        <f>IF(U1527="","",IF(ABS(Q1527-U1527)&gt;V$1,"error",""))</f>
        <v/>
      </c>
    </row>
    <row r="1528" spans="1:22" x14ac:dyDescent="0.55000000000000004">
      <c r="A1528">
        <v>1191.2731000000001</v>
      </c>
      <c r="B1528" s="1">
        <v>2.4400000000000002E-2</v>
      </c>
      <c r="C1528" s="1">
        <v>2.4400000000000002E-2</v>
      </c>
      <c r="D1528" s="2" t="s">
        <v>0</v>
      </c>
      <c r="E1528">
        <v>2</v>
      </c>
      <c r="F1528" s="2" t="s">
        <v>1</v>
      </c>
      <c r="G1528">
        <v>3</v>
      </c>
      <c r="H1528">
        <v>15.5</v>
      </c>
      <c r="I1528" s="2" t="s">
        <v>0</v>
      </c>
      <c r="J1528">
        <v>2</v>
      </c>
      <c r="K1528" s="2" t="s">
        <v>1</v>
      </c>
      <c r="L1528">
        <v>2</v>
      </c>
      <c r="M1528">
        <v>14.5</v>
      </c>
      <c r="N1528" s="2" t="s">
        <v>590</v>
      </c>
      <c r="O1528" t="str">
        <f>D1528&amp;"-"&amp;E1528&amp;"-"&amp;F1528&amp;"-"&amp;G1528&amp;"-"&amp;H1528</f>
        <v>X-2-f-3-15.5</v>
      </c>
      <c r="P1528" t="str">
        <f>I1528&amp;"-"&amp;J1528&amp;"-"&amp;K1528&amp;"-"&amp;L1528&amp;"-"&amp;M1528</f>
        <v>X-2-f-2-14.5</v>
      </c>
      <c r="Q1528">
        <f>A1528+R1528</f>
        <v>4327.5128199999999</v>
      </c>
      <c r="R1528">
        <f>_xlfn.IFNA(VLOOKUP(P1528,PGOPHER!A$2:G$181,7,FALSE),_xlfn.IFNA(VLOOKUP(P1528,en!A$2:I$768,7,FALSE),-10000))</f>
        <v>3136.23972</v>
      </c>
      <c r="S1528">
        <f>IF(O1528=O1527,Q1527+S1527,Q1528)</f>
        <v>4327.5128199999999</v>
      </c>
      <c r="T1528">
        <f>IF(O1528=O1527,T1527+1,1)</f>
        <v>1</v>
      </c>
      <c r="U1528" t="str">
        <f>IF(O1528=O1529,"",S1528/T1528)</f>
        <v/>
      </c>
      <c r="V1528" t="str">
        <f>IF(U1528="","",IF(ABS(Q1528-U1528)&gt;V$1,"error",""))</f>
        <v/>
      </c>
    </row>
    <row r="1529" spans="1:22" x14ac:dyDescent="0.55000000000000004">
      <c r="A1529">
        <v>1191.2736</v>
      </c>
      <c r="B1529" s="1">
        <v>2.3800000000000002E-2</v>
      </c>
      <c r="C1529" s="1">
        <v>2.3800000000000002E-2</v>
      </c>
      <c r="D1529" s="2" t="s">
        <v>0</v>
      </c>
      <c r="E1529">
        <v>2</v>
      </c>
      <c r="F1529" s="2" t="s">
        <v>1</v>
      </c>
      <c r="G1529">
        <v>3</v>
      </c>
      <c r="H1529">
        <v>15.5</v>
      </c>
      <c r="I1529" s="2" t="s">
        <v>0</v>
      </c>
      <c r="J1529">
        <v>2</v>
      </c>
      <c r="K1529" s="2" t="s">
        <v>1</v>
      </c>
      <c r="L1529">
        <v>2</v>
      </c>
      <c r="M1529">
        <v>14.5</v>
      </c>
      <c r="N1529" s="2" t="s">
        <v>591</v>
      </c>
      <c r="O1529" t="str">
        <f>D1529&amp;"-"&amp;E1529&amp;"-"&amp;F1529&amp;"-"&amp;G1529&amp;"-"&amp;H1529</f>
        <v>X-2-f-3-15.5</v>
      </c>
      <c r="P1529" t="str">
        <f>I1529&amp;"-"&amp;J1529&amp;"-"&amp;K1529&amp;"-"&amp;L1529&amp;"-"&amp;M1529</f>
        <v>X-2-f-2-14.5</v>
      </c>
      <c r="Q1529">
        <f>A1529+R1529</f>
        <v>4327.51332</v>
      </c>
      <c r="R1529">
        <f>_xlfn.IFNA(VLOOKUP(P1529,PGOPHER!A$2:G$181,7,FALSE),_xlfn.IFNA(VLOOKUP(P1529,en!A$2:I$768,7,FALSE),-10000))</f>
        <v>3136.23972</v>
      </c>
      <c r="S1529">
        <f>IF(O1529=O1528,Q1528+S1528,Q1529)</f>
        <v>8655.0256399999998</v>
      </c>
      <c r="T1529">
        <f>IF(O1529=O1528,T1528+1,1)</f>
        <v>2</v>
      </c>
      <c r="U1529" t="str">
        <f>IF(O1529=O1530,"",S1529/T1529)</f>
        <v/>
      </c>
      <c r="V1529" t="str">
        <f>IF(U1529="","",IF(ABS(Q1529-U1529)&gt;V$1,"error",""))</f>
        <v/>
      </c>
    </row>
    <row r="1530" spans="1:22" x14ac:dyDescent="0.55000000000000004">
      <c r="A1530">
        <v>967.00580000000002</v>
      </c>
      <c r="B1530" s="1">
        <v>5.8599999999999999E-2</v>
      </c>
      <c r="C1530" s="1">
        <v>5.8599999999999999E-2</v>
      </c>
      <c r="D1530" s="2" t="s">
        <v>0</v>
      </c>
      <c r="E1530">
        <v>2</v>
      </c>
      <c r="F1530" s="2" t="s">
        <v>1</v>
      </c>
      <c r="G1530">
        <v>3</v>
      </c>
      <c r="H1530">
        <v>15.5</v>
      </c>
      <c r="I1530" s="2" t="s">
        <v>0</v>
      </c>
      <c r="J1530">
        <v>2</v>
      </c>
      <c r="K1530" s="2" t="s">
        <v>1</v>
      </c>
      <c r="L1530">
        <v>2</v>
      </c>
      <c r="M1530">
        <v>16.5</v>
      </c>
      <c r="N1530" s="2" t="s">
        <v>592</v>
      </c>
      <c r="O1530" t="str">
        <f>D1530&amp;"-"&amp;E1530&amp;"-"&amp;F1530&amp;"-"&amp;G1530&amp;"-"&amp;H1530</f>
        <v>X-2-f-3-15.5</v>
      </c>
      <c r="P1530" t="str">
        <f>I1530&amp;"-"&amp;J1530&amp;"-"&amp;K1530&amp;"-"&amp;L1530&amp;"-"&amp;M1530</f>
        <v>X-2-f-2-16.5</v>
      </c>
      <c r="Q1530">
        <f>A1530+R1530</f>
        <v>4327.5139840000002</v>
      </c>
      <c r="R1530">
        <f>_xlfn.IFNA(VLOOKUP(P1530,PGOPHER!A$2:G$181,7,FALSE),_xlfn.IFNA(VLOOKUP(P1530,en!A$2:I$768,7,FALSE),-10000))</f>
        <v>3360.5081839999998</v>
      </c>
      <c r="S1530">
        <f>IF(O1530=O1529,Q1529+S1529,Q1530)</f>
        <v>12982.53896</v>
      </c>
      <c r="T1530">
        <f>IF(O1530=O1529,T1529+1,1)</f>
        <v>3</v>
      </c>
      <c r="U1530">
        <f>IF(O1530=O1531,"",S1530/T1530)</f>
        <v>4327.5129866666666</v>
      </c>
      <c r="V1530" t="str">
        <f>IF(U1530="","",IF(ABS(Q1530-U1530)&gt;V$1,"error",""))</f>
        <v/>
      </c>
    </row>
    <row r="1531" spans="1:22" x14ac:dyDescent="0.55000000000000004">
      <c r="A1531">
        <v>1153.9777999999999</v>
      </c>
      <c r="B1531" s="1">
        <v>1E-3</v>
      </c>
      <c r="C1531" s="1">
        <v>1E-3</v>
      </c>
      <c r="D1531" s="2" t="s">
        <v>0</v>
      </c>
      <c r="E1531">
        <v>2</v>
      </c>
      <c r="F1531" s="2" t="s">
        <v>1</v>
      </c>
      <c r="G1531">
        <v>4</v>
      </c>
      <c r="H1531">
        <v>15.5</v>
      </c>
      <c r="I1531" s="2" t="s">
        <v>0</v>
      </c>
      <c r="J1531">
        <v>2</v>
      </c>
      <c r="K1531" s="2" t="s">
        <v>1</v>
      </c>
      <c r="L1531">
        <v>3</v>
      </c>
      <c r="M1531">
        <v>14.5</v>
      </c>
      <c r="N1531" s="2" t="s">
        <v>664</v>
      </c>
      <c r="O1531" t="str">
        <f>D1531&amp;"-"&amp;E1531&amp;"-"&amp;F1531&amp;"-"&amp;G1531&amp;"-"&amp;H1531</f>
        <v>X-2-f-4-15.5</v>
      </c>
      <c r="P1531" t="str">
        <f>I1531&amp;"-"&amp;J1531&amp;"-"&amp;K1531&amp;"-"&amp;L1531&amp;"-"&amp;M1531</f>
        <v>X-2-f-3-14.5</v>
      </c>
      <c r="Q1531">
        <f>A1531+R1531</f>
        <v>5375.204643</v>
      </c>
      <c r="R1531">
        <f>_xlfn.IFNA(VLOOKUP(P1531,PGOPHER!A$2:G$181,7,FALSE),_xlfn.IFNA(VLOOKUP(P1531,en!A$2:I$768,7,FALSE),-10000))</f>
        <v>4221.2268430000004</v>
      </c>
      <c r="S1531">
        <f>IF(O1531=O1530,Q1530+S1530,Q1531)</f>
        <v>5375.204643</v>
      </c>
      <c r="T1531">
        <f>IF(O1531=O1530,T1530+1,1)</f>
        <v>1</v>
      </c>
      <c r="U1531">
        <f>IF(O1531=O1532,"",S1531/T1531)</f>
        <v>5375.204643</v>
      </c>
      <c r="V1531" t="str">
        <f>IF(U1531="","",IF(ABS(Q1531-U1531)&gt;V$1,"error",""))</f>
        <v/>
      </c>
    </row>
    <row r="1532" spans="1:22" x14ac:dyDescent="0.55000000000000004">
      <c r="A1532">
        <v>1029.99244</v>
      </c>
      <c r="B1532" s="1">
        <v>1.42E-3</v>
      </c>
      <c r="C1532" s="1">
        <v>1.42E-3</v>
      </c>
      <c r="D1532" s="2" t="s">
        <v>0</v>
      </c>
      <c r="E1532">
        <v>1</v>
      </c>
      <c r="F1532" s="2" t="s">
        <v>2</v>
      </c>
      <c r="G1532">
        <v>1</v>
      </c>
      <c r="H1532">
        <v>16.5</v>
      </c>
      <c r="I1532" s="2" t="s">
        <v>0</v>
      </c>
      <c r="J1532">
        <v>1</v>
      </c>
      <c r="K1532" s="2" t="s">
        <v>2</v>
      </c>
      <c r="L1532">
        <v>0</v>
      </c>
      <c r="M1532">
        <v>17.5</v>
      </c>
      <c r="N1532" s="2" t="s">
        <v>249</v>
      </c>
      <c r="O1532" t="str">
        <f>D1532&amp;"-"&amp;E1532&amp;"-"&amp;F1532&amp;"-"&amp;G1532&amp;"-"&amp;H1532</f>
        <v>X-1-e-1-16.5</v>
      </c>
      <c r="P1532" t="str">
        <f>I1532&amp;"-"&amp;J1532&amp;"-"&amp;K1532&amp;"-"&amp;L1532&amp;"-"&amp;M1532</f>
        <v>X-1-e-0-17.5</v>
      </c>
      <c r="Q1532">
        <f>A1532+R1532</f>
        <v>2130.2644840000003</v>
      </c>
      <c r="R1532">
        <f>_xlfn.IFNA(VLOOKUP(P1532,PGOPHER!A$2:G$181,7,FALSE),_xlfn.IFNA(VLOOKUP(P1532,en!A$2:I$768,7,FALSE),-10000))</f>
        <v>1100.2720440000001</v>
      </c>
      <c r="S1532">
        <f>IF(O1532=O1531,Q1531+S1531,Q1532)</f>
        <v>2130.2644840000003</v>
      </c>
      <c r="T1532">
        <f>IF(O1532=O1531,T1531+1,1)</f>
        <v>1</v>
      </c>
      <c r="U1532" t="str">
        <f>IF(O1532=O1533,"",S1532/T1532)</f>
        <v/>
      </c>
      <c r="V1532" t="str">
        <f>IF(U1532="","",IF(ABS(Q1532-U1532)&gt;V$1,"error",""))</f>
        <v/>
      </c>
    </row>
    <row r="1533" spans="1:22" x14ac:dyDescent="0.55000000000000004">
      <c r="A1533">
        <v>1265.0858000000001</v>
      </c>
      <c r="B1533" s="1">
        <v>1.748E-3</v>
      </c>
      <c r="C1533" s="1">
        <v>1.748E-3</v>
      </c>
      <c r="D1533" s="2" t="s">
        <v>0</v>
      </c>
      <c r="E1533">
        <v>1</v>
      </c>
      <c r="F1533" s="2" t="s">
        <v>2</v>
      </c>
      <c r="G1533">
        <v>1</v>
      </c>
      <c r="H1533">
        <v>16.5</v>
      </c>
      <c r="I1533" s="2" t="s">
        <v>0</v>
      </c>
      <c r="J1533">
        <v>1</v>
      </c>
      <c r="K1533" s="2" t="s">
        <v>2</v>
      </c>
      <c r="L1533">
        <v>0</v>
      </c>
      <c r="M1533">
        <v>15.5</v>
      </c>
      <c r="N1533" s="2" t="s">
        <v>253</v>
      </c>
      <c r="O1533" t="str">
        <f>D1533&amp;"-"&amp;E1533&amp;"-"&amp;F1533&amp;"-"&amp;G1533&amp;"-"&amp;H1533</f>
        <v>X-1-e-1-16.5</v>
      </c>
      <c r="P1533" t="str">
        <f>I1533&amp;"-"&amp;J1533&amp;"-"&amp;K1533&amp;"-"&amp;L1533&amp;"-"&amp;M1533</f>
        <v>X-1-e-0-15.5</v>
      </c>
      <c r="Q1533">
        <f>A1533+R1533</f>
        <v>2130.2634589999998</v>
      </c>
      <c r="R1533">
        <f>_xlfn.IFNA(VLOOKUP(P1533,PGOPHER!A$2:G$181,7,FALSE),_xlfn.IFNA(VLOOKUP(P1533,en!A$2:I$768,7,FALSE),-10000))</f>
        <v>865.17765899999995</v>
      </c>
      <c r="S1533">
        <f>IF(O1533=O1532,Q1532+S1532,Q1533)</f>
        <v>4260.5289680000005</v>
      </c>
      <c r="T1533">
        <f>IF(O1533=O1532,T1532+1,1)</f>
        <v>2</v>
      </c>
      <c r="U1533" t="str">
        <f>IF(O1533=O1534,"",S1533/T1533)</f>
        <v/>
      </c>
      <c r="V1533" t="str">
        <f>IF(U1533="","",IF(ABS(Q1533-U1533)&gt;V$1,"error",""))</f>
        <v/>
      </c>
    </row>
    <row r="1534" spans="1:22" x14ac:dyDescent="0.55000000000000004">
      <c r="A1534">
        <v>1265.0880400000001</v>
      </c>
      <c r="B1534" s="1">
        <v>1.2600000000000001E-3</v>
      </c>
      <c r="C1534" s="1">
        <v>1.2600000000000001E-3</v>
      </c>
      <c r="D1534" s="2" t="s">
        <v>0</v>
      </c>
      <c r="E1534">
        <v>1</v>
      </c>
      <c r="F1534" s="2" t="s">
        <v>2</v>
      </c>
      <c r="G1534">
        <v>1</v>
      </c>
      <c r="H1534">
        <v>16.5</v>
      </c>
      <c r="I1534" s="2" t="s">
        <v>0</v>
      </c>
      <c r="J1534">
        <v>1</v>
      </c>
      <c r="K1534" s="2" t="s">
        <v>2</v>
      </c>
      <c r="L1534">
        <v>0</v>
      </c>
      <c r="M1534">
        <v>15.5</v>
      </c>
      <c r="N1534" s="2" t="s">
        <v>250</v>
      </c>
      <c r="O1534" t="str">
        <f>D1534&amp;"-"&amp;E1534&amp;"-"&amp;F1534&amp;"-"&amp;G1534&amp;"-"&amp;H1534</f>
        <v>X-1-e-1-16.5</v>
      </c>
      <c r="P1534" t="str">
        <f>I1534&amp;"-"&amp;J1534&amp;"-"&amp;K1534&amp;"-"&amp;L1534&amp;"-"&amp;M1534</f>
        <v>X-1-e-0-15.5</v>
      </c>
      <c r="Q1534">
        <f>A1534+R1534</f>
        <v>2130.265699</v>
      </c>
      <c r="R1534">
        <f>_xlfn.IFNA(VLOOKUP(P1534,PGOPHER!A$2:G$181,7,FALSE),_xlfn.IFNA(VLOOKUP(P1534,en!A$2:I$768,7,FALSE),-10000))</f>
        <v>865.17765899999995</v>
      </c>
      <c r="S1534">
        <f>IF(O1534=O1533,Q1533+S1533,Q1534)</f>
        <v>6390.7924270000003</v>
      </c>
      <c r="T1534">
        <f>IF(O1534=O1533,T1533+1,1)</f>
        <v>3</v>
      </c>
      <c r="U1534" t="str">
        <f>IF(O1534=O1535,"",S1534/T1534)</f>
        <v/>
      </c>
      <c r="V1534" t="str">
        <f>IF(U1534="","",IF(ABS(Q1534-U1534)&gt;V$1,"error",""))</f>
        <v/>
      </c>
    </row>
    <row r="1535" spans="1:22" x14ac:dyDescent="0.55000000000000004">
      <c r="A1535">
        <v>1029.9951000000001</v>
      </c>
      <c r="B1535" s="1">
        <v>9.2799999999999994E-2</v>
      </c>
      <c r="C1535" s="1">
        <v>9.2799999999999994E-2</v>
      </c>
      <c r="D1535" s="2" t="s">
        <v>0</v>
      </c>
      <c r="E1535">
        <v>1</v>
      </c>
      <c r="F1535" s="2" t="s">
        <v>2</v>
      </c>
      <c r="G1535">
        <v>1</v>
      </c>
      <c r="H1535">
        <v>16.5</v>
      </c>
      <c r="I1535" s="2" t="s">
        <v>0</v>
      </c>
      <c r="J1535">
        <v>1</v>
      </c>
      <c r="K1535" s="2" t="s">
        <v>2</v>
      </c>
      <c r="L1535">
        <v>0</v>
      </c>
      <c r="M1535">
        <v>17.5</v>
      </c>
      <c r="N1535" s="2" t="s">
        <v>247</v>
      </c>
      <c r="O1535" t="str">
        <f>D1535&amp;"-"&amp;E1535&amp;"-"&amp;F1535&amp;"-"&amp;G1535&amp;"-"&amp;H1535</f>
        <v>X-1-e-1-16.5</v>
      </c>
      <c r="P1535" t="str">
        <f>I1535&amp;"-"&amp;J1535&amp;"-"&amp;K1535&amp;"-"&amp;L1535&amp;"-"&amp;M1535</f>
        <v>X-1-e-0-17.5</v>
      </c>
      <c r="Q1535">
        <f>A1535+R1535</f>
        <v>2130.2671440000004</v>
      </c>
      <c r="R1535">
        <f>_xlfn.IFNA(VLOOKUP(P1535,PGOPHER!A$2:G$181,7,FALSE),_xlfn.IFNA(VLOOKUP(P1535,en!A$2:I$768,7,FALSE),-10000))</f>
        <v>1100.2720440000001</v>
      </c>
      <c r="S1535">
        <f>IF(O1535=O1534,Q1534+S1534,Q1535)</f>
        <v>8521.0581259999999</v>
      </c>
      <c r="T1535">
        <f>IF(O1535=O1534,T1534+1,1)</f>
        <v>4</v>
      </c>
      <c r="U1535" t="str">
        <f>IF(O1535=O1536,"",S1535/T1535)</f>
        <v/>
      </c>
      <c r="V1535" t="str">
        <f>IF(U1535="","",IF(ABS(Q1535-U1535)&gt;V$1,"error",""))</f>
        <v/>
      </c>
    </row>
    <row r="1536" spans="1:22" x14ac:dyDescent="0.55000000000000004">
      <c r="A1536">
        <v>1265.0858000000001</v>
      </c>
      <c r="B1536" s="1">
        <v>4.6600000000000003E-2</v>
      </c>
      <c r="C1536" s="1">
        <v>4.6600000000000003E-2</v>
      </c>
      <c r="D1536" s="2" t="s">
        <v>0</v>
      </c>
      <c r="E1536">
        <v>1</v>
      </c>
      <c r="F1536" s="2" t="s">
        <v>2</v>
      </c>
      <c r="G1536">
        <v>1</v>
      </c>
      <c r="H1536">
        <v>16.5</v>
      </c>
      <c r="I1536" s="2" t="s">
        <v>0</v>
      </c>
      <c r="J1536">
        <v>1</v>
      </c>
      <c r="K1536" s="2" t="s">
        <v>2</v>
      </c>
      <c r="L1536">
        <v>0</v>
      </c>
      <c r="M1536">
        <v>15.5</v>
      </c>
      <c r="N1536" s="2" t="s">
        <v>245</v>
      </c>
      <c r="O1536" t="str">
        <f>D1536&amp;"-"&amp;E1536&amp;"-"&amp;F1536&amp;"-"&amp;G1536&amp;"-"&amp;H1536</f>
        <v>X-1-e-1-16.5</v>
      </c>
      <c r="P1536" t="str">
        <f>I1536&amp;"-"&amp;J1536&amp;"-"&amp;K1536&amp;"-"&amp;L1536&amp;"-"&amp;M1536</f>
        <v>X-1-e-0-15.5</v>
      </c>
      <c r="Q1536">
        <f>A1536+R1536</f>
        <v>2130.2634589999998</v>
      </c>
      <c r="R1536">
        <f>_xlfn.IFNA(VLOOKUP(P1536,PGOPHER!A$2:G$181,7,FALSE),_xlfn.IFNA(VLOOKUP(P1536,en!A$2:I$768,7,FALSE),-10000))</f>
        <v>865.17765899999995</v>
      </c>
      <c r="S1536">
        <f>IF(O1536=O1535,Q1535+S1535,Q1536)</f>
        <v>10651.325270000001</v>
      </c>
      <c r="T1536">
        <f>IF(O1536=O1535,T1535+1,1)</f>
        <v>5</v>
      </c>
      <c r="U1536" t="str">
        <f>IF(O1536=O1537,"",S1536/T1536)</f>
        <v/>
      </c>
      <c r="V1536" t="str">
        <f>IF(U1536="","",IF(ABS(Q1536-U1536)&gt;V$1,"error",""))</f>
        <v/>
      </c>
    </row>
    <row r="1537" spans="1:22" x14ac:dyDescent="0.55000000000000004">
      <c r="A1537">
        <v>1029.9951100000001</v>
      </c>
      <c r="B1537" s="1">
        <v>3.4359999999999998E-3</v>
      </c>
      <c r="C1537" s="1">
        <v>3.4359999999999998E-3</v>
      </c>
      <c r="D1537" s="2" t="s">
        <v>0</v>
      </c>
      <c r="E1537">
        <v>1</v>
      </c>
      <c r="F1537" s="2" t="s">
        <v>2</v>
      </c>
      <c r="G1537">
        <v>1</v>
      </c>
      <c r="H1537">
        <v>16.5</v>
      </c>
      <c r="I1537" s="2" t="s">
        <v>0</v>
      </c>
      <c r="J1537">
        <v>1</v>
      </c>
      <c r="K1537" s="2" t="s">
        <v>2</v>
      </c>
      <c r="L1537">
        <v>0</v>
      </c>
      <c r="M1537">
        <v>17.5</v>
      </c>
      <c r="N1537" s="2" t="s">
        <v>254</v>
      </c>
      <c r="O1537" t="str">
        <f>D1537&amp;"-"&amp;E1537&amp;"-"&amp;F1537&amp;"-"&amp;G1537&amp;"-"&amp;H1537</f>
        <v>X-1-e-1-16.5</v>
      </c>
      <c r="P1537" t="str">
        <f>I1537&amp;"-"&amp;J1537&amp;"-"&amp;K1537&amp;"-"&amp;L1537&amp;"-"&amp;M1537</f>
        <v>X-1-e-0-17.5</v>
      </c>
      <c r="Q1537">
        <f>A1537+R1537</f>
        <v>2130.2671540000001</v>
      </c>
      <c r="R1537">
        <f>_xlfn.IFNA(VLOOKUP(P1537,PGOPHER!A$2:G$181,7,FALSE),_xlfn.IFNA(VLOOKUP(P1537,en!A$2:I$768,7,FALSE),-10000))</f>
        <v>1100.2720440000001</v>
      </c>
      <c r="S1537">
        <f>IF(O1537=O1536,Q1536+S1536,Q1537)</f>
        <v>12781.588729000001</v>
      </c>
      <c r="T1537">
        <f>IF(O1537=O1536,T1536+1,1)</f>
        <v>6</v>
      </c>
      <c r="U1537">
        <f>IF(O1537=O1538,"",S1537/T1537)</f>
        <v>2130.2647881666667</v>
      </c>
      <c r="V1537" t="str">
        <f>IF(U1537="","",IF(ABS(Q1537-U1537)&gt;V$1,"error",""))</f>
        <v/>
      </c>
    </row>
    <row r="1538" spans="1:22" x14ac:dyDescent="0.55000000000000004">
      <c r="A1538">
        <v>998.47540000000004</v>
      </c>
      <c r="B1538" s="1">
        <v>1.7999999999999999E-2</v>
      </c>
      <c r="C1538" s="1">
        <v>1.7999999999999999E-2</v>
      </c>
      <c r="D1538" s="2" t="s">
        <v>0</v>
      </c>
      <c r="E1538">
        <v>1</v>
      </c>
      <c r="F1538" s="2" t="s">
        <v>2</v>
      </c>
      <c r="G1538">
        <v>2</v>
      </c>
      <c r="H1538">
        <v>16.5</v>
      </c>
      <c r="I1538" s="2" t="s">
        <v>0</v>
      </c>
      <c r="J1538">
        <v>1</v>
      </c>
      <c r="K1538" s="2" t="s">
        <v>2</v>
      </c>
      <c r="L1538">
        <v>1</v>
      </c>
      <c r="M1538">
        <v>17.5</v>
      </c>
      <c r="N1538" s="2" t="s">
        <v>469</v>
      </c>
      <c r="O1538" t="str">
        <f>D1538&amp;"-"&amp;E1538&amp;"-"&amp;F1538&amp;"-"&amp;G1538&amp;"-"&amp;H1538</f>
        <v>X-1-e-2-16.5</v>
      </c>
      <c r="P1538" t="str">
        <f>I1538&amp;"-"&amp;J1538&amp;"-"&amp;K1538&amp;"-"&amp;L1538&amp;"-"&amp;M1538</f>
        <v>X-1-e-1-17.5</v>
      </c>
      <c r="Q1538">
        <f>A1538+R1538</f>
        <v>3246.9743799999997</v>
      </c>
      <c r="R1538">
        <f>_xlfn.IFNA(VLOOKUP(P1538,PGOPHER!A$2:G$181,7,FALSE),_xlfn.IFNA(VLOOKUP(P1538,en!A$2:I$768,7,FALSE),-10000))</f>
        <v>2248.4989799999998</v>
      </c>
      <c r="S1538">
        <f>IF(O1538=O1537,Q1537+S1537,Q1538)</f>
        <v>3246.9743799999997</v>
      </c>
      <c r="T1538">
        <f>IF(O1538=O1537,T1537+1,1)</f>
        <v>1</v>
      </c>
      <c r="U1538" t="str">
        <f>IF(O1538=O1539,"",S1538/T1538)</f>
        <v/>
      </c>
      <c r="V1538" t="str">
        <f>IF(U1538="","",IF(ABS(Q1538-U1538)&gt;V$1,"error",""))</f>
        <v/>
      </c>
    </row>
    <row r="1539" spans="1:22" x14ac:dyDescent="0.55000000000000004">
      <c r="A1539">
        <v>1228.2734</v>
      </c>
      <c r="B1539" s="1">
        <v>1.1299999999999999E-2</v>
      </c>
      <c r="C1539" s="1">
        <v>1.1299999999999999E-2</v>
      </c>
      <c r="D1539" s="2" t="s">
        <v>0</v>
      </c>
      <c r="E1539">
        <v>1</v>
      </c>
      <c r="F1539" s="2" t="s">
        <v>2</v>
      </c>
      <c r="G1539">
        <v>2</v>
      </c>
      <c r="H1539">
        <v>16.5</v>
      </c>
      <c r="I1539" s="2" t="s">
        <v>0</v>
      </c>
      <c r="J1539">
        <v>1</v>
      </c>
      <c r="K1539" s="2" t="s">
        <v>2</v>
      </c>
      <c r="L1539">
        <v>1</v>
      </c>
      <c r="M1539">
        <v>15.5</v>
      </c>
      <c r="N1539" s="2" t="s">
        <v>467</v>
      </c>
      <c r="O1539" t="str">
        <f>D1539&amp;"-"&amp;E1539&amp;"-"&amp;F1539&amp;"-"&amp;G1539&amp;"-"&amp;H1539</f>
        <v>X-1-e-2-16.5</v>
      </c>
      <c r="P1539" t="str">
        <f>I1539&amp;"-"&amp;J1539&amp;"-"&amp;K1539&amp;"-"&amp;L1539&amp;"-"&amp;M1539</f>
        <v>X-1-e-1-15.5</v>
      </c>
      <c r="Q1539">
        <f>A1539+R1539</f>
        <v>3246.9743319999998</v>
      </c>
      <c r="R1539">
        <f>_xlfn.IFNA(VLOOKUP(P1539,PGOPHER!A$2:G$181,7,FALSE),_xlfn.IFNA(VLOOKUP(P1539,en!A$2:I$768,7,FALSE),-10000))</f>
        <v>2018.700932</v>
      </c>
      <c r="S1539">
        <f>IF(O1539=O1538,Q1538+S1538,Q1539)</f>
        <v>6493.9487599999993</v>
      </c>
      <c r="T1539">
        <f>IF(O1539=O1538,T1538+1,1)</f>
        <v>2</v>
      </c>
      <c r="U1539">
        <f>IF(O1539=O1540,"",S1539/T1539)</f>
        <v>3246.9743799999997</v>
      </c>
      <c r="V1539" t="str">
        <f>IF(U1539="","",IF(ABS(Q1539-U1539)&gt;V$1,"error",""))</f>
        <v/>
      </c>
    </row>
    <row r="1540" spans="1:22" x14ac:dyDescent="0.55000000000000004">
      <c r="A1540">
        <v>1191.3143</v>
      </c>
      <c r="B1540" s="1">
        <v>8.4899999999999993E-3</v>
      </c>
      <c r="C1540" s="1">
        <v>8.4899999999999993E-3</v>
      </c>
      <c r="D1540" s="2" t="s">
        <v>0</v>
      </c>
      <c r="E1540">
        <v>1</v>
      </c>
      <c r="F1540" s="2" t="s">
        <v>2</v>
      </c>
      <c r="G1540">
        <v>3</v>
      </c>
      <c r="H1540">
        <v>16.5</v>
      </c>
      <c r="I1540" s="2" t="s">
        <v>0</v>
      </c>
      <c r="J1540">
        <v>1</v>
      </c>
      <c r="K1540" s="2" t="s">
        <v>2</v>
      </c>
      <c r="L1540">
        <v>2</v>
      </c>
      <c r="M1540">
        <v>15.5</v>
      </c>
      <c r="N1540" s="2" t="s">
        <v>593</v>
      </c>
      <c r="O1540" t="str">
        <f>D1540&amp;"-"&amp;E1540&amp;"-"&amp;F1540&amp;"-"&amp;G1540&amp;"-"&amp;H1540</f>
        <v>X-1-e-3-16.5</v>
      </c>
      <c r="P1540" t="str">
        <f>I1540&amp;"-"&amp;J1540&amp;"-"&amp;K1540&amp;"-"&amp;L1540&amp;"-"&amp;M1540</f>
        <v>X-1-e-2-15.5</v>
      </c>
      <c r="Q1540">
        <f>A1540+R1540</f>
        <v>4329.3028340000001</v>
      </c>
      <c r="R1540">
        <f>_xlfn.IFNA(VLOOKUP(P1540,PGOPHER!A$2:G$181,7,FALSE),_xlfn.IFNA(VLOOKUP(P1540,en!A$2:I$768,7,FALSE),-10000))</f>
        <v>3137.9885340000001</v>
      </c>
      <c r="S1540">
        <f>IF(O1540=O1539,Q1539+S1539,Q1540)</f>
        <v>4329.3028340000001</v>
      </c>
      <c r="T1540">
        <f>IF(O1540=O1539,T1539+1,1)</f>
        <v>1</v>
      </c>
      <c r="U1540" t="str">
        <f>IF(O1540=O1541,"",S1540/T1540)</f>
        <v/>
      </c>
      <c r="V1540" t="str">
        <f>IF(U1540="","",IF(ABS(Q1540-U1540)&gt;V$1,"error",""))</f>
        <v/>
      </c>
    </row>
    <row r="1541" spans="1:22" x14ac:dyDescent="0.55000000000000004">
      <c r="A1541">
        <v>966.83330000000001</v>
      </c>
      <c r="B1541" s="1">
        <v>3.5000000000000003E-2</v>
      </c>
      <c r="C1541" s="1">
        <v>3.5000000000000003E-2</v>
      </c>
      <c r="D1541" s="2" t="s">
        <v>0</v>
      </c>
      <c r="E1541">
        <v>1</v>
      </c>
      <c r="F1541" s="2" t="s">
        <v>2</v>
      </c>
      <c r="G1541">
        <v>3</v>
      </c>
      <c r="H1541">
        <v>16.5</v>
      </c>
      <c r="I1541" s="2" t="s">
        <v>0</v>
      </c>
      <c r="J1541">
        <v>1</v>
      </c>
      <c r="K1541" s="2" t="s">
        <v>2</v>
      </c>
      <c r="L1541">
        <v>2</v>
      </c>
      <c r="M1541">
        <v>17.5</v>
      </c>
      <c r="N1541" s="2" t="s">
        <v>594</v>
      </c>
      <c r="O1541" t="str">
        <f>D1541&amp;"-"&amp;E1541&amp;"-"&amp;F1541&amp;"-"&amp;G1541&amp;"-"&amp;H1541</f>
        <v>X-1-e-3-16.5</v>
      </c>
      <c r="P1541" t="str">
        <f>I1541&amp;"-"&amp;J1541&amp;"-"&amp;K1541&amp;"-"&amp;L1541&amp;"-"&amp;M1541</f>
        <v>X-1-e-2-17.5</v>
      </c>
      <c r="Q1541">
        <f>A1541+R1541</f>
        <v>4329.3042400000004</v>
      </c>
      <c r="R1541">
        <f>_xlfn.IFNA(VLOOKUP(P1541,PGOPHER!A$2:G$181,7,FALSE),_xlfn.IFNA(VLOOKUP(P1541,en!A$2:I$768,7,FALSE),-10000))</f>
        <v>3362.4709400000002</v>
      </c>
      <c r="S1541">
        <f>IF(O1541=O1540,Q1540+S1540,Q1541)</f>
        <v>8658.6056680000002</v>
      </c>
      <c r="T1541">
        <f>IF(O1541=O1540,T1540+1,1)</f>
        <v>2</v>
      </c>
      <c r="U1541" t="str">
        <f>IF(O1541=O1542,"",S1541/T1541)</f>
        <v/>
      </c>
      <c r="V1541" t="str">
        <f>IF(U1541="","",IF(ABS(Q1541-U1541)&gt;V$1,"error",""))</f>
        <v/>
      </c>
    </row>
    <row r="1542" spans="1:22" x14ac:dyDescent="0.55000000000000004">
      <c r="A1542">
        <v>1191.3140000000001</v>
      </c>
      <c r="B1542" s="1">
        <v>8.1600000000000006E-3</v>
      </c>
      <c r="C1542" s="1">
        <v>8.1600000000000006E-3</v>
      </c>
      <c r="D1542" s="2" t="s">
        <v>0</v>
      </c>
      <c r="E1542">
        <v>1</v>
      </c>
      <c r="F1542" s="2" t="s">
        <v>2</v>
      </c>
      <c r="G1542">
        <v>3</v>
      </c>
      <c r="H1542">
        <v>16.5</v>
      </c>
      <c r="I1542" s="2" t="s">
        <v>0</v>
      </c>
      <c r="J1542">
        <v>1</v>
      </c>
      <c r="K1542" s="2" t="s">
        <v>2</v>
      </c>
      <c r="L1542">
        <v>2</v>
      </c>
      <c r="M1542">
        <v>15.5</v>
      </c>
      <c r="N1542" s="2" t="s">
        <v>595</v>
      </c>
      <c r="O1542" t="str">
        <f>D1542&amp;"-"&amp;E1542&amp;"-"&amp;F1542&amp;"-"&amp;G1542&amp;"-"&amp;H1542</f>
        <v>X-1-e-3-16.5</v>
      </c>
      <c r="P1542" t="str">
        <f>I1542&amp;"-"&amp;J1542&amp;"-"&amp;K1542&amp;"-"&amp;L1542&amp;"-"&amp;M1542</f>
        <v>X-1-e-2-15.5</v>
      </c>
      <c r="Q1542">
        <f>A1542+R1542</f>
        <v>4329.3025340000004</v>
      </c>
      <c r="R1542">
        <f>_xlfn.IFNA(VLOOKUP(P1542,PGOPHER!A$2:G$181,7,FALSE),_xlfn.IFNA(VLOOKUP(P1542,en!A$2:I$768,7,FALSE),-10000))</f>
        <v>3137.9885340000001</v>
      </c>
      <c r="S1542">
        <f>IF(O1542=O1541,Q1541+S1541,Q1542)</f>
        <v>12987.909908000001</v>
      </c>
      <c r="T1542">
        <f>IF(O1542=O1541,T1541+1,1)</f>
        <v>3</v>
      </c>
      <c r="U1542">
        <f>IF(O1542=O1543,"",S1542/T1542)</f>
        <v>4329.3033026666672</v>
      </c>
      <c r="V1542" t="str">
        <f>IF(U1542="","",IF(ABS(Q1542-U1542)&gt;V$1,"error",""))</f>
        <v/>
      </c>
    </row>
    <row r="1543" spans="1:22" x14ac:dyDescent="0.55000000000000004">
      <c r="A1543">
        <v>1154.0154</v>
      </c>
      <c r="B1543" s="1">
        <v>1E-3</v>
      </c>
      <c r="C1543" s="1">
        <v>1E-3</v>
      </c>
      <c r="D1543" s="2" t="s">
        <v>0</v>
      </c>
      <c r="E1543">
        <v>1</v>
      </c>
      <c r="F1543" s="2" t="s">
        <v>2</v>
      </c>
      <c r="G1543">
        <v>4</v>
      </c>
      <c r="H1543">
        <v>16.5</v>
      </c>
      <c r="I1543" s="2" t="s">
        <v>0</v>
      </c>
      <c r="J1543">
        <v>1</v>
      </c>
      <c r="K1543" s="2" t="s">
        <v>2</v>
      </c>
      <c r="L1543">
        <v>3</v>
      </c>
      <c r="M1543">
        <v>15.5</v>
      </c>
      <c r="N1543" s="2" t="s">
        <v>666</v>
      </c>
      <c r="O1543" t="str">
        <f>D1543&amp;"-"&amp;E1543&amp;"-"&amp;F1543&amp;"-"&amp;G1543&amp;"-"&amp;H1543</f>
        <v>X-1-e-4-16.5</v>
      </c>
      <c r="P1543" t="str">
        <f>I1543&amp;"-"&amp;J1543&amp;"-"&amp;K1543&amp;"-"&amp;L1543&amp;"-"&amp;M1543</f>
        <v>X-1-e-3-15.5</v>
      </c>
      <c r="Q1543">
        <f>A1543+R1543</f>
        <v>5376.9308310000006</v>
      </c>
      <c r="R1543">
        <f>_xlfn.IFNA(VLOOKUP(P1543,PGOPHER!A$2:G$181,7,FALSE),_xlfn.IFNA(VLOOKUP(P1543,en!A$2:I$768,7,FALSE),-10000))</f>
        <v>4222.9154310000004</v>
      </c>
      <c r="S1543">
        <f>IF(O1543=O1542,Q1542+S1542,Q1543)</f>
        <v>5376.9308310000006</v>
      </c>
      <c r="T1543">
        <f>IF(O1543=O1542,T1542+1,1)</f>
        <v>1</v>
      </c>
      <c r="U1543">
        <f>IF(O1543=O1544,"",S1543/T1543)</f>
        <v>5376.9308310000006</v>
      </c>
      <c r="V1543" t="str">
        <f>IF(U1543="","",IF(ABS(Q1543-U1543)&gt;V$1,"error",""))</f>
        <v/>
      </c>
    </row>
    <row r="1544" spans="1:22" x14ac:dyDescent="0.55000000000000004">
      <c r="A1544">
        <v>1020.67277</v>
      </c>
      <c r="B1544" s="1">
        <v>1E-3</v>
      </c>
      <c r="C1544" s="1">
        <v>1E-3</v>
      </c>
      <c r="D1544" s="2" t="s">
        <v>0</v>
      </c>
      <c r="E1544">
        <v>2</v>
      </c>
      <c r="F1544" s="2" t="s">
        <v>1</v>
      </c>
      <c r="G1544">
        <v>1</v>
      </c>
      <c r="H1544">
        <v>16.5</v>
      </c>
      <c r="I1544" s="2" t="s">
        <v>0</v>
      </c>
      <c r="J1544">
        <v>2</v>
      </c>
      <c r="K1544" s="2" t="s">
        <v>1</v>
      </c>
      <c r="L1544">
        <v>0</v>
      </c>
      <c r="M1544">
        <v>17.5</v>
      </c>
      <c r="N1544" s="2" t="s">
        <v>251</v>
      </c>
      <c r="O1544" t="str">
        <f>D1544&amp;"-"&amp;E1544&amp;"-"&amp;F1544&amp;"-"&amp;G1544&amp;"-"&amp;H1544</f>
        <v>X-2-f-1-16.5</v>
      </c>
      <c r="P1544" t="str">
        <f>I1544&amp;"-"&amp;J1544&amp;"-"&amp;K1544&amp;"-"&amp;L1544&amp;"-"&amp;M1544</f>
        <v>X-2-f-0-17.5</v>
      </c>
      <c r="Q1544">
        <f>A1544+R1544</f>
        <v>2246.4626389999999</v>
      </c>
      <c r="R1544">
        <f>_xlfn.IFNA(VLOOKUP(P1544,PGOPHER!A$2:G$181,7,FALSE),_xlfn.IFNA(VLOOKUP(P1544,en!A$2:I$768,7,FALSE),-10000))</f>
        <v>1225.789869</v>
      </c>
      <c r="S1544">
        <f>IF(O1544=O1543,Q1543+S1543,Q1544)</f>
        <v>2246.4626389999999</v>
      </c>
      <c r="T1544">
        <f>IF(O1544=O1543,T1543+1,1)</f>
        <v>1</v>
      </c>
      <c r="U1544" t="str">
        <f>IF(O1544=O1545,"",S1544/T1544)</f>
        <v/>
      </c>
      <c r="V1544" t="str">
        <f>IF(U1544="","",IF(ABS(Q1544-U1544)&gt;V$1,"error",""))</f>
        <v/>
      </c>
    </row>
    <row r="1545" spans="1:22" x14ac:dyDescent="0.55000000000000004">
      <c r="A1545">
        <v>1269.14859</v>
      </c>
      <c r="B1545" s="1">
        <v>1E-3</v>
      </c>
      <c r="C1545" s="1">
        <v>1E-3</v>
      </c>
      <c r="D1545" s="2" t="s">
        <v>0</v>
      </c>
      <c r="E1545">
        <v>2</v>
      </c>
      <c r="F1545" s="2" t="s">
        <v>1</v>
      </c>
      <c r="G1545">
        <v>1</v>
      </c>
      <c r="H1545">
        <v>16.5</v>
      </c>
      <c r="I1545" s="2" t="s">
        <v>0</v>
      </c>
      <c r="J1545">
        <v>2</v>
      </c>
      <c r="K1545" s="2" t="s">
        <v>1</v>
      </c>
      <c r="L1545">
        <v>0</v>
      </c>
      <c r="M1545">
        <v>15.5</v>
      </c>
      <c r="N1545" s="2" t="s">
        <v>255</v>
      </c>
      <c r="O1545" t="str">
        <f>D1545&amp;"-"&amp;E1545&amp;"-"&amp;F1545&amp;"-"&amp;G1545&amp;"-"&amp;H1545</f>
        <v>X-2-f-1-16.5</v>
      </c>
      <c r="P1545" t="str">
        <f>I1545&amp;"-"&amp;J1545&amp;"-"&amp;K1545&amp;"-"&amp;L1545&amp;"-"&amp;M1545</f>
        <v>X-2-f-0-15.5</v>
      </c>
      <c r="Q1545">
        <f>A1545+R1545</f>
        <v>2246.4626969999999</v>
      </c>
      <c r="R1545">
        <f>_xlfn.IFNA(VLOOKUP(P1545,PGOPHER!A$2:G$181,7,FALSE),_xlfn.IFNA(VLOOKUP(P1545,en!A$2:I$768,7,FALSE),-10000))</f>
        <v>977.31410700000004</v>
      </c>
      <c r="S1545">
        <f>IF(O1545=O1544,Q1544+S1544,Q1545)</f>
        <v>4492.9252779999997</v>
      </c>
      <c r="T1545">
        <f>IF(O1545=O1544,T1544+1,1)</f>
        <v>2</v>
      </c>
      <c r="U1545" t="str">
        <f>IF(O1545=O1546,"",S1545/T1545)</f>
        <v/>
      </c>
      <c r="V1545" t="str">
        <f>IF(U1545="","",IF(ABS(Q1545-U1545)&gt;V$1,"error",""))</f>
        <v/>
      </c>
    </row>
    <row r="1546" spans="1:22" x14ac:dyDescent="0.55000000000000004">
      <c r="A1546">
        <v>1269.14876</v>
      </c>
      <c r="B1546" s="1">
        <v>1E-3</v>
      </c>
      <c r="C1546" s="1">
        <v>1E-3</v>
      </c>
      <c r="D1546" s="2" t="s">
        <v>0</v>
      </c>
      <c r="E1546">
        <v>2</v>
      </c>
      <c r="F1546" s="2" t="s">
        <v>1</v>
      </c>
      <c r="G1546">
        <v>1</v>
      </c>
      <c r="H1546">
        <v>16.5</v>
      </c>
      <c r="I1546" s="2" t="s">
        <v>0</v>
      </c>
      <c r="J1546">
        <v>2</v>
      </c>
      <c r="K1546" s="2" t="s">
        <v>1</v>
      </c>
      <c r="L1546">
        <v>0</v>
      </c>
      <c r="M1546">
        <v>15.5</v>
      </c>
      <c r="N1546" s="2" t="s">
        <v>252</v>
      </c>
      <c r="O1546" t="str">
        <f>D1546&amp;"-"&amp;E1546&amp;"-"&amp;F1546&amp;"-"&amp;G1546&amp;"-"&amp;H1546</f>
        <v>X-2-f-1-16.5</v>
      </c>
      <c r="P1546" t="str">
        <f>I1546&amp;"-"&amp;J1546&amp;"-"&amp;K1546&amp;"-"&amp;L1546&amp;"-"&amp;M1546</f>
        <v>X-2-f-0-15.5</v>
      </c>
      <c r="Q1546">
        <f>A1546+R1546</f>
        <v>2246.4628670000002</v>
      </c>
      <c r="R1546">
        <f>_xlfn.IFNA(VLOOKUP(P1546,PGOPHER!A$2:G$181,7,FALSE),_xlfn.IFNA(VLOOKUP(P1546,en!A$2:I$768,7,FALSE),-10000))</f>
        <v>977.31410700000004</v>
      </c>
      <c r="S1546">
        <f>IF(O1546=O1545,Q1545+S1545,Q1546)</f>
        <v>6739.3879749999996</v>
      </c>
      <c r="T1546">
        <f>IF(O1546=O1545,T1545+1,1)</f>
        <v>3</v>
      </c>
      <c r="U1546" t="str">
        <f>IF(O1546=O1547,"",S1546/T1546)</f>
        <v/>
      </c>
      <c r="V1546" t="str">
        <f>IF(U1546="","",IF(ABS(Q1546-U1546)&gt;V$1,"error",""))</f>
        <v/>
      </c>
    </row>
    <row r="1547" spans="1:22" x14ac:dyDescent="0.55000000000000004">
      <c r="A1547">
        <v>1020.674</v>
      </c>
      <c r="B1547" s="1">
        <v>2.47E-2</v>
      </c>
      <c r="C1547" s="1">
        <v>2.47E-2</v>
      </c>
      <c r="D1547" s="2" t="s">
        <v>0</v>
      </c>
      <c r="E1547">
        <v>2</v>
      </c>
      <c r="F1547" s="2" t="s">
        <v>1</v>
      </c>
      <c r="G1547">
        <v>1</v>
      </c>
      <c r="H1547">
        <v>16.5</v>
      </c>
      <c r="I1547" s="2" t="s">
        <v>0</v>
      </c>
      <c r="J1547">
        <v>2</v>
      </c>
      <c r="K1547" s="2" t="s">
        <v>1</v>
      </c>
      <c r="L1547">
        <v>0</v>
      </c>
      <c r="M1547">
        <v>17.5</v>
      </c>
      <c r="N1547" s="2" t="s">
        <v>248</v>
      </c>
      <c r="O1547" t="str">
        <f>D1547&amp;"-"&amp;E1547&amp;"-"&amp;F1547&amp;"-"&amp;G1547&amp;"-"&amp;H1547</f>
        <v>X-2-f-1-16.5</v>
      </c>
      <c r="P1547" t="str">
        <f>I1547&amp;"-"&amp;J1547&amp;"-"&amp;K1547&amp;"-"&amp;L1547&amp;"-"&amp;M1547</f>
        <v>X-2-f-0-17.5</v>
      </c>
      <c r="Q1547">
        <f>A1547+R1547</f>
        <v>2246.4638690000002</v>
      </c>
      <c r="R1547">
        <f>_xlfn.IFNA(VLOOKUP(P1547,PGOPHER!A$2:G$181,7,FALSE),_xlfn.IFNA(VLOOKUP(P1547,en!A$2:I$768,7,FALSE),-10000))</f>
        <v>1225.789869</v>
      </c>
      <c r="S1547">
        <f>IF(O1547=O1546,Q1546+S1546,Q1547)</f>
        <v>8985.8508419999998</v>
      </c>
      <c r="T1547">
        <f>IF(O1547=O1546,T1546+1,1)</f>
        <v>4</v>
      </c>
      <c r="U1547" t="str">
        <f>IF(O1547=O1548,"",S1547/T1547)</f>
        <v/>
      </c>
      <c r="V1547" t="str">
        <f>IF(U1547="","",IF(ABS(Q1547-U1547)&gt;V$1,"error",""))</f>
        <v/>
      </c>
    </row>
    <row r="1548" spans="1:22" x14ac:dyDescent="0.55000000000000004">
      <c r="A1548">
        <v>1020.67399</v>
      </c>
      <c r="B1548" s="1">
        <v>1.493E-3</v>
      </c>
      <c r="C1548" s="1">
        <v>1.493E-3</v>
      </c>
      <c r="D1548" s="2" t="s">
        <v>0</v>
      </c>
      <c r="E1548">
        <v>2</v>
      </c>
      <c r="F1548" s="2" t="s">
        <v>1</v>
      </c>
      <c r="G1548">
        <v>1</v>
      </c>
      <c r="H1548">
        <v>16.5</v>
      </c>
      <c r="I1548" s="2" t="s">
        <v>0</v>
      </c>
      <c r="J1548">
        <v>2</v>
      </c>
      <c r="K1548" s="2" t="s">
        <v>1</v>
      </c>
      <c r="L1548">
        <v>0</v>
      </c>
      <c r="M1548">
        <v>17.5</v>
      </c>
      <c r="N1548" s="2" t="s">
        <v>256</v>
      </c>
      <c r="O1548" t="str">
        <f>D1548&amp;"-"&amp;E1548&amp;"-"&amp;F1548&amp;"-"&amp;G1548&amp;"-"&amp;H1548</f>
        <v>X-2-f-1-16.5</v>
      </c>
      <c r="P1548" t="str">
        <f>I1548&amp;"-"&amp;J1548&amp;"-"&amp;K1548&amp;"-"&amp;L1548&amp;"-"&amp;M1548</f>
        <v>X-2-f-0-17.5</v>
      </c>
      <c r="Q1548">
        <f>A1548+R1548</f>
        <v>2246.463859</v>
      </c>
      <c r="R1548">
        <f>_xlfn.IFNA(VLOOKUP(P1548,PGOPHER!A$2:G$181,7,FALSE),_xlfn.IFNA(VLOOKUP(P1548,en!A$2:I$768,7,FALSE),-10000))</f>
        <v>1225.789869</v>
      </c>
      <c r="S1548">
        <f>IF(O1548=O1547,Q1547+S1547,Q1548)</f>
        <v>11232.314710999999</v>
      </c>
      <c r="T1548">
        <f>IF(O1548=O1547,T1547+1,1)</f>
        <v>5</v>
      </c>
      <c r="U1548" t="str">
        <f>IF(O1548=O1549,"",S1548/T1548)</f>
        <v/>
      </c>
      <c r="V1548" t="str">
        <f>IF(U1548="","",IF(ABS(Q1548-U1548)&gt;V$1,"error",""))</f>
        <v/>
      </c>
    </row>
    <row r="1549" spans="1:22" x14ac:dyDescent="0.55000000000000004">
      <c r="A1549">
        <v>1269.1486</v>
      </c>
      <c r="B1549" s="1">
        <v>1.6E-2</v>
      </c>
      <c r="C1549" s="1">
        <v>1.6E-2</v>
      </c>
      <c r="D1549" s="2" t="s">
        <v>0</v>
      </c>
      <c r="E1549">
        <v>2</v>
      </c>
      <c r="F1549" s="2" t="s">
        <v>1</v>
      </c>
      <c r="G1549">
        <v>1</v>
      </c>
      <c r="H1549">
        <v>16.5</v>
      </c>
      <c r="I1549" s="2" t="s">
        <v>0</v>
      </c>
      <c r="J1549">
        <v>2</v>
      </c>
      <c r="K1549" s="2" t="s">
        <v>1</v>
      </c>
      <c r="L1549">
        <v>0</v>
      </c>
      <c r="M1549">
        <v>15.5</v>
      </c>
      <c r="N1549" s="2" t="s">
        <v>246</v>
      </c>
      <c r="O1549" t="str">
        <f>D1549&amp;"-"&amp;E1549&amp;"-"&amp;F1549&amp;"-"&amp;G1549&amp;"-"&amp;H1549</f>
        <v>X-2-f-1-16.5</v>
      </c>
      <c r="P1549" t="str">
        <f>I1549&amp;"-"&amp;J1549&amp;"-"&amp;K1549&amp;"-"&amp;L1549&amp;"-"&amp;M1549</f>
        <v>X-2-f-0-15.5</v>
      </c>
      <c r="Q1549">
        <f>A1549+R1549</f>
        <v>2246.4627070000001</v>
      </c>
      <c r="R1549">
        <f>_xlfn.IFNA(VLOOKUP(P1549,PGOPHER!A$2:G$181,7,FALSE),_xlfn.IFNA(VLOOKUP(P1549,en!A$2:I$768,7,FALSE),-10000))</f>
        <v>977.31410700000004</v>
      </c>
      <c r="S1549">
        <f>IF(O1549=O1548,Q1548+S1548,Q1549)</f>
        <v>13478.778569999999</v>
      </c>
      <c r="T1549">
        <f>IF(O1549=O1548,T1548+1,1)</f>
        <v>6</v>
      </c>
      <c r="U1549">
        <f>IF(O1549=O1550,"",S1549/T1549)</f>
        <v>2246.4630949999996</v>
      </c>
      <c r="V1549" t="str">
        <f>IF(U1549="","",IF(ABS(Q1549-U1549)&gt;V$1,"error",""))</f>
        <v/>
      </c>
    </row>
    <row r="1550" spans="1:22" x14ac:dyDescent="0.55000000000000004">
      <c r="A1550">
        <v>989.29750000000001</v>
      </c>
      <c r="B1550" s="1">
        <v>7.4899999999999994E-2</v>
      </c>
      <c r="C1550" s="1">
        <v>7.4899999999999994E-2</v>
      </c>
      <c r="D1550" s="2" t="s">
        <v>0</v>
      </c>
      <c r="E1550">
        <v>2</v>
      </c>
      <c r="F1550" s="2" t="s">
        <v>1</v>
      </c>
      <c r="G1550">
        <v>2</v>
      </c>
      <c r="H1550">
        <v>16.5</v>
      </c>
      <c r="I1550" s="2" t="s">
        <v>0</v>
      </c>
      <c r="J1550">
        <v>2</v>
      </c>
      <c r="K1550" s="2" t="s">
        <v>1</v>
      </c>
      <c r="L1550">
        <v>1</v>
      </c>
      <c r="M1550">
        <v>17.5</v>
      </c>
      <c r="N1550" s="2" t="s">
        <v>470</v>
      </c>
      <c r="O1550" t="str">
        <f>D1550&amp;"-"&amp;E1550&amp;"-"&amp;F1550&amp;"-"&amp;G1550&amp;"-"&amp;H1550</f>
        <v>X-2-f-2-16.5</v>
      </c>
      <c r="P1550" t="str">
        <f>I1550&amp;"-"&amp;J1550&amp;"-"&amp;K1550&amp;"-"&amp;L1550&amp;"-"&amp;M1550</f>
        <v>X-2-f-1-17.5</v>
      </c>
      <c r="Q1550">
        <f>A1550+R1550</f>
        <v>3360.508472</v>
      </c>
      <c r="R1550">
        <f>_xlfn.IFNA(VLOOKUP(P1550,PGOPHER!A$2:G$181,7,FALSE),_xlfn.IFNA(VLOOKUP(P1550,en!A$2:I$768,7,FALSE),-10000))</f>
        <v>2371.2109719999999</v>
      </c>
      <c r="S1550">
        <f>IF(O1550=O1549,Q1549+S1549,Q1550)</f>
        <v>3360.508472</v>
      </c>
      <c r="T1550">
        <f>IF(O1550=O1549,T1549+1,1)</f>
        <v>1</v>
      </c>
      <c r="U1550" t="str">
        <f>IF(O1550=O1551,"",S1550/T1550)</f>
        <v/>
      </c>
      <c r="V1550" t="str">
        <f>IF(U1550="","",IF(ABS(Q1550-U1550)&gt;V$1,"error",""))</f>
        <v/>
      </c>
    </row>
    <row r="1551" spans="1:22" x14ac:dyDescent="0.55000000000000004">
      <c r="A1551">
        <v>1232.1669999999999</v>
      </c>
      <c r="B1551" s="1">
        <v>5.8400000000000001E-2</v>
      </c>
      <c r="C1551" s="1">
        <v>5.8400000000000001E-2</v>
      </c>
      <c r="D1551" s="2" t="s">
        <v>0</v>
      </c>
      <c r="E1551">
        <v>2</v>
      </c>
      <c r="F1551" s="2" t="s">
        <v>1</v>
      </c>
      <c r="G1551">
        <v>2</v>
      </c>
      <c r="H1551">
        <v>16.5</v>
      </c>
      <c r="I1551" s="2" t="s">
        <v>0</v>
      </c>
      <c r="J1551">
        <v>2</v>
      </c>
      <c r="K1551" s="2" t="s">
        <v>1</v>
      </c>
      <c r="L1551">
        <v>1</v>
      </c>
      <c r="M1551">
        <v>15.5</v>
      </c>
      <c r="N1551" s="2" t="s">
        <v>468</v>
      </c>
      <c r="O1551" t="str">
        <f>D1551&amp;"-"&amp;E1551&amp;"-"&amp;F1551&amp;"-"&amp;G1551&amp;"-"&amp;H1551</f>
        <v>X-2-f-2-16.5</v>
      </c>
      <c r="P1551" t="str">
        <f>I1551&amp;"-"&amp;J1551&amp;"-"&amp;K1551&amp;"-"&amp;L1551&amp;"-"&amp;M1551</f>
        <v>X-2-f-1-15.5</v>
      </c>
      <c r="Q1551">
        <f>A1551+R1551</f>
        <v>3360.5077689999998</v>
      </c>
      <c r="R1551">
        <f>_xlfn.IFNA(VLOOKUP(P1551,PGOPHER!A$2:G$181,7,FALSE),_xlfn.IFNA(VLOOKUP(P1551,en!A$2:I$768,7,FALSE),-10000))</f>
        <v>2128.3407689999999</v>
      </c>
      <c r="S1551">
        <f>IF(O1551=O1550,Q1550+S1550,Q1551)</f>
        <v>6721.016944</v>
      </c>
      <c r="T1551">
        <f>IF(O1551=O1550,T1550+1,1)</f>
        <v>2</v>
      </c>
      <c r="U1551">
        <f>IF(O1551=O1552,"",S1551/T1551)</f>
        <v>3360.508472</v>
      </c>
      <c r="V1551" t="str">
        <f>IF(U1551="","",IF(ABS(Q1551-U1551)&gt;V$1,"error",""))</f>
        <v/>
      </c>
    </row>
    <row r="1552" spans="1:22" x14ac:dyDescent="0.55000000000000004">
      <c r="A1552">
        <v>957.79110000000003</v>
      </c>
      <c r="B1552" s="1">
        <v>1.06E-2</v>
      </c>
      <c r="C1552" s="1">
        <v>1.06E-2</v>
      </c>
      <c r="D1552" s="2" t="s">
        <v>0</v>
      </c>
      <c r="E1552">
        <v>2</v>
      </c>
      <c r="F1552" s="2" t="s">
        <v>1</v>
      </c>
      <c r="G1552">
        <v>3</v>
      </c>
      <c r="H1552">
        <v>16.5</v>
      </c>
      <c r="I1552" s="2" t="s">
        <v>0</v>
      </c>
      <c r="J1552">
        <v>2</v>
      </c>
      <c r="K1552" s="2" t="s">
        <v>1</v>
      </c>
      <c r="L1552">
        <v>2</v>
      </c>
      <c r="M1552">
        <v>17.5</v>
      </c>
      <c r="N1552" s="2" t="s">
        <v>597</v>
      </c>
      <c r="O1552" t="str">
        <f>D1552&amp;"-"&amp;E1552&amp;"-"&amp;F1552&amp;"-"&amp;G1552&amp;"-"&amp;H1552</f>
        <v>X-2-f-3-16.5</v>
      </c>
      <c r="P1552" t="str">
        <f>I1552&amp;"-"&amp;J1552&amp;"-"&amp;K1552&amp;"-"&amp;L1552&amp;"-"&amp;M1552</f>
        <v>X-2-f-2-17.5</v>
      </c>
      <c r="Q1552">
        <f>A1552+R1552</f>
        <v>4440.144961</v>
      </c>
      <c r="R1552">
        <f>_xlfn.IFNA(VLOOKUP(P1552,PGOPHER!A$2:G$181,7,FALSE),_xlfn.IFNA(VLOOKUP(P1552,en!A$2:I$768,7,FALSE),-10000))</f>
        <v>3482.3538610000001</v>
      </c>
      <c r="S1552">
        <f>IF(O1552=O1551,Q1551+S1551,Q1552)</f>
        <v>4440.144961</v>
      </c>
      <c r="T1552">
        <f>IF(O1552=O1551,T1551+1,1)</f>
        <v>1</v>
      </c>
      <c r="U1552" t="str">
        <f>IF(O1552=O1553,"",S1552/T1552)</f>
        <v/>
      </c>
      <c r="V1552" t="str">
        <f>IF(U1552="","",IF(ABS(Q1552-U1552)&gt;V$1,"error",""))</f>
        <v/>
      </c>
    </row>
    <row r="1553" spans="1:22" x14ac:dyDescent="0.55000000000000004">
      <c r="A1553">
        <v>1195.0291999999999</v>
      </c>
      <c r="B1553" s="1">
        <v>1.06E-2</v>
      </c>
      <c r="C1553" s="1">
        <v>1.06E-2</v>
      </c>
      <c r="D1553" s="2" t="s">
        <v>0</v>
      </c>
      <c r="E1553">
        <v>2</v>
      </c>
      <c r="F1553" s="2" t="s">
        <v>1</v>
      </c>
      <c r="G1553">
        <v>3</v>
      </c>
      <c r="H1553">
        <v>16.5</v>
      </c>
      <c r="I1553" s="2" t="s">
        <v>0</v>
      </c>
      <c r="J1553">
        <v>2</v>
      </c>
      <c r="K1553" s="2" t="s">
        <v>1</v>
      </c>
      <c r="L1553">
        <v>2</v>
      </c>
      <c r="M1553">
        <v>15.5</v>
      </c>
      <c r="N1553" s="2" t="s">
        <v>596</v>
      </c>
      <c r="O1553" t="str">
        <f>D1553&amp;"-"&amp;E1553&amp;"-"&amp;F1553&amp;"-"&amp;G1553&amp;"-"&amp;H1553</f>
        <v>X-2-f-3-16.5</v>
      </c>
      <c r="P1553" t="str">
        <f>I1553&amp;"-"&amp;J1553&amp;"-"&amp;K1553&amp;"-"&amp;L1553&amp;"-"&amp;M1553</f>
        <v>X-2-f-2-15.5</v>
      </c>
      <c r="Q1553">
        <f>A1553+R1553</f>
        <v>4440.1442280000001</v>
      </c>
      <c r="R1553">
        <f>_xlfn.IFNA(VLOOKUP(P1553,PGOPHER!A$2:G$181,7,FALSE),_xlfn.IFNA(VLOOKUP(P1553,en!A$2:I$768,7,FALSE),-10000))</f>
        <v>3245.1150280000002</v>
      </c>
      <c r="S1553">
        <f>IF(O1553=O1552,Q1552+S1552,Q1553)</f>
        <v>8880.2899219999999</v>
      </c>
      <c r="T1553">
        <f>IF(O1553=O1552,T1552+1,1)</f>
        <v>2</v>
      </c>
      <c r="U1553">
        <f>IF(O1553=O1554,"",S1553/T1553)</f>
        <v>4440.144961</v>
      </c>
      <c r="V1553" t="str">
        <f>IF(U1553="","",IF(ABS(Q1553-U1553)&gt;V$1,"error",""))</f>
        <v/>
      </c>
    </row>
    <row r="1554" spans="1:22" x14ac:dyDescent="0.55000000000000004">
      <c r="A1554">
        <v>1157.5371</v>
      </c>
      <c r="B1554" s="1">
        <v>1E-3</v>
      </c>
      <c r="C1554" s="1">
        <v>1E-3</v>
      </c>
      <c r="D1554" s="2" t="s">
        <v>0</v>
      </c>
      <c r="E1554">
        <v>2</v>
      </c>
      <c r="F1554" s="2" t="s">
        <v>1</v>
      </c>
      <c r="G1554">
        <v>4</v>
      </c>
      <c r="H1554">
        <v>16.5</v>
      </c>
      <c r="I1554" s="2" t="s">
        <v>0</v>
      </c>
      <c r="J1554">
        <v>2</v>
      </c>
      <c r="K1554" s="2" t="s">
        <v>1</v>
      </c>
      <c r="L1554">
        <v>3</v>
      </c>
      <c r="M1554">
        <v>15.5</v>
      </c>
      <c r="N1554" s="2" t="s">
        <v>667</v>
      </c>
      <c r="O1554" t="str">
        <f>D1554&amp;"-"&amp;E1554&amp;"-"&amp;F1554&amp;"-"&amp;G1554&amp;"-"&amp;H1554</f>
        <v>X-2-f-4-16.5</v>
      </c>
      <c r="P1554" t="str">
        <f>I1554&amp;"-"&amp;J1554&amp;"-"&amp;K1554&amp;"-"&amp;L1554&amp;"-"&amp;M1554</f>
        <v>X-2-f-3-15.5</v>
      </c>
      <c r="Q1554">
        <f>A1554+R1554</f>
        <v>5485.0505080000003</v>
      </c>
      <c r="R1554">
        <f>_xlfn.IFNA(VLOOKUP(P1554,PGOPHER!A$2:G$181,7,FALSE),_xlfn.IFNA(VLOOKUP(P1554,en!A$2:I$768,7,FALSE),-10000))</f>
        <v>4327.5134079999998</v>
      </c>
      <c r="S1554">
        <f>IF(O1554=O1553,Q1553+S1553,Q1554)</f>
        <v>5485.0505080000003</v>
      </c>
      <c r="T1554">
        <f>IF(O1554=O1553,T1553+1,1)</f>
        <v>1</v>
      </c>
      <c r="U1554">
        <f>IF(O1554=O1555,"",S1554/T1554)</f>
        <v>5485.0505080000003</v>
      </c>
      <c r="V1554" t="str">
        <f>IF(U1554="","",IF(ABS(Q1554-U1554)&gt;V$1,"error",""))</f>
        <v/>
      </c>
    </row>
    <row r="1555" spans="1:22" x14ac:dyDescent="0.55000000000000004">
      <c r="A1555">
        <v>1020.48928</v>
      </c>
      <c r="B1555" s="1">
        <v>1E-3</v>
      </c>
      <c r="C1555" s="1">
        <v>1E-3</v>
      </c>
      <c r="D1555" s="2" t="s">
        <v>0</v>
      </c>
      <c r="E1555">
        <v>1</v>
      </c>
      <c r="F1555" s="2" t="s">
        <v>2</v>
      </c>
      <c r="G1555">
        <v>1</v>
      </c>
      <c r="H1555">
        <v>17.5</v>
      </c>
      <c r="I1555" s="2" t="s">
        <v>0</v>
      </c>
      <c r="J1555">
        <v>1</v>
      </c>
      <c r="K1555" s="2" t="s">
        <v>2</v>
      </c>
      <c r="L1555">
        <v>0</v>
      </c>
      <c r="M1555">
        <v>18.5</v>
      </c>
      <c r="N1555" s="2" t="s">
        <v>261</v>
      </c>
      <c r="O1555" t="str">
        <f>D1555&amp;"-"&amp;E1555&amp;"-"&amp;F1555&amp;"-"&amp;G1555&amp;"-"&amp;H1555</f>
        <v>X-1-e-1-17.5</v>
      </c>
      <c r="P1555" t="str">
        <f>I1555&amp;"-"&amp;J1555&amp;"-"&amp;K1555&amp;"-"&amp;L1555&amp;"-"&amp;M1555</f>
        <v>X-1-e-0-18.5</v>
      </c>
      <c r="Q1555">
        <f>A1555+R1555</f>
        <v>2248.4985809999998</v>
      </c>
      <c r="R1555">
        <f>_xlfn.IFNA(VLOOKUP(P1555,PGOPHER!A$2:G$181,7,FALSE),_xlfn.IFNA(VLOOKUP(P1555,en!A$2:I$768,7,FALSE),-10000))</f>
        <v>1228.0093010000001</v>
      </c>
      <c r="S1555">
        <f>IF(O1555=O1554,Q1554+S1554,Q1555)</f>
        <v>2248.4985809999998</v>
      </c>
      <c r="T1555">
        <f>IF(O1555=O1554,T1554+1,1)</f>
        <v>1</v>
      </c>
      <c r="U1555" t="str">
        <f>IF(O1555=O1556,"",S1555/T1555)</f>
        <v/>
      </c>
      <c r="V1555" t="str">
        <f>IF(U1555="","",IF(ABS(Q1555-U1555)&gt;V$1,"error",""))</f>
        <v/>
      </c>
    </row>
    <row r="1556" spans="1:22" x14ac:dyDescent="0.55000000000000004">
      <c r="A1556">
        <v>1269.19128</v>
      </c>
      <c r="B1556" s="1">
        <v>1E-3</v>
      </c>
      <c r="C1556" s="1">
        <v>1E-3</v>
      </c>
      <c r="D1556" s="2" t="s">
        <v>0</v>
      </c>
      <c r="E1556">
        <v>1</v>
      </c>
      <c r="F1556" s="2" t="s">
        <v>2</v>
      </c>
      <c r="G1556">
        <v>1</v>
      </c>
      <c r="H1556">
        <v>17.5</v>
      </c>
      <c r="I1556" s="2" t="s">
        <v>0</v>
      </c>
      <c r="J1556">
        <v>1</v>
      </c>
      <c r="K1556" s="2" t="s">
        <v>2</v>
      </c>
      <c r="L1556">
        <v>0</v>
      </c>
      <c r="M1556">
        <v>16.5</v>
      </c>
      <c r="N1556" s="2" t="s">
        <v>265</v>
      </c>
      <c r="O1556" t="str">
        <f>D1556&amp;"-"&amp;E1556&amp;"-"&amp;F1556&amp;"-"&amp;G1556&amp;"-"&amp;H1556</f>
        <v>X-1-e-1-17.5</v>
      </c>
      <c r="P1556" t="str">
        <f>I1556&amp;"-"&amp;J1556&amp;"-"&amp;K1556&amp;"-"&amp;L1556&amp;"-"&amp;M1556</f>
        <v>X-1-e-0-16.5</v>
      </c>
      <c r="Q1556">
        <f>A1556+R1556</f>
        <v>2248.499245</v>
      </c>
      <c r="R1556">
        <f>_xlfn.IFNA(VLOOKUP(P1556,PGOPHER!A$2:G$181,7,FALSE),_xlfn.IFNA(VLOOKUP(P1556,en!A$2:I$768,7,FALSE),-10000))</f>
        <v>979.30796499999997</v>
      </c>
      <c r="S1556">
        <f>IF(O1556=O1555,Q1555+S1555,Q1556)</f>
        <v>4496.9971619999997</v>
      </c>
      <c r="T1556">
        <f>IF(O1556=O1555,T1555+1,1)</f>
        <v>2</v>
      </c>
      <c r="U1556" t="str">
        <f>IF(O1556=O1557,"",S1556/T1556)</f>
        <v/>
      </c>
      <c r="V1556" t="str">
        <f>IF(U1556="","",IF(ABS(Q1556-U1556)&gt;V$1,"error",""))</f>
        <v/>
      </c>
    </row>
    <row r="1557" spans="1:22" x14ac:dyDescent="0.55000000000000004">
      <c r="A1557">
        <v>1269.19091</v>
      </c>
      <c r="B1557" s="1">
        <v>1E-3</v>
      </c>
      <c r="C1557" s="1">
        <v>1E-3</v>
      </c>
      <c r="D1557" s="2" t="s">
        <v>0</v>
      </c>
      <c r="E1557">
        <v>1</v>
      </c>
      <c r="F1557" s="2" t="s">
        <v>2</v>
      </c>
      <c r="G1557">
        <v>1</v>
      </c>
      <c r="H1557">
        <v>17.5</v>
      </c>
      <c r="I1557" s="2" t="s">
        <v>0</v>
      </c>
      <c r="J1557">
        <v>1</v>
      </c>
      <c r="K1557" s="2" t="s">
        <v>2</v>
      </c>
      <c r="L1557">
        <v>0</v>
      </c>
      <c r="M1557">
        <v>16.5</v>
      </c>
      <c r="N1557" s="2" t="s">
        <v>262</v>
      </c>
      <c r="O1557" t="str">
        <f>D1557&amp;"-"&amp;E1557&amp;"-"&amp;F1557&amp;"-"&amp;G1557&amp;"-"&amp;H1557</f>
        <v>X-1-e-1-17.5</v>
      </c>
      <c r="P1557" t="str">
        <f>I1557&amp;"-"&amp;J1557&amp;"-"&amp;K1557&amp;"-"&amp;L1557&amp;"-"&amp;M1557</f>
        <v>X-1-e-0-16.5</v>
      </c>
      <c r="Q1557">
        <f>A1557+R1557</f>
        <v>2248.4988750000002</v>
      </c>
      <c r="R1557">
        <f>_xlfn.IFNA(VLOOKUP(P1557,PGOPHER!A$2:G$181,7,FALSE),_xlfn.IFNA(VLOOKUP(P1557,en!A$2:I$768,7,FALSE),-10000))</f>
        <v>979.30796499999997</v>
      </c>
      <c r="S1557">
        <f>IF(O1557=O1556,Q1556+S1556,Q1557)</f>
        <v>6745.4964069999996</v>
      </c>
      <c r="T1557">
        <f>IF(O1557=O1556,T1556+1,1)</f>
        <v>3</v>
      </c>
      <c r="U1557" t="str">
        <f>IF(O1557=O1558,"",S1557/T1557)</f>
        <v/>
      </c>
      <c r="V1557" t="str">
        <f>IF(U1557="","",IF(ABS(Q1557-U1557)&gt;V$1,"error",""))</f>
        <v/>
      </c>
    </row>
    <row r="1558" spans="1:22" x14ac:dyDescent="0.55000000000000004">
      <c r="A1558">
        <v>1020.49</v>
      </c>
      <c r="B1558" s="1">
        <v>3.5700000000000003E-2</v>
      </c>
      <c r="C1558" s="1">
        <v>3.5700000000000003E-2</v>
      </c>
      <c r="D1558" s="2" t="s">
        <v>0</v>
      </c>
      <c r="E1558">
        <v>1</v>
      </c>
      <c r="F1558" s="2" t="s">
        <v>2</v>
      </c>
      <c r="G1558">
        <v>1</v>
      </c>
      <c r="H1558">
        <v>17.5</v>
      </c>
      <c r="I1558" s="2" t="s">
        <v>0</v>
      </c>
      <c r="J1558">
        <v>1</v>
      </c>
      <c r="K1558" s="2" t="s">
        <v>2</v>
      </c>
      <c r="L1558">
        <v>0</v>
      </c>
      <c r="M1558">
        <v>18.5</v>
      </c>
      <c r="N1558" s="2" t="s">
        <v>259</v>
      </c>
      <c r="O1558" t="str">
        <f>D1558&amp;"-"&amp;E1558&amp;"-"&amp;F1558&amp;"-"&amp;G1558&amp;"-"&amp;H1558</f>
        <v>X-1-e-1-17.5</v>
      </c>
      <c r="P1558" t="str">
        <f>I1558&amp;"-"&amp;J1558&amp;"-"&amp;K1558&amp;"-"&amp;L1558&amp;"-"&amp;M1558</f>
        <v>X-1-e-0-18.5</v>
      </c>
      <c r="Q1558">
        <f>A1558+R1558</f>
        <v>2248.4993009999998</v>
      </c>
      <c r="R1558">
        <f>_xlfn.IFNA(VLOOKUP(P1558,PGOPHER!A$2:G$181,7,FALSE),_xlfn.IFNA(VLOOKUP(P1558,en!A$2:I$768,7,FALSE),-10000))</f>
        <v>1228.0093010000001</v>
      </c>
      <c r="S1558">
        <f>IF(O1558=O1557,Q1557+S1557,Q1558)</f>
        <v>8993.9952819999999</v>
      </c>
      <c r="T1558">
        <f>IF(O1558=O1557,T1557+1,1)</f>
        <v>4</v>
      </c>
      <c r="U1558" t="str">
        <f>IF(O1558=O1559,"",S1558/T1558)</f>
        <v/>
      </c>
      <c r="V1558" t="str">
        <f>IF(U1558="","",IF(ABS(Q1558-U1558)&gt;V$1,"error",""))</f>
        <v/>
      </c>
    </row>
    <row r="1559" spans="1:22" x14ac:dyDescent="0.55000000000000004">
      <c r="A1559">
        <v>1020.49002</v>
      </c>
      <c r="B1559" s="1">
        <v>1E-3</v>
      </c>
      <c r="C1559" s="1">
        <v>1E-3</v>
      </c>
      <c r="D1559" s="2" t="s">
        <v>0</v>
      </c>
      <c r="E1559">
        <v>1</v>
      </c>
      <c r="F1559" s="2" t="s">
        <v>2</v>
      </c>
      <c r="G1559">
        <v>1</v>
      </c>
      <c r="H1559">
        <v>17.5</v>
      </c>
      <c r="I1559" s="2" t="s">
        <v>0</v>
      </c>
      <c r="J1559">
        <v>1</v>
      </c>
      <c r="K1559" s="2" t="s">
        <v>2</v>
      </c>
      <c r="L1559">
        <v>0</v>
      </c>
      <c r="M1559">
        <v>18.5</v>
      </c>
      <c r="N1559" s="2" t="s">
        <v>266</v>
      </c>
      <c r="O1559" t="str">
        <f>D1559&amp;"-"&amp;E1559&amp;"-"&amp;F1559&amp;"-"&amp;G1559&amp;"-"&amp;H1559</f>
        <v>X-1-e-1-17.5</v>
      </c>
      <c r="P1559" t="str">
        <f>I1559&amp;"-"&amp;J1559&amp;"-"&amp;K1559&amp;"-"&amp;L1559&amp;"-"&amp;M1559</f>
        <v>X-1-e-0-18.5</v>
      </c>
      <c r="Q1559">
        <f>A1559+R1559</f>
        <v>2248.4993210000002</v>
      </c>
      <c r="R1559">
        <f>_xlfn.IFNA(VLOOKUP(P1559,PGOPHER!A$2:G$181,7,FALSE),_xlfn.IFNA(VLOOKUP(P1559,en!A$2:I$768,7,FALSE),-10000))</f>
        <v>1228.0093010000001</v>
      </c>
      <c r="S1559">
        <f>IF(O1559=O1558,Q1558+S1558,Q1559)</f>
        <v>11242.494583</v>
      </c>
      <c r="T1559">
        <f>IF(O1559=O1558,T1558+1,1)</f>
        <v>5</v>
      </c>
      <c r="U1559" t="str">
        <f>IF(O1559=O1560,"",S1559/T1559)</f>
        <v/>
      </c>
      <c r="V1559" t="str">
        <f>IF(U1559="","",IF(ABS(Q1559-U1559)&gt;V$1,"error",""))</f>
        <v/>
      </c>
    </row>
    <row r="1560" spans="1:22" x14ac:dyDescent="0.55000000000000004">
      <c r="A1560">
        <v>1269.1913</v>
      </c>
      <c r="B1560" s="1">
        <v>1.7399999999999999E-2</v>
      </c>
      <c r="C1560" s="1">
        <v>1.7399999999999999E-2</v>
      </c>
      <c r="D1560" s="2" t="s">
        <v>0</v>
      </c>
      <c r="E1560">
        <v>1</v>
      </c>
      <c r="F1560" s="2" t="s">
        <v>2</v>
      </c>
      <c r="G1560">
        <v>1</v>
      </c>
      <c r="H1560">
        <v>17.5</v>
      </c>
      <c r="I1560" s="2" t="s">
        <v>0</v>
      </c>
      <c r="J1560">
        <v>1</v>
      </c>
      <c r="K1560" s="2" t="s">
        <v>2</v>
      </c>
      <c r="L1560">
        <v>0</v>
      </c>
      <c r="M1560">
        <v>16.5</v>
      </c>
      <c r="N1560" s="2" t="s">
        <v>257</v>
      </c>
      <c r="O1560" t="str">
        <f>D1560&amp;"-"&amp;E1560&amp;"-"&amp;F1560&amp;"-"&amp;G1560&amp;"-"&amp;H1560</f>
        <v>X-1-e-1-17.5</v>
      </c>
      <c r="P1560" t="str">
        <f>I1560&amp;"-"&amp;J1560&amp;"-"&amp;K1560&amp;"-"&amp;L1560&amp;"-"&amp;M1560</f>
        <v>X-1-e-0-16.5</v>
      </c>
      <c r="Q1560">
        <f>A1560+R1560</f>
        <v>2248.4992649999999</v>
      </c>
      <c r="R1560">
        <f>_xlfn.IFNA(VLOOKUP(P1560,PGOPHER!A$2:G$181,7,FALSE),_xlfn.IFNA(VLOOKUP(P1560,en!A$2:I$768,7,FALSE),-10000))</f>
        <v>979.30796499999997</v>
      </c>
      <c r="S1560">
        <f>IF(O1560=O1559,Q1559+S1559,Q1560)</f>
        <v>13490.993903999999</v>
      </c>
      <c r="T1560">
        <f>IF(O1560=O1559,T1559+1,1)</f>
        <v>6</v>
      </c>
      <c r="U1560">
        <f>IF(O1560=O1561,"",S1560/T1560)</f>
        <v>2248.4989839999998</v>
      </c>
      <c r="V1560" t="str">
        <f>IF(U1560="","",IF(ABS(Q1560-U1560)&gt;V$1,"error",""))</f>
        <v/>
      </c>
    </row>
    <row r="1561" spans="1:22" x14ac:dyDescent="0.55000000000000004">
      <c r="A1561">
        <v>989.11789999999996</v>
      </c>
      <c r="B1561" s="1">
        <v>3.09E-2</v>
      </c>
      <c r="C1561" s="1">
        <v>3.09E-2</v>
      </c>
      <c r="D1561" s="2" t="s">
        <v>0</v>
      </c>
      <c r="E1561">
        <v>1</v>
      </c>
      <c r="F1561" s="2" t="s">
        <v>2</v>
      </c>
      <c r="G1561">
        <v>2</v>
      </c>
      <c r="H1561">
        <v>17.5</v>
      </c>
      <c r="I1561" s="2" t="s">
        <v>0</v>
      </c>
      <c r="J1561">
        <v>1</v>
      </c>
      <c r="K1561" s="2" t="s">
        <v>2</v>
      </c>
      <c r="L1561">
        <v>1</v>
      </c>
      <c r="M1561">
        <v>18.5</v>
      </c>
      <c r="N1561" s="2" t="s">
        <v>473</v>
      </c>
      <c r="O1561" t="str">
        <f>D1561&amp;"-"&amp;E1561&amp;"-"&amp;F1561&amp;"-"&amp;G1561&amp;"-"&amp;H1561</f>
        <v>X-1-e-2-17.5</v>
      </c>
      <c r="P1561" t="str">
        <f>I1561&amp;"-"&amp;J1561&amp;"-"&amp;K1561&amp;"-"&amp;L1561&amp;"-"&amp;M1561</f>
        <v>X-1-e-1-18.5</v>
      </c>
      <c r="Q1561">
        <f>A1561+R1561</f>
        <v>3362.4736899999998</v>
      </c>
      <c r="R1561">
        <f>_xlfn.IFNA(VLOOKUP(P1561,PGOPHER!A$2:G$181,7,FALSE),_xlfn.IFNA(VLOOKUP(P1561,en!A$2:I$768,7,FALSE),-10000))</f>
        <v>2373.3557900000001</v>
      </c>
      <c r="S1561">
        <f>IF(O1561=O1560,Q1560+S1560,Q1561)</f>
        <v>3362.4736899999998</v>
      </c>
      <c r="T1561">
        <f>IF(O1561=O1560,T1560+1,1)</f>
        <v>1</v>
      </c>
      <c r="U1561" t="str">
        <f>IF(O1561=O1562,"",S1561/T1561)</f>
        <v/>
      </c>
      <c r="V1561" t="str">
        <f>IF(U1561="","",IF(ABS(Q1561-U1561)&gt;V$1,"error",""))</f>
        <v/>
      </c>
    </row>
    <row r="1562" spans="1:22" x14ac:dyDescent="0.55000000000000004">
      <c r="A1562">
        <v>1232.2061000000001</v>
      </c>
      <c r="B1562" s="1">
        <v>1E-3</v>
      </c>
      <c r="C1562" s="1">
        <v>1E-3</v>
      </c>
      <c r="D1562" s="2" t="s">
        <v>0</v>
      </c>
      <c r="E1562">
        <v>1</v>
      </c>
      <c r="F1562" s="2" t="s">
        <v>2</v>
      </c>
      <c r="G1562">
        <v>2</v>
      </c>
      <c r="H1562">
        <v>17.5</v>
      </c>
      <c r="I1562" s="2" t="s">
        <v>0</v>
      </c>
      <c r="J1562">
        <v>1</v>
      </c>
      <c r="K1562" s="2" t="s">
        <v>2</v>
      </c>
      <c r="L1562">
        <v>1</v>
      </c>
      <c r="M1562">
        <v>16.5</v>
      </c>
      <c r="N1562" s="2" t="s">
        <v>471</v>
      </c>
      <c r="O1562" t="str">
        <f>D1562&amp;"-"&amp;E1562&amp;"-"&amp;F1562&amp;"-"&amp;G1562&amp;"-"&amp;H1562</f>
        <v>X-1-e-2-17.5</v>
      </c>
      <c r="P1562" t="str">
        <f>I1562&amp;"-"&amp;J1562&amp;"-"&amp;K1562&amp;"-"&amp;L1562&amp;"-"&amp;M1562</f>
        <v>X-1-e-1-16.5</v>
      </c>
      <c r="Q1562">
        <f>A1562+R1562</f>
        <v>3362.4709330000005</v>
      </c>
      <c r="R1562">
        <f>_xlfn.IFNA(VLOOKUP(P1562,PGOPHER!A$2:G$181,7,FALSE),_xlfn.IFNA(VLOOKUP(P1562,en!A$2:I$768,7,FALSE),-10000))</f>
        <v>2130.2648330000002</v>
      </c>
      <c r="S1562">
        <f>IF(O1562=O1561,Q1561+S1561,Q1562)</f>
        <v>6724.9473799999996</v>
      </c>
      <c r="T1562">
        <f>IF(O1562=O1561,T1561+1,1)</f>
        <v>2</v>
      </c>
      <c r="U1562">
        <f>IF(O1562=O1563,"",S1562/T1562)</f>
        <v>3362.4736899999998</v>
      </c>
      <c r="V1562" t="str">
        <f>IF(U1562="","",IF(ABS(Q1562-U1562)&gt;V$1,"error",""))</f>
        <v/>
      </c>
    </row>
    <row r="1563" spans="1:22" x14ac:dyDescent="0.55000000000000004">
      <c r="A1563">
        <v>957.6155</v>
      </c>
      <c r="B1563" s="1">
        <v>8.6400000000000001E-3</v>
      </c>
      <c r="C1563" s="1">
        <v>8.6400000000000001E-3</v>
      </c>
      <c r="D1563" s="2" t="s">
        <v>0</v>
      </c>
      <c r="E1563">
        <v>1</v>
      </c>
      <c r="F1563" s="2" t="s">
        <v>2</v>
      </c>
      <c r="G1563">
        <v>3</v>
      </c>
      <c r="H1563">
        <v>17.5</v>
      </c>
      <c r="I1563" s="2" t="s">
        <v>0</v>
      </c>
      <c r="J1563">
        <v>1</v>
      </c>
      <c r="K1563" s="2" t="s">
        <v>2</v>
      </c>
      <c r="L1563">
        <v>2</v>
      </c>
      <c r="M1563">
        <v>18.5</v>
      </c>
      <c r="N1563" s="2" t="s">
        <v>599</v>
      </c>
      <c r="O1563" t="str">
        <f>D1563&amp;"-"&amp;E1563&amp;"-"&amp;F1563&amp;"-"&amp;G1563&amp;"-"&amp;H1563</f>
        <v>X-1-e-3-17.5</v>
      </c>
      <c r="P1563" t="str">
        <f>I1563&amp;"-"&amp;J1563&amp;"-"&amp;K1563&amp;"-"&amp;L1563&amp;"-"&amp;M1563</f>
        <v>X-1-e-2-18.5</v>
      </c>
      <c r="Q1563">
        <f>A1563+R1563</f>
        <v>4442.0394590000005</v>
      </c>
      <c r="R1563">
        <f>_xlfn.IFNA(VLOOKUP(P1563,PGOPHER!A$2:G$181,7,FALSE),_xlfn.IFNA(VLOOKUP(P1563,en!A$2:I$768,7,FALSE),-10000))</f>
        <v>3484.4239590000002</v>
      </c>
      <c r="S1563">
        <f>IF(O1563=O1562,Q1562+S1562,Q1563)</f>
        <v>4442.0394590000005</v>
      </c>
      <c r="T1563">
        <f>IF(O1563=O1562,T1562+1,1)</f>
        <v>1</v>
      </c>
      <c r="U1563" t="str">
        <f>IF(O1563=O1564,"",S1563/T1563)</f>
        <v/>
      </c>
      <c r="V1563" t="str">
        <f>IF(U1563="","",IF(ABS(Q1563-U1563)&gt;V$1,"error",""))</f>
        <v/>
      </c>
    </row>
    <row r="1564" spans="1:22" x14ac:dyDescent="0.55000000000000004">
      <c r="A1564">
        <v>1195.0645999999999</v>
      </c>
      <c r="B1564" s="1">
        <v>8.6400000000000001E-3</v>
      </c>
      <c r="C1564" s="1">
        <v>8.6400000000000001E-3</v>
      </c>
      <c r="D1564" s="2" t="s">
        <v>0</v>
      </c>
      <c r="E1564">
        <v>1</v>
      </c>
      <c r="F1564" s="2" t="s">
        <v>2</v>
      </c>
      <c r="G1564">
        <v>3</v>
      </c>
      <c r="H1564">
        <v>17.5</v>
      </c>
      <c r="I1564" s="2" t="s">
        <v>0</v>
      </c>
      <c r="J1564">
        <v>1</v>
      </c>
      <c r="K1564" s="2" t="s">
        <v>2</v>
      </c>
      <c r="L1564">
        <v>2</v>
      </c>
      <c r="M1564">
        <v>16.5</v>
      </c>
      <c r="N1564" s="2" t="s">
        <v>598</v>
      </c>
      <c r="O1564" t="str">
        <f>D1564&amp;"-"&amp;E1564&amp;"-"&amp;F1564&amp;"-"&amp;G1564&amp;"-"&amp;H1564</f>
        <v>X-1-e-3-17.5</v>
      </c>
      <c r="P1564" t="str">
        <f>I1564&amp;"-"&amp;J1564&amp;"-"&amp;K1564&amp;"-"&amp;L1564&amp;"-"&amp;M1564</f>
        <v>X-1-e-2-16.5</v>
      </c>
      <c r="Q1564">
        <f>A1564+R1564</f>
        <v>4442.0387479999999</v>
      </c>
      <c r="R1564">
        <f>_xlfn.IFNA(VLOOKUP(P1564,PGOPHER!A$2:G$181,7,FALSE),_xlfn.IFNA(VLOOKUP(P1564,en!A$2:I$768,7,FALSE),-10000))</f>
        <v>3246.9741479999998</v>
      </c>
      <c r="S1564">
        <f>IF(O1564=O1563,Q1563+S1563,Q1564)</f>
        <v>8884.0789180000011</v>
      </c>
      <c r="T1564">
        <f>IF(O1564=O1563,T1563+1,1)</f>
        <v>2</v>
      </c>
      <c r="U1564">
        <f>IF(O1564=O1565,"",S1564/T1564)</f>
        <v>4442.0394590000005</v>
      </c>
      <c r="V1564" t="str">
        <f>IF(U1564="","",IF(ABS(Q1564-U1564)&gt;V$1,"error",""))</f>
        <v/>
      </c>
    </row>
    <row r="1565" spans="1:22" x14ac:dyDescent="0.55000000000000004">
      <c r="A1565">
        <v>1157.57</v>
      </c>
      <c r="B1565" s="1">
        <v>1E-3</v>
      </c>
      <c r="C1565" s="1">
        <v>1E-3</v>
      </c>
      <c r="D1565" s="2" t="s">
        <v>0</v>
      </c>
      <c r="E1565">
        <v>1</v>
      </c>
      <c r="F1565" s="2" t="s">
        <v>2</v>
      </c>
      <c r="G1565">
        <v>4</v>
      </c>
      <c r="H1565">
        <v>17.5</v>
      </c>
      <c r="I1565" s="2" t="s">
        <v>0</v>
      </c>
      <c r="J1565">
        <v>1</v>
      </c>
      <c r="K1565" s="2" t="s">
        <v>2</v>
      </c>
      <c r="L1565">
        <v>3</v>
      </c>
      <c r="M1565">
        <v>16.5</v>
      </c>
      <c r="N1565" s="2" t="s">
        <v>668</v>
      </c>
      <c r="O1565" t="str">
        <f>D1565&amp;"-"&amp;E1565&amp;"-"&amp;F1565&amp;"-"&amp;G1565&amp;"-"&amp;H1565</f>
        <v>X-1-e-4-17.5</v>
      </c>
      <c r="P1565" t="str">
        <f>I1565&amp;"-"&amp;J1565&amp;"-"&amp;K1565&amp;"-"&amp;L1565&amp;"-"&amp;M1565</f>
        <v>X-1-e-3-16.5</v>
      </c>
      <c r="Q1565">
        <f>A1565+R1565</f>
        <v>5486.8726489999999</v>
      </c>
      <c r="R1565">
        <f>_xlfn.IFNA(VLOOKUP(P1565,PGOPHER!A$2:G$181,7,FALSE),_xlfn.IFNA(VLOOKUP(P1565,en!A$2:I$768,7,FALSE),-10000))</f>
        <v>4329.3026490000002</v>
      </c>
      <c r="S1565">
        <f>IF(O1565=O1564,Q1564+S1564,Q1565)</f>
        <v>5486.8726489999999</v>
      </c>
      <c r="T1565">
        <f>IF(O1565=O1564,T1564+1,1)</f>
        <v>1</v>
      </c>
      <c r="U1565">
        <f>IF(O1565=O1566,"",S1565/T1565)</f>
        <v>5486.8726489999999</v>
      </c>
      <c r="V1565" t="str">
        <f>IF(U1565="","",IF(ABS(Q1565-U1565)&gt;V$1,"error",""))</f>
        <v/>
      </c>
    </row>
    <row r="1566" spans="1:22" x14ac:dyDescent="0.55000000000000004">
      <c r="A1566">
        <v>1011.06376</v>
      </c>
      <c r="B1566" s="1">
        <v>3.8E-3</v>
      </c>
      <c r="C1566" s="1">
        <v>3.8E-3</v>
      </c>
      <c r="D1566" s="2" t="s">
        <v>0</v>
      </c>
      <c r="E1566">
        <v>2</v>
      </c>
      <c r="F1566" s="2" t="s">
        <v>1</v>
      </c>
      <c r="G1566">
        <v>1</v>
      </c>
      <c r="H1566">
        <v>17.5</v>
      </c>
      <c r="I1566" s="2" t="s">
        <v>0</v>
      </c>
      <c r="J1566">
        <v>2</v>
      </c>
      <c r="K1566" s="2" t="s">
        <v>1</v>
      </c>
      <c r="L1566">
        <v>0</v>
      </c>
      <c r="M1566">
        <v>18.5</v>
      </c>
      <c r="N1566" s="2" t="s">
        <v>263</v>
      </c>
      <c r="O1566" t="str">
        <f>D1566&amp;"-"&amp;E1566&amp;"-"&amp;F1566&amp;"-"&amp;G1566&amp;"-"&amp;H1566</f>
        <v>X-2-f-1-17.5</v>
      </c>
      <c r="P1566" t="str">
        <f>I1566&amp;"-"&amp;J1566&amp;"-"&amp;K1566&amp;"-"&amp;L1566&amp;"-"&amp;M1566</f>
        <v>X-2-f-0-18.5</v>
      </c>
      <c r="Q1566">
        <f>A1566+R1566</f>
        <v>2371.208306</v>
      </c>
      <c r="R1566">
        <f>_xlfn.IFNA(VLOOKUP(P1566,PGOPHER!A$2:G$181,7,FALSE),_xlfn.IFNA(VLOOKUP(P1566,en!A$2:I$768,7,FALSE),-10000))</f>
        <v>1360.144546</v>
      </c>
      <c r="S1566">
        <f>IF(O1566=O1565,Q1565+S1565,Q1566)</f>
        <v>2371.208306</v>
      </c>
      <c r="T1566">
        <f>IF(O1566=O1565,T1565+1,1)</f>
        <v>1</v>
      </c>
      <c r="U1566" t="str">
        <f>IF(O1566=O1567,"",S1566/T1566)</f>
        <v/>
      </c>
      <c r="V1566" t="str">
        <f>IF(U1566="","",IF(ABS(Q1566-U1566)&gt;V$1,"error",""))</f>
        <v/>
      </c>
    </row>
    <row r="1567" spans="1:22" x14ac:dyDescent="0.55000000000000004">
      <c r="A1567">
        <v>1273.04611</v>
      </c>
      <c r="B1567" s="1">
        <v>1E-3</v>
      </c>
      <c r="C1567" s="1">
        <v>1E-3</v>
      </c>
      <c r="D1567" s="2" t="s">
        <v>0</v>
      </c>
      <c r="E1567">
        <v>2</v>
      </c>
      <c r="F1567" s="2" t="s">
        <v>1</v>
      </c>
      <c r="G1567">
        <v>1</v>
      </c>
      <c r="H1567">
        <v>17.5</v>
      </c>
      <c r="I1567" s="2" t="s">
        <v>0</v>
      </c>
      <c r="J1567">
        <v>2</v>
      </c>
      <c r="K1567" s="2" t="s">
        <v>1</v>
      </c>
      <c r="L1567">
        <v>0</v>
      </c>
      <c r="M1567">
        <v>16.5</v>
      </c>
      <c r="N1567" s="2" t="s">
        <v>267</v>
      </c>
      <c r="O1567" t="str">
        <f>D1567&amp;"-"&amp;E1567&amp;"-"&amp;F1567&amp;"-"&amp;G1567&amp;"-"&amp;H1567</f>
        <v>X-2-f-1-17.5</v>
      </c>
      <c r="P1567" t="str">
        <f>I1567&amp;"-"&amp;J1567&amp;"-"&amp;K1567&amp;"-"&amp;L1567&amp;"-"&amp;M1567</f>
        <v>X-2-f-0-16.5</v>
      </c>
      <c r="Q1567">
        <f>A1567+R1567</f>
        <v>2371.2110929999999</v>
      </c>
      <c r="R1567">
        <f>_xlfn.IFNA(VLOOKUP(P1567,PGOPHER!A$2:G$181,7,FALSE),_xlfn.IFNA(VLOOKUP(P1567,en!A$2:I$768,7,FALSE),-10000))</f>
        <v>1098.1649829999999</v>
      </c>
      <c r="S1567">
        <f>IF(O1567=O1566,Q1566+S1566,Q1567)</f>
        <v>4742.416612</v>
      </c>
      <c r="T1567">
        <f>IF(O1567=O1566,T1566+1,1)</f>
        <v>2</v>
      </c>
      <c r="U1567" t="str">
        <f>IF(O1567=O1568,"",S1567/T1567)</f>
        <v/>
      </c>
      <c r="V1567" t="str">
        <f>IF(U1567="","",IF(ABS(Q1567-U1567)&gt;V$1,"error",""))</f>
        <v/>
      </c>
    </row>
    <row r="1568" spans="1:22" x14ac:dyDescent="0.55000000000000004">
      <c r="A1568">
        <v>1273.0455899999999</v>
      </c>
      <c r="B1568" s="1">
        <v>1E-3</v>
      </c>
      <c r="C1568" s="1">
        <v>1E-3</v>
      </c>
      <c r="D1568" s="2" t="s">
        <v>0</v>
      </c>
      <c r="E1568">
        <v>2</v>
      </c>
      <c r="F1568" s="2" t="s">
        <v>1</v>
      </c>
      <c r="G1568">
        <v>1</v>
      </c>
      <c r="H1568">
        <v>17.5</v>
      </c>
      <c r="I1568" s="2" t="s">
        <v>0</v>
      </c>
      <c r="J1568">
        <v>2</v>
      </c>
      <c r="K1568" s="2" t="s">
        <v>1</v>
      </c>
      <c r="L1568">
        <v>0</v>
      </c>
      <c r="M1568">
        <v>16.5</v>
      </c>
      <c r="N1568" s="2" t="s">
        <v>264</v>
      </c>
      <c r="O1568" t="str">
        <f>D1568&amp;"-"&amp;E1568&amp;"-"&amp;F1568&amp;"-"&amp;G1568&amp;"-"&amp;H1568</f>
        <v>X-2-f-1-17.5</v>
      </c>
      <c r="P1568" t="str">
        <f>I1568&amp;"-"&amp;J1568&amp;"-"&amp;K1568&amp;"-"&amp;L1568&amp;"-"&amp;M1568</f>
        <v>X-2-f-0-16.5</v>
      </c>
      <c r="Q1568">
        <f>A1568+R1568</f>
        <v>2371.2105729999998</v>
      </c>
      <c r="R1568">
        <f>_xlfn.IFNA(VLOOKUP(P1568,PGOPHER!A$2:G$181,7,FALSE),_xlfn.IFNA(VLOOKUP(P1568,en!A$2:I$768,7,FALSE),-10000))</f>
        <v>1098.1649829999999</v>
      </c>
      <c r="S1568">
        <f>IF(O1568=O1567,Q1567+S1567,Q1568)</f>
        <v>7113.6277049999999</v>
      </c>
      <c r="T1568">
        <f>IF(O1568=O1567,T1567+1,1)</f>
        <v>3</v>
      </c>
      <c r="U1568" t="str">
        <f>IF(O1568=O1569,"",S1568/T1568)</f>
        <v/>
      </c>
      <c r="V1568" t="str">
        <f>IF(U1568="","",IF(ABS(Q1568-U1568)&gt;V$1,"error",""))</f>
        <v/>
      </c>
    </row>
    <row r="1569" spans="1:22" x14ac:dyDescent="0.55000000000000004">
      <c r="A1569">
        <v>1011.0676999999999</v>
      </c>
      <c r="B1569" s="1">
        <v>0.19600000000000001</v>
      </c>
      <c r="C1569" s="1">
        <v>0.19600000000000001</v>
      </c>
      <c r="D1569" s="2" t="s">
        <v>0</v>
      </c>
      <c r="E1569">
        <v>2</v>
      </c>
      <c r="F1569" s="2" t="s">
        <v>1</v>
      </c>
      <c r="G1569">
        <v>1</v>
      </c>
      <c r="H1569">
        <v>17.5</v>
      </c>
      <c r="I1569" s="2" t="s">
        <v>0</v>
      </c>
      <c r="J1569">
        <v>2</v>
      </c>
      <c r="K1569" s="2" t="s">
        <v>1</v>
      </c>
      <c r="L1569">
        <v>0</v>
      </c>
      <c r="M1569">
        <v>18.5</v>
      </c>
      <c r="N1569" s="2" t="s">
        <v>260</v>
      </c>
      <c r="O1569" t="str">
        <f>D1569&amp;"-"&amp;E1569&amp;"-"&amp;F1569&amp;"-"&amp;G1569&amp;"-"&amp;H1569</f>
        <v>X-2-f-1-17.5</v>
      </c>
      <c r="P1569" t="str">
        <f>I1569&amp;"-"&amp;J1569&amp;"-"&amp;K1569&amp;"-"&amp;L1569&amp;"-"&amp;M1569</f>
        <v>X-2-f-0-18.5</v>
      </c>
      <c r="Q1569">
        <f>A1569+R1569</f>
        <v>2371.2122460000001</v>
      </c>
      <c r="R1569">
        <f>_xlfn.IFNA(VLOOKUP(P1569,PGOPHER!A$2:G$181,7,FALSE),_xlfn.IFNA(VLOOKUP(P1569,en!A$2:I$768,7,FALSE),-10000))</f>
        <v>1360.144546</v>
      </c>
      <c r="S1569">
        <f>IF(O1569=O1568,Q1568+S1568,Q1569)</f>
        <v>9484.8382779999993</v>
      </c>
      <c r="T1569">
        <f>IF(O1569=O1568,T1568+1,1)</f>
        <v>4</v>
      </c>
      <c r="U1569" t="str">
        <f>IF(O1569=O1570,"",S1569/T1569)</f>
        <v/>
      </c>
      <c r="V1569" t="str">
        <f>IF(U1569="","",IF(ABS(Q1569-U1569)&gt;V$1,"error",""))</f>
        <v/>
      </c>
    </row>
    <row r="1570" spans="1:22" x14ac:dyDescent="0.55000000000000004">
      <c r="A1570">
        <v>1273.0461</v>
      </c>
      <c r="B1570" s="1">
        <v>0.13</v>
      </c>
      <c r="C1570" s="1">
        <v>0.13</v>
      </c>
      <c r="D1570" s="2" t="s">
        <v>0</v>
      </c>
      <c r="E1570">
        <v>2</v>
      </c>
      <c r="F1570" s="2" t="s">
        <v>1</v>
      </c>
      <c r="G1570">
        <v>1</v>
      </c>
      <c r="H1570">
        <v>17.5</v>
      </c>
      <c r="I1570" s="2" t="s">
        <v>0</v>
      </c>
      <c r="J1570">
        <v>2</v>
      </c>
      <c r="K1570" s="2" t="s">
        <v>1</v>
      </c>
      <c r="L1570">
        <v>0</v>
      </c>
      <c r="M1570">
        <v>16.5</v>
      </c>
      <c r="N1570" s="2" t="s">
        <v>258</v>
      </c>
      <c r="O1570" t="str">
        <f>D1570&amp;"-"&amp;E1570&amp;"-"&amp;F1570&amp;"-"&amp;G1570&amp;"-"&amp;H1570</f>
        <v>X-2-f-1-17.5</v>
      </c>
      <c r="P1570" t="str">
        <f>I1570&amp;"-"&amp;J1570&amp;"-"&amp;K1570&amp;"-"&amp;L1570&amp;"-"&amp;M1570</f>
        <v>X-2-f-0-16.5</v>
      </c>
      <c r="Q1570">
        <f>A1570+R1570</f>
        <v>2371.2110830000001</v>
      </c>
      <c r="R1570">
        <f>_xlfn.IFNA(VLOOKUP(P1570,PGOPHER!A$2:G$181,7,FALSE),_xlfn.IFNA(VLOOKUP(P1570,en!A$2:I$768,7,FALSE),-10000))</f>
        <v>1098.1649829999999</v>
      </c>
      <c r="S1570">
        <f>IF(O1570=O1569,Q1569+S1569,Q1570)</f>
        <v>11856.050523999998</v>
      </c>
      <c r="T1570">
        <f>IF(O1570=O1569,T1569+1,1)</f>
        <v>5</v>
      </c>
      <c r="U1570" t="str">
        <f>IF(O1570=O1571,"",S1570/T1570)</f>
        <v/>
      </c>
      <c r="V1570" t="str">
        <f>IF(U1570="","",IF(ABS(Q1570-U1570)&gt;V$1,"error",""))</f>
        <v/>
      </c>
    </row>
    <row r="1571" spans="1:22" x14ac:dyDescent="0.55000000000000004">
      <c r="A1571">
        <v>1011.06772</v>
      </c>
      <c r="B1571" s="1">
        <v>1.7340000000000001E-3</v>
      </c>
      <c r="C1571" s="1">
        <v>1.7340000000000001E-3</v>
      </c>
      <c r="D1571" s="2" t="s">
        <v>0</v>
      </c>
      <c r="E1571">
        <v>2</v>
      </c>
      <c r="F1571" s="2" t="s">
        <v>1</v>
      </c>
      <c r="G1571">
        <v>1</v>
      </c>
      <c r="H1571">
        <v>17.5</v>
      </c>
      <c r="I1571" s="2" t="s">
        <v>0</v>
      </c>
      <c r="J1571">
        <v>2</v>
      </c>
      <c r="K1571" s="2" t="s">
        <v>1</v>
      </c>
      <c r="L1571">
        <v>0</v>
      </c>
      <c r="M1571">
        <v>18.5</v>
      </c>
      <c r="N1571" s="2" t="s">
        <v>268</v>
      </c>
      <c r="O1571" t="str">
        <f>D1571&amp;"-"&amp;E1571&amp;"-"&amp;F1571&amp;"-"&amp;G1571&amp;"-"&amp;H1571</f>
        <v>X-2-f-1-17.5</v>
      </c>
      <c r="P1571" t="str">
        <f>I1571&amp;"-"&amp;J1571&amp;"-"&amp;K1571&amp;"-"&amp;L1571&amp;"-"&amp;M1571</f>
        <v>X-2-f-0-18.5</v>
      </c>
      <c r="Q1571">
        <f>A1571+R1571</f>
        <v>2371.212266</v>
      </c>
      <c r="R1571">
        <f>_xlfn.IFNA(VLOOKUP(P1571,PGOPHER!A$2:G$181,7,FALSE),_xlfn.IFNA(VLOOKUP(P1571,en!A$2:I$768,7,FALSE),-10000))</f>
        <v>1360.144546</v>
      </c>
      <c r="S1571">
        <f>IF(O1571=O1570,Q1570+S1570,Q1571)</f>
        <v>14227.261606999999</v>
      </c>
      <c r="T1571">
        <f>IF(O1571=O1570,T1570+1,1)</f>
        <v>6</v>
      </c>
      <c r="U1571">
        <f>IF(O1571=O1572,"",S1571/T1571)</f>
        <v>2371.2102678333331</v>
      </c>
      <c r="V1571" t="str">
        <f>IF(U1571="","",IF(ABS(Q1571-U1571)&gt;V$1,"error",""))</f>
        <v/>
      </c>
    </row>
    <row r="1572" spans="1:22" x14ac:dyDescent="0.55000000000000004">
      <c r="A1572">
        <v>979.83749999999998</v>
      </c>
      <c r="B1572" s="1">
        <v>1.6299999999999999E-2</v>
      </c>
      <c r="C1572" s="1">
        <v>1.6299999999999999E-2</v>
      </c>
      <c r="D1572" s="2" t="s">
        <v>0</v>
      </c>
      <c r="E1572">
        <v>2</v>
      </c>
      <c r="F1572" s="2" t="s">
        <v>1</v>
      </c>
      <c r="G1572">
        <v>2</v>
      </c>
      <c r="H1572">
        <v>17.5</v>
      </c>
      <c r="I1572" s="2" t="s">
        <v>0</v>
      </c>
      <c r="J1572">
        <v>2</v>
      </c>
      <c r="K1572" s="2" t="s">
        <v>1</v>
      </c>
      <c r="L1572">
        <v>1</v>
      </c>
      <c r="M1572">
        <v>18.5</v>
      </c>
      <c r="N1572" s="2" t="s">
        <v>474</v>
      </c>
      <c r="O1572" t="str">
        <f>D1572&amp;"-"&amp;E1572&amp;"-"&amp;F1572&amp;"-"&amp;G1572&amp;"-"&amp;H1572</f>
        <v>X-2-f-2-17.5</v>
      </c>
      <c r="P1572" t="str">
        <f>I1572&amp;"-"&amp;J1572&amp;"-"&amp;K1572&amp;"-"&amp;L1572&amp;"-"&amp;M1572</f>
        <v>X-2-f-1-18.5</v>
      </c>
      <c r="Q1572">
        <f>A1572+R1572</f>
        <v>3482.3558090000001</v>
      </c>
      <c r="R1572">
        <f>_xlfn.IFNA(VLOOKUP(P1572,PGOPHER!A$2:G$181,7,FALSE),_xlfn.IFNA(VLOOKUP(P1572,en!A$2:I$768,7,FALSE),-10000))</f>
        <v>2502.518309</v>
      </c>
      <c r="S1572">
        <f>IF(O1572=O1571,Q1571+S1571,Q1572)</f>
        <v>3482.3558090000001</v>
      </c>
      <c r="T1572">
        <f>IF(O1572=O1571,T1571+1,1)</f>
        <v>1</v>
      </c>
      <c r="U1572" t="str">
        <f>IF(O1572=O1573,"",S1572/T1572)</f>
        <v/>
      </c>
      <c r="V1572" t="str">
        <f>IF(U1572="","",IF(ABS(Q1572-U1572)&gt;V$1,"error",""))</f>
        <v/>
      </c>
    </row>
    <row r="1573" spans="1:22" x14ac:dyDescent="0.55000000000000004">
      <c r="A1573">
        <v>1235.8907999999999</v>
      </c>
      <c r="B1573" s="1">
        <v>5.79E-3</v>
      </c>
      <c r="C1573" s="1">
        <v>5.79E-3</v>
      </c>
      <c r="D1573" s="2" t="s">
        <v>0</v>
      </c>
      <c r="E1573">
        <v>2</v>
      </c>
      <c r="F1573" s="2" t="s">
        <v>1</v>
      </c>
      <c r="G1573">
        <v>2</v>
      </c>
      <c r="H1573">
        <v>17.5</v>
      </c>
      <c r="I1573" s="2" t="s">
        <v>0</v>
      </c>
      <c r="J1573">
        <v>2</v>
      </c>
      <c r="K1573" s="2" t="s">
        <v>1</v>
      </c>
      <c r="L1573">
        <v>1</v>
      </c>
      <c r="M1573">
        <v>16.5</v>
      </c>
      <c r="N1573" s="2" t="s">
        <v>472</v>
      </c>
      <c r="O1573" t="str">
        <f>D1573&amp;"-"&amp;E1573&amp;"-"&amp;F1573&amp;"-"&amp;G1573&amp;"-"&amp;H1573</f>
        <v>X-2-f-2-17.5</v>
      </c>
      <c r="P1573" t="str">
        <f>I1573&amp;"-"&amp;J1573&amp;"-"&amp;K1573&amp;"-"&amp;L1573&amp;"-"&amp;M1573</f>
        <v>X-2-f-1-16.5</v>
      </c>
      <c r="Q1573">
        <f>A1573+R1573</f>
        <v>3482.3537249999999</v>
      </c>
      <c r="R1573">
        <f>_xlfn.IFNA(VLOOKUP(P1573,PGOPHER!A$2:G$181,7,FALSE),_xlfn.IFNA(VLOOKUP(P1573,en!A$2:I$768,7,FALSE),-10000))</f>
        <v>2246.4629249999998</v>
      </c>
      <c r="S1573">
        <f>IF(O1573=O1572,Q1572+S1572,Q1573)</f>
        <v>6964.7116180000003</v>
      </c>
      <c r="T1573">
        <f>IF(O1573=O1572,T1572+1,1)</f>
        <v>2</v>
      </c>
      <c r="U1573">
        <f>IF(O1573=O1574,"",S1573/T1573)</f>
        <v>3482.3558090000001</v>
      </c>
      <c r="V1573" t="str">
        <f>IF(U1573="","",IF(ABS(Q1573-U1573)&gt;V$1,"error",""))</f>
        <v/>
      </c>
    </row>
    <row r="1574" spans="1:22" x14ac:dyDescent="0.55000000000000004">
      <c r="A1574">
        <v>948.46929999999998</v>
      </c>
      <c r="B1574" s="1">
        <v>4.2099999999999999E-2</v>
      </c>
      <c r="C1574" s="1">
        <v>4.2099999999999999E-2</v>
      </c>
      <c r="D1574" s="2" t="s">
        <v>0</v>
      </c>
      <c r="E1574">
        <v>2</v>
      </c>
      <c r="F1574" s="2" t="s">
        <v>1</v>
      </c>
      <c r="G1574">
        <v>3</v>
      </c>
      <c r="H1574">
        <v>17.5</v>
      </c>
      <c r="I1574" s="2" t="s">
        <v>0</v>
      </c>
      <c r="J1574">
        <v>2</v>
      </c>
      <c r="K1574" s="2" t="s">
        <v>1</v>
      </c>
      <c r="L1574">
        <v>2</v>
      </c>
      <c r="M1574">
        <v>18.5</v>
      </c>
      <c r="N1574" s="2" t="s">
        <v>601</v>
      </c>
      <c r="O1574" t="str">
        <f>D1574&amp;"-"&amp;E1574&amp;"-"&amp;F1574&amp;"-"&amp;G1574&amp;"-"&amp;H1574</f>
        <v>X-2-f-3-17.5</v>
      </c>
      <c r="P1574" t="str">
        <f>I1574&amp;"-"&amp;J1574&amp;"-"&amp;K1574&amp;"-"&amp;L1574&amp;"-"&amp;M1574</f>
        <v>X-2-f-2-18.5</v>
      </c>
      <c r="Q1574">
        <f>A1574+R1574</f>
        <v>4559.079428</v>
      </c>
      <c r="R1574">
        <f>_xlfn.IFNA(VLOOKUP(P1574,PGOPHER!A$2:G$181,7,FALSE),_xlfn.IFNA(VLOOKUP(P1574,en!A$2:I$768,7,FALSE),-10000))</f>
        <v>3610.6101279999998</v>
      </c>
      <c r="S1574">
        <f>IF(O1574=O1573,Q1573+S1573,Q1574)</f>
        <v>4559.079428</v>
      </c>
      <c r="T1574">
        <f>IF(O1574=O1573,T1573+1,1)</f>
        <v>1</v>
      </c>
      <c r="U1574" t="str">
        <f>IF(O1574=O1575,"",S1574/T1574)</f>
        <v/>
      </c>
      <c r="V1574" t="str">
        <f>IF(U1574="","",IF(ABS(Q1574-U1574)&gt;V$1,"error",""))</f>
        <v/>
      </c>
    </row>
    <row r="1575" spans="1:22" x14ac:dyDescent="0.55000000000000004">
      <c r="A1575">
        <v>1198.5704000000001</v>
      </c>
      <c r="B1575" s="1">
        <v>4.2099999999999999E-2</v>
      </c>
      <c r="C1575" s="1">
        <v>4.2099999999999999E-2</v>
      </c>
      <c r="D1575" s="2" t="s">
        <v>0</v>
      </c>
      <c r="E1575">
        <v>2</v>
      </c>
      <c r="F1575" s="2" t="s">
        <v>1</v>
      </c>
      <c r="G1575">
        <v>3</v>
      </c>
      <c r="H1575">
        <v>17.5</v>
      </c>
      <c r="I1575" s="2" t="s">
        <v>0</v>
      </c>
      <c r="J1575">
        <v>2</v>
      </c>
      <c r="K1575" s="2" t="s">
        <v>1</v>
      </c>
      <c r="L1575">
        <v>2</v>
      </c>
      <c r="M1575">
        <v>16.5</v>
      </c>
      <c r="N1575" s="2" t="s">
        <v>600</v>
      </c>
      <c r="O1575" t="str">
        <f>D1575&amp;"-"&amp;E1575&amp;"-"&amp;F1575&amp;"-"&amp;G1575&amp;"-"&amp;H1575</f>
        <v>X-2-f-3-17.5</v>
      </c>
      <c r="P1575" t="str">
        <f>I1575&amp;"-"&amp;J1575&amp;"-"&amp;K1575&amp;"-"&amp;L1575&amp;"-"&amp;M1575</f>
        <v>X-2-f-2-16.5</v>
      </c>
      <c r="Q1575">
        <f>A1575+R1575</f>
        <v>4559.0785839999999</v>
      </c>
      <c r="R1575">
        <f>_xlfn.IFNA(VLOOKUP(P1575,PGOPHER!A$2:G$181,7,FALSE),_xlfn.IFNA(VLOOKUP(P1575,en!A$2:I$768,7,FALSE),-10000))</f>
        <v>3360.5081839999998</v>
      </c>
      <c r="S1575">
        <f>IF(O1575=O1574,Q1574+S1574,Q1575)</f>
        <v>9118.158856</v>
      </c>
      <c r="T1575">
        <f>IF(O1575=O1574,T1574+1,1)</f>
        <v>2</v>
      </c>
      <c r="U1575">
        <f>IF(O1575=O1576,"",S1575/T1575)</f>
        <v>4559.079428</v>
      </c>
      <c r="V1575" t="str">
        <f>IF(U1575="","",IF(ABS(Q1575-U1575)&gt;V$1,"error",""))</f>
        <v/>
      </c>
    </row>
    <row r="1576" spans="1:22" x14ac:dyDescent="0.55000000000000004">
      <c r="A1576">
        <v>1160.8823</v>
      </c>
      <c r="B1576" s="1">
        <v>1E-3</v>
      </c>
      <c r="C1576" s="1">
        <v>1E-3</v>
      </c>
      <c r="D1576" s="2" t="s">
        <v>0</v>
      </c>
      <c r="E1576">
        <v>2</v>
      </c>
      <c r="F1576" s="2" t="s">
        <v>1</v>
      </c>
      <c r="G1576">
        <v>4</v>
      </c>
      <c r="H1576">
        <v>17.5</v>
      </c>
      <c r="I1576" s="2" t="s">
        <v>0</v>
      </c>
      <c r="J1576">
        <v>2</v>
      </c>
      <c r="K1576" s="2" t="s">
        <v>1</v>
      </c>
      <c r="L1576">
        <v>3</v>
      </c>
      <c r="M1576">
        <v>16.5</v>
      </c>
      <c r="N1576" s="2" t="s">
        <v>669</v>
      </c>
      <c r="O1576" t="str">
        <f>D1576&amp;"-"&amp;E1576&amp;"-"&amp;F1576&amp;"-"&amp;G1576&amp;"-"&amp;H1576</f>
        <v>X-2-f-4-17.5</v>
      </c>
      <c r="P1576" t="str">
        <f>I1576&amp;"-"&amp;J1576&amp;"-"&amp;K1576&amp;"-"&amp;L1576&amp;"-"&amp;M1576</f>
        <v>X-2-f-3-16.5</v>
      </c>
      <c r="Q1576">
        <f>A1576+R1576</f>
        <v>5601.0268940000005</v>
      </c>
      <c r="R1576">
        <f>_xlfn.IFNA(VLOOKUP(P1576,PGOPHER!A$2:G$181,7,FALSE),_xlfn.IFNA(VLOOKUP(P1576,en!A$2:I$768,7,FALSE),-10000))</f>
        <v>4440.1445940000003</v>
      </c>
      <c r="S1576">
        <f>IF(O1576=O1575,Q1575+S1575,Q1576)</f>
        <v>5601.0268940000005</v>
      </c>
      <c r="T1576">
        <f>IF(O1576=O1575,T1575+1,1)</f>
        <v>1</v>
      </c>
      <c r="U1576">
        <f>IF(O1576=O1577,"",S1576/T1576)</f>
        <v>5601.0268940000005</v>
      </c>
      <c r="V1576" t="str">
        <f>IF(U1576="","",IF(ABS(Q1576-U1576)&gt;V$1,"error",""))</f>
        <v/>
      </c>
    </row>
    <row r="1577" spans="1:22" x14ac:dyDescent="0.55000000000000004">
      <c r="A1577">
        <v>1010.87852</v>
      </c>
      <c r="B1577" s="1">
        <v>2.2520000000000001E-3</v>
      </c>
      <c r="C1577" s="1">
        <v>2.2520000000000001E-3</v>
      </c>
      <c r="D1577" s="2" t="s">
        <v>0</v>
      </c>
      <c r="E1577">
        <v>1</v>
      </c>
      <c r="F1577" s="2" t="s">
        <v>2</v>
      </c>
      <c r="G1577">
        <v>1</v>
      </c>
      <c r="H1577">
        <v>18.5</v>
      </c>
      <c r="I1577" s="2" t="s">
        <v>0</v>
      </c>
      <c r="J1577">
        <v>1</v>
      </c>
      <c r="K1577" s="2" t="s">
        <v>2</v>
      </c>
      <c r="L1577">
        <v>0</v>
      </c>
      <c r="M1577">
        <v>19.5</v>
      </c>
      <c r="N1577" s="2" t="s">
        <v>273</v>
      </c>
      <c r="O1577" t="str">
        <f>D1577&amp;"-"&amp;E1577&amp;"-"&amp;F1577&amp;"-"&amp;G1577&amp;"-"&amp;H1577</f>
        <v>X-1-e-1-18.5</v>
      </c>
      <c r="P1577" t="str">
        <f>I1577&amp;"-"&amp;J1577&amp;"-"&amp;K1577&amp;"-"&amp;L1577&amp;"-"&amp;M1577</f>
        <v>X-1-e-0-19.5</v>
      </c>
      <c r="Q1577">
        <f>A1577+R1577</f>
        <v>2373.3536249999997</v>
      </c>
      <c r="R1577">
        <f>_xlfn.IFNA(VLOOKUP(P1577,PGOPHER!A$2:G$181,7,FALSE),_xlfn.IFNA(VLOOKUP(P1577,en!A$2:I$768,7,FALSE),-10000))</f>
        <v>1362.475105</v>
      </c>
      <c r="S1577">
        <f>IF(O1577=O1576,Q1576+S1576,Q1577)</f>
        <v>2373.3536249999997</v>
      </c>
      <c r="T1577">
        <f>IF(O1577=O1576,T1576+1,1)</f>
        <v>1</v>
      </c>
      <c r="U1577" t="str">
        <f>IF(O1577=O1578,"",S1577/T1577)</f>
        <v/>
      </c>
      <c r="V1577" t="str">
        <f>IF(U1577="","",IF(ABS(Q1577-U1577)&gt;V$1,"error",""))</f>
        <v/>
      </c>
    </row>
    <row r="1578" spans="1:22" x14ac:dyDescent="0.55000000000000004">
      <c r="A1578">
        <v>1273.08349</v>
      </c>
      <c r="B1578" s="1">
        <v>1E-3</v>
      </c>
      <c r="C1578" s="1">
        <v>1E-3</v>
      </c>
      <c r="D1578" s="2" t="s">
        <v>0</v>
      </c>
      <c r="E1578">
        <v>1</v>
      </c>
      <c r="F1578" s="2" t="s">
        <v>2</v>
      </c>
      <c r="G1578">
        <v>1</v>
      </c>
      <c r="H1578">
        <v>18.5</v>
      </c>
      <c r="I1578" s="2" t="s">
        <v>0</v>
      </c>
      <c r="J1578">
        <v>1</v>
      </c>
      <c r="K1578" s="2" t="s">
        <v>2</v>
      </c>
      <c r="L1578">
        <v>0</v>
      </c>
      <c r="M1578">
        <v>17.5</v>
      </c>
      <c r="N1578" s="2" t="s">
        <v>277</v>
      </c>
      <c r="O1578" t="str">
        <f>D1578&amp;"-"&amp;E1578&amp;"-"&amp;F1578&amp;"-"&amp;G1578&amp;"-"&amp;H1578</f>
        <v>X-1-e-1-18.5</v>
      </c>
      <c r="P1578" t="str">
        <f>I1578&amp;"-"&amp;J1578&amp;"-"&amp;K1578&amp;"-"&amp;L1578&amp;"-"&amp;M1578</f>
        <v>X-1-e-0-17.5</v>
      </c>
      <c r="Q1578">
        <f>A1578+R1578</f>
        <v>2373.3555340000003</v>
      </c>
      <c r="R1578">
        <f>_xlfn.IFNA(VLOOKUP(P1578,PGOPHER!A$2:G$181,7,FALSE),_xlfn.IFNA(VLOOKUP(P1578,en!A$2:I$768,7,FALSE),-10000))</f>
        <v>1100.2720440000001</v>
      </c>
      <c r="S1578">
        <f>IF(O1578=O1577,Q1577+S1577,Q1578)</f>
        <v>4746.7072499999995</v>
      </c>
      <c r="T1578">
        <f>IF(O1578=O1577,T1577+1,1)</f>
        <v>2</v>
      </c>
      <c r="U1578" t="str">
        <f>IF(O1578=O1579,"",S1578/T1578)</f>
        <v/>
      </c>
      <c r="V1578" t="str">
        <f>IF(U1578="","",IF(ABS(Q1578-U1578)&gt;V$1,"error",""))</f>
        <v/>
      </c>
    </row>
    <row r="1579" spans="1:22" x14ac:dyDescent="0.55000000000000004">
      <c r="A1579">
        <v>1273.0838900000001</v>
      </c>
      <c r="B1579" s="1">
        <v>1E-3</v>
      </c>
      <c r="C1579" s="1">
        <v>1E-3</v>
      </c>
      <c r="D1579" s="2" t="s">
        <v>0</v>
      </c>
      <c r="E1579">
        <v>1</v>
      </c>
      <c r="F1579" s="2" t="s">
        <v>2</v>
      </c>
      <c r="G1579">
        <v>1</v>
      </c>
      <c r="H1579">
        <v>18.5</v>
      </c>
      <c r="I1579" s="2" t="s">
        <v>0</v>
      </c>
      <c r="J1579">
        <v>1</v>
      </c>
      <c r="K1579" s="2" t="s">
        <v>2</v>
      </c>
      <c r="L1579">
        <v>0</v>
      </c>
      <c r="M1579">
        <v>17.5</v>
      </c>
      <c r="N1579" s="2" t="s">
        <v>274</v>
      </c>
      <c r="O1579" t="str">
        <f>D1579&amp;"-"&amp;E1579&amp;"-"&amp;F1579&amp;"-"&amp;G1579&amp;"-"&amp;H1579</f>
        <v>X-1-e-1-18.5</v>
      </c>
      <c r="P1579" t="str">
        <f>I1579&amp;"-"&amp;J1579&amp;"-"&amp;K1579&amp;"-"&amp;L1579&amp;"-"&amp;M1579</f>
        <v>X-1-e-0-17.5</v>
      </c>
      <c r="Q1579">
        <f>A1579+R1579</f>
        <v>2373.3559340000002</v>
      </c>
      <c r="R1579">
        <f>_xlfn.IFNA(VLOOKUP(P1579,PGOPHER!A$2:G$181,7,FALSE),_xlfn.IFNA(VLOOKUP(P1579,en!A$2:I$768,7,FALSE),-10000))</f>
        <v>1100.2720440000001</v>
      </c>
      <c r="S1579">
        <f>IF(O1579=O1578,Q1578+S1578,Q1579)</f>
        <v>7120.0627839999997</v>
      </c>
      <c r="T1579">
        <f>IF(O1579=O1578,T1578+1,1)</f>
        <v>3</v>
      </c>
      <c r="U1579" t="str">
        <f>IF(O1579=O1580,"",S1579/T1579)</f>
        <v/>
      </c>
      <c r="V1579" t="str">
        <f>IF(U1579="","",IF(ABS(Q1579-U1579)&gt;V$1,"error",""))</f>
        <v/>
      </c>
    </row>
    <row r="1580" spans="1:22" x14ac:dyDescent="0.55000000000000004">
      <c r="A1580">
        <v>1010.881</v>
      </c>
      <c r="B1580" s="1">
        <v>1E-3</v>
      </c>
      <c r="C1580" s="1">
        <v>1E-3</v>
      </c>
      <c r="D1580" s="2" t="s">
        <v>0</v>
      </c>
      <c r="E1580">
        <v>1</v>
      </c>
      <c r="F1580" s="2" t="s">
        <v>2</v>
      </c>
      <c r="G1580">
        <v>1</v>
      </c>
      <c r="H1580">
        <v>18.5</v>
      </c>
      <c r="I1580" s="2" t="s">
        <v>0</v>
      </c>
      <c r="J1580">
        <v>1</v>
      </c>
      <c r="K1580" s="2" t="s">
        <v>2</v>
      </c>
      <c r="L1580">
        <v>0</v>
      </c>
      <c r="M1580">
        <v>19.5</v>
      </c>
      <c r="N1580" s="2" t="s">
        <v>271</v>
      </c>
      <c r="O1580" t="str">
        <f>D1580&amp;"-"&amp;E1580&amp;"-"&amp;F1580&amp;"-"&amp;G1580&amp;"-"&amp;H1580</f>
        <v>X-1-e-1-18.5</v>
      </c>
      <c r="P1580" t="str">
        <f>I1580&amp;"-"&amp;J1580&amp;"-"&amp;K1580&amp;"-"&amp;L1580&amp;"-"&amp;M1580</f>
        <v>X-1-e-0-19.5</v>
      </c>
      <c r="Q1580">
        <f>A1580+R1580</f>
        <v>2373.3561049999998</v>
      </c>
      <c r="R1580">
        <f>_xlfn.IFNA(VLOOKUP(P1580,PGOPHER!A$2:G$181,7,FALSE),_xlfn.IFNA(VLOOKUP(P1580,en!A$2:I$768,7,FALSE),-10000))</f>
        <v>1362.475105</v>
      </c>
      <c r="S1580">
        <f>IF(O1580=O1579,Q1579+S1579,Q1580)</f>
        <v>9493.4187180000008</v>
      </c>
      <c r="T1580">
        <f>IF(O1580=O1579,T1579+1,1)</f>
        <v>4</v>
      </c>
      <c r="U1580" t="str">
        <f>IF(O1580=O1581,"",S1580/T1580)</f>
        <v/>
      </c>
      <c r="V1580" t="str">
        <f>IF(U1580="","",IF(ABS(Q1580-U1580)&gt;V$1,"error",""))</f>
        <v/>
      </c>
    </row>
    <row r="1581" spans="1:22" x14ac:dyDescent="0.55000000000000004">
      <c r="A1581">
        <v>1010.88096</v>
      </c>
      <c r="B1581" s="1">
        <v>1.75E-3</v>
      </c>
      <c r="C1581" s="1">
        <v>1.75E-3</v>
      </c>
      <c r="D1581" s="2" t="s">
        <v>0</v>
      </c>
      <c r="E1581">
        <v>1</v>
      </c>
      <c r="F1581" s="2" t="s">
        <v>2</v>
      </c>
      <c r="G1581">
        <v>1</v>
      </c>
      <c r="H1581">
        <v>18.5</v>
      </c>
      <c r="I1581" s="2" t="s">
        <v>0</v>
      </c>
      <c r="J1581">
        <v>1</v>
      </c>
      <c r="K1581" s="2" t="s">
        <v>2</v>
      </c>
      <c r="L1581">
        <v>0</v>
      </c>
      <c r="M1581">
        <v>19.5</v>
      </c>
      <c r="N1581" s="2" t="s">
        <v>278</v>
      </c>
      <c r="O1581" t="str">
        <f>D1581&amp;"-"&amp;E1581&amp;"-"&amp;F1581&amp;"-"&amp;G1581&amp;"-"&amp;H1581</f>
        <v>X-1-e-1-18.5</v>
      </c>
      <c r="P1581" t="str">
        <f>I1581&amp;"-"&amp;J1581&amp;"-"&amp;K1581&amp;"-"&amp;L1581&amp;"-"&amp;M1581</f>
        <v>X-1-e-0-19.5</v>
      </c>
      <c r="Q1581">
        <f>A1581+R1581</f>
        <v>2373.3560649999999</v>
      </c>
      <c r="R1581">
        <f>_xlfn.IFNA(VLOOKUP(P1581,PGOPHER!A$2:G$181,7,FALSE),_xlfn.IFNA(VLOOKUP(P1581,en!A$2:I$768,7,FALSE),-10000))</f>
        <v>1362.475105</v>
      </c>
      <c r="S1581">
        <f>IF(O1581=O1580,Q1580+S1580,Q1581)</f>
        <v>11866.774823</v>
      </c>
      <c r="T1581">
        <f>IF(O1581=O1580,T1580+1,1)</f>
        <v>5</v>
      </c>
      <c r="U1581" t="str">
        <f>IF(O1581=O1582,"",S1581/T1581)</f>
        <v/>
      </c>
      <c r="V1581" t="str">
        <f>IF(U1581="","",IF(ABS(Q1581-U1581)&gt;V$1,"error",""))</f>
        <v/>
      </c>
    </row>
    <row r="1582" spans="1:22" x14ac:dyDescent="0.55000000000000004">
      <c r="A1582">
        <v>1273.0835</v>
      </c>
      <c r="B1582" s="1">
        <v>6.3299999999999995E-2</v>
      </c>
      <c r="C1582" s="1">
        <v>6.3299999999999995E-2</v>
      </c>
      <c r="D1582" s="2" t="s">
        <v>0</v>
      </c>
      <c r="E1582">
        <v>1</v>
      </c>
      <c r="F1582" s="2" t="s">
        <v>2</v>
      </c>
      <c r="G1582">
        <v>1</v>
      </c>
      <c r="H1582">
        <v>18.5</v>
      </c>
      <c r="I1582" s="2" t="s">
        <v>0</v>
      </c>
      <c r="J1582">
        <v>1</v>
      </c>
      <c r="K1582" s="2" t="s">
        <v>2</v>
      </c>
      <c r="L1582">
        <v>0</v>
      </c>
      <c r="M1582">
        <v>17.5</v>
      </c>
      <c r="N1582" s="2" t="s">
        <v>269</v>
      </c>
      <c r="O1582" t="str">
        <f>D1582&amp;"-"&amp;E1582&amp;"-"&amp;F1582&amp;"-"&amp;G1582&amp;"-"&amp;H1582</f>
        <v>X-1-e-1-18.5</v>
      </c>
      <c r="P1582" t="str">
        <f>I1582&amp;"-"&amp;J1582&amp;"-"&amp;K1582&amp;"-"&amp;L1582&amp;"-"&amp;M1582</f>
        <v>X-1-e-0-17.5</v>
      </c>
      <c r="Q1582">
        <f>A1582+R1582</f>
        <v>2373.355544</v>
      </c>
      <c r="R1582">
        <f>_xlfn.IFNA(VLOOKUP(P1582,PGOPHER!A$2:G$181,7,FALSE),_xlfn.IFNA(VLOOKUP(P1582,en!A$2:I$768,7,FALSE),-10000))</f>
        <v>1100.2720440000001</v>
      </c>
      <c r="S1582">
        <f>IF(O1582=O1581,Q1581+S1581,Q1582)</f>
        <v>14240.130888</v>
      </c>
      <c r="T1582">
        <f>IF(O1582=O1581,T1581+1,1)</f>
        <v>6</v>
      </c>
      <c r="U1582">
        <f>IF(O1582=O1583,"",S1582/T1582)</f>
        <v>2373.3551480000001</v>
      </c>
      <c r="V1582" t="str">
        <f>IF(U1582="","",IF(ABS(Q1582-U1582)&gt;V$1,"error",""))</f>
        <v/>
      </c>
    </row>
    <row r="1583" spans="1:22" x14ac:dyDescent="0.55000000000000004">
      <c r="A1583">
        <v>979.65459999999996</v>
      </c>
      <c r="B1583" s="1">
        <v>8.4899999999999993E-3</v>
      </c>
      <c r="C1583" s="1">
        <v>8.4899999999999993E-3</v>
      </c>
      <c r="D1583" s="2" t="s">
        <v>0</v>
      </c>
      <c r="E1583">
        <v>1</v>
      </c>
      <c r="F1583" s="2" t="s">
        <v>2</v>
      </c>
      <c r="G1583">
        <v>2</v>
      </c>
      <c r="H1583">
        <v>18.5</v>
      </c>
      <c r="I1583" s="2" t="s">
        <v>0</v>
      </c>
      <c r="J1583">
        <v>1</v>
      </c>
      <c r="K1583" s="2" t="s">
        <v>2</v>
      </c>
      <c r="L1583">
        <v>1</v>
      </c>
      <c r="M1583">
        <v>19.5</v>
      </c>
      <c r="N1583" s="2" t="s">
        <v>477</v>
      </c>
      <c r="O1583" t="str">
        <f>D1583&amp;"-"&amp;E1583&amp;"-"&amp;F1583&amp;"-"&amp;G1583&amp;"-"&amp;H1583</f>
        <v>X-1-e-2-18.5</v>
      </c>
      <c r="P1583" t="str">
        <f>I1583&amp;"-"&amp;J1583&amp;"-"&amp;K1583&amp;"-"&amp;L1583&amp;"-"&amp;M1583</f>
        <v>X-1-e-1-19.5</v>
      </c>
      <c r="Q1583">
        <f>A1583+R1583</f>
        <v>3484.4236769999998</v>
      </c>
      <c r="R1583">
        <f>_xlfn.IFNA(VLOOKUP(P1583,PGOPHER!A$2:G$181,7,FALSE),_xlfn.IFNA(VLOOKUP(P1583,en!A$2:I$768,7,FALSE),-10000))</f>
        <v>2504.7690769999999</v>
      </c>
      <c r="S1583">
        <f>IF(O1583=O1582,Q1582+S1582,Q1583)</f>
        <v>3484.4236769999998</v>
      </c>
      <c r="T1583">
        <f>IF(O1583=O1582,T1582+1,1)</f>
        <v>1</v>
      </c>
      <c r="U1583" t="str">
        <f>IF(O1583=O1584,"",S1583/T1583)</f>
        <v/>
      </c>
      <c r="V1583" t="str">
        <f>IF(U1583="","",IF(ABS(Q1583-U1583)&gt;V$1,"error",""))</f>
        <v/>
      </c>
    </row>
    <row r="1584" spans="1:22" x14ac:dyDescent="0.55000000000000004">
      <c r="A1584">
        <v>1235.9248</v>
      </c>
      <c r="B1584" s="1">
        <v>1E-3</v>
      </c>
      <c r="C1584" s="1">
        <v>1E-3</v>
      </c>
      <c r="D1584" s="2" t="s">
        <v>0</v>
      </c>
      <c r="E1584">
        <v>1</v>
      </c>
      <c r="F1584" s="2" t="s">
        <v>2</v>
      </c>
      <c r="G1584">
        <v>2</v>
      </c>
      <c r="H1584">
        <v>18.5</v>
      </c>
      <c r="I1584" s="2" t="s">
        <v>0</v>
      </c>
      <c r="J1584">
        <v>1</v>
      </c>
      <c r="K1584" s="2" t="s">
        <v>2</v>
      </c>
      <c r="L1584">
        <v>1</v>
      </c>
      <c r="M1584">
        <v>17.5</v>
      </c>
      <c r="N1584" s="2" t="s">
        <v>475</v>
      </c>
      <c r="O1584" t="str">
        <f>D1584&amp;"-"&amp;E1584&amp;"-"&amp;F1584&amp;"-"&amp;G1584&amp;"-"&amp;H1584</f>
        <v>X-1-e-2-18.5</v>
      </c>
      <c r="P1584" t="str">
        <f>I1584&amp;"-"&amp;J1584&amp;"-"&amp;K1584&amp;"-"&amp;L1584&amp;"-"&amp;M1584</f>
        <v>X-1-e-1-17.5</v>
      </c>
      <c r="Q1584">
        <f>A1584+R1584</f>
        <v>3484.4237800000001</v>
      </c>
      <c r="R1584">
        <f>_xlfn.IFNA(VLOOKUP(P1584,PGOPHER!A$2:G$181,7,FALSE),_xlfn.IFNA(VLOOKUP(P1584,en!A$2:I$768,7,FALSE),-10000))</f>
        <v>2248.4989799999998</v>
      </c>
      <c r="S1584">
        <f>IF(O1584=O1583,Q1583+S1583,Q1584)</f>
        <v>6968.8473539999995</v>
      </c>
      <c r="T1584">
        <f>IF(O1584=O1583,T1583+1,1)</f>
        <v>2</v>
      </c>
      <c r="U1584">
        <f>IF(O1584=O1585,"",S1584/T1584)</f>
        <v>3484.4236769999998</v>
      </c>
      <c r="V1584" t="str">
        <f>IF(U1584="","",IF(ABS(Q1584-U1584)&gt;V$1,"error",""))</f>
        <v/>
      </c>
    </row>
    <row r="1585" spans="1:22" x14ac:dyDescent="0.55000000000000004">
      <c r="A1585">
        <v>948.28899999999999</v>
      </c>
      <c r="B1585" s="1">
        <v>1E-3</v>
      </c>
      <c r="C1585" s="1">
        <v>1E-3</v>
      </c>
      <c r="D1585" s="2" t="s">
        <v>0</v>
      </c>
      <c r="E1585">
        <v>1</v>
      </c>
      <c r="F1585" s="2" t="s">
        <v>2</v>
      </c>
      <c r="G1585">
        <v>3</v>
      </c>
      <c r="H1585">
        <v>18.5</v>
      </c>
      <c r="I1585" s="2" t="s">
        <v>0</v>
      </c>
      <c r="J1585">
        <v>1</v>
      </c>
      <c r="K1585" s="2" t="s">
        <v>2</v>
      </c>
      <c r="L1585">
        <v>2</v>
      </c>
      <c r="M1585">
        <v>19.5</v>
      </c>
      <c r="N1585" s="2" t="s">
        <v>603</v>
      </c>
      <c r="O1585" t="str">
        <f>D1585&amp;"-"&amp;E1585&amp;"-"&amp;F1585&amp;"-"&amp;G1585&amp;"-"&amp;H1585</f>
        <v>X-1-e-3-18.5</v>
      </c>
      <c r="P1585" t="str">
        <f>I1585&amp;"-"&amp;J1585&amp;"-"&amp;K1585&amp;"-"&amp;L1585&amp;"-"&amp;M1585</f>
        <v>X-1-e-2-19.5</v>
      </c>
      <c r="Q1585">
        <f>A1585+R1585</f>
        <v>4561.070952</v>
      </c>
      <c r="R1585">
        <f>_xlfn.IFNA(VLOOKUP(P1585,PGOPHER!A$2:G$181,7,FALSE),_xlfn.IFNA(VLOOKUP(P1585,en!A$2:I$768,7,FALSE),-10000))</f>
        <v>3612.7819519999998</v>
      </c>
      <c r="S1585">
        <f>IF(O1585=O1584,Q1584+S1584,Q1585)</f>
        <v>4561.070952</v>
      </c>
      <c r="T1585">
        <f>IF(O1585=O1584,T1584+1,1)</f>
        <v>1</v>
      </c>
      <c r="U1585" t="str">
        <f>IF(O1585=O1586,"",S1585/T1585)</f>
        <v/>
      </c>
      <c r="V1585" t="str">
        <f>IF(U1585="","",IF(ABS(Q1585-U1585)&gt;V$1,"error",""))</f>
        <v/>
      </c>
    </row>
    <row r="1586" spans="1:22" x14ac:dyDescent="0.55000000000000004">
      <c r="A1586">
        <v>1198.5999999999999</v>
      </c>
      <c r="B1586" s="1">
        <v>1E-3</v>
      </c>
      <c r="C1586" s="1">
        <v>1E-3</v>
      </c>
      <c r="D1586" s="2" t="s">
        <v>0</v>
      </c>
      <c r="E1586">
        <v>1</v>
      </c>
      <c r="F1586" s="2" t="s">
        <v>2</v>
      </c>
      <c r="G1586">
        <v>3</v>
      </c>
      <c r="H1586">
        <v>18.5</v>
      </c>
      <c r="I1586" s="2" t="s">
        <v>0</v>
      </c>
      <c r="J1586">
        <v>1</v>
      </c>
      <c r="K1586" s="2" t="s">
        <v>2</v>
      </c>
      <c r="L1586">
        <v>2</v>
      </c>
      <c r="M1586">
        <v>17.5</v>
      </c>
      <c r="N1586" s="2" t="s">
        <v>602</v>
      </c>
      <c r="O1586" t="str">
        <f>D1586&amp;"-"&amp;E1586&amp;"-"&amp;F1586&amp;"-"&amp;G1586&amp;"-"&amp;H1586</f>
        <v>X-1-e-3-18.5</v>
      </c>
      <c r="P1586" t="str">
        <f>I1586&amp;"-"&amp;J1586&amp;"-"&amp;K1586&amp;"-"&amp;L1586&amp;"-"&amp;M1586</f>
        <v>X-1-e-2-17.5</v>
      </c>
      <c r="Q1586">
        <f>A1586+R1586</f>
        <v>4561.0709399999996</v>
      </c>
      <c r="R1586">
        <f>_xlfn.IFNA(VLOOKUP(P1586,PGOPHER!A$2:G$181,7,FALSE),_xlfn.IFNA(VLOOKUP(P1586,en!A$2:I$768,7,FALSE),-10000))</f>
        <v>3362.4709400000002</v>
      </c>
      <c r="S1586">
        <f>IF(O1586=O1585,Q1585+S1585,Q1586)</f>
        <v>9122.1419040000001</v>
      </c>
      <c r="T1586">
        <f>IF(O1586=O1585,T1585+1,1)</f>
        <v>2</v>
      </c>
      <c r="U1586">
        <f>IF(O1586=O1587,"",S1586/T1586)</f>
        <v>4561.070952</v>
      </c>
      <c r="V1586" t="str">
        <f>IF(U1586="","",IF(ABS(Q1586-U1586)&gt;V$1,"error",""))</f>
        <v/>
      </c>
    </row>
    <row r="1587" spans="1:22" x14ac:dyDescent="0.55000000000000004">
      <c r="A1587">
        <v>1160.9063000000001</v>
      </c>
      <c r="B1587" s="1">
        <v>1E-3</v>
      </c>
      <c r="C1587" s="1">
        <v>1E-3</v>
      </c>
      <c r="D1587" s="2" t="s">
        <v>0</v>
      </c>
      <c r="E1587">
        <v>1</v>
      </c>
      <c r="F1587" s="2" t="s">
        <v>2</v>
      </c>
      <c r="G1587">
        <v>4</v>
      </c>
      <c r="H1587">
        <v>18.5</v>
      </c>
      <c r="I1587" s="2" t="s">
        <v>0</v>
      </c>
      <c r="J1587">
        <v>1</v>
      </c>
      <c r="K1587" s="2" t="s">
        <v>2</v>
      </c>
      <c r="L1587">
        <v>3</v>
      </c>
      <c r="M1587">
        <v>17.5</v>
      </c>
      <c r="N1587" s="2" t="s">
        <v>670</v>
      </c>
      <c r="O1587" t="str">
        <f>D1587&amp;"-"&amp;E1587&amp;"-"&amp;F1587&amp;"-"&amp;G1587&amp;"-"&amp;H1587</f>
        <v>X-1-e-4-18.5</v>
      </c>
      <c r="P1587" t="str">
        <f>I1587&amp;"-"&amp;J1587&amp;"-"&amp;K1587&amp;"-"&amp;L1587&amp;"-"&amp;M1587</f>
        <v>X-1-e-3-17.5</v>
      </c>
      <c r="Q1587">
        <f>A1587+R1587</f>
        <v>5602.9454040000001</v>
      </c>
      <c r="R1587">
        <f>_xlfn.IFNA(VLOOKUP(P1587,PGOPHER!A$2:G$181,7,FALSE),_xlfn.IFNA(VLOOKUP(P1587,en!A$2:I$768,7,FALSE),-10000))</f>
        <v>4442.0391040000004</v>
      </c>
      <c r="S1587">
        <f>IF(O1587=O1586,Q1586+S1586,Q1587)</f>
        <v>5602.9454040000001</v>
      </c>
      <c r="T1587">
        <f>IF(O1587=O1586,T1586+1,1)</f>
        <v>1</v>
      </c>
      <c r="U1587">
        <f>IF(O1587=O1588,"",S1587/T1587)</f>
        <v>5602.9454040000001</v>
      </c>
      <c r="V1587" t="str">
        <f>IF(U1587="","",IF(ABS(Q1587-U1587)&gt;V$1,"error",""))</f>
        <v/>
      </c>
    </row>
    <row r="1588" spans="1:22" x14ac:dyDescent="0.55000000000000004">
      <c r="A1588">
        <v>1001.36097</v>
      </c>
      <c r="B1588" s="1">
        <v>1E-3</v>
      </c>
      <c r="C1588" s="1">
        <v>1E-3</v>
      </c>
      <c r="D1588" s="2" t="s">
        <v>0</v>
      </c>
      <c r="E1588">
        <v>2</v>
      </c>
      <c r="F1588" s="2" t="s">
        <v>1</v>
      </c>
      <c r="G1588">
        <v>1</v>
      </c>
      <c r="H1588">
        <v>18.5</v>
      </c>
      <c r="I1588" s="2" t="s">
        <v>0</v>
      </c>
      <c r="J1588">
        <v>2</v>
      </c>
      <c r="K1588" s="2" t="s">
        <v>1</v>
      </c>
      <c r="L1588">
        <v>0</v>
      </c>
      <c r="M1588">
        <v>19.5</v>
      </c>
      <c r="N1588" s="2" t="s">
        <v>275</v>
      </c>
      <c r="O1588" t="str">
        <f>D1588&amp;"-"&amp;E1588&amp;"-"&amp;F1588&amp;"-"&amp;G1588&amp;"-"&amp;H1588</f>
        <v>X-2-f-1-18.5</v>
      </c>
      <c r="P1588" t="str">
        <f>I1588&amp;"-"&amp;J1588&amp;"-"&amp;K1588&amp;"-"&amp;L1588&amp;"-"&amp;M1588</f>
        <v>X-2-f-0-19.5</v>
      </c>
      <c r="Q1588">
        <f>A1588+R1588</f>
        <v>2502.5183010000001</v>
      </c>
      <c r="R1588">
        <f>_xlfn.IFNA(VLOOKUP(P1588,PGOPHER!A$2:G$181,7,FALSE),_xlfn.IFNA(VLOOKUP(P1588,en!A$2:I$768,7,FALSE),-10000))</f>
        <v>1501.1573310000001</v>
      </c>
      <c r="S1588">
        <f>IF(O1588=O1587,Q1587+S1587,Q1588)</f>
        <v>2502.5183010000001</v>
      </c>
      <c r="T1588">
        <f>IF(O1588=O1587,T1587+1,1)</f>
        <v>1</v>
      </c>
      <c r="U1588" t="str">
        <f>IF(O1588=O1589,"",S1588/T1588)</f>
        <v/>
      </c>
      <c r="V1588" t="str">
        <f>IF(U1588="","",IF(ABS(Q1588-U1588)&gt;V$1,"error",""))</f>
        <v/>
      </c>
    </row>
    <row r="1589" spans="1:22" x14ac:dyDescent="0.55000000000000004">
      <c r="A1589">
        <v>1276.7279000000001</v>
      </c>
      <c r="B1589" s="1">
        <v>1E-3</v>
      </c>
      <c r="C1589" s="1">
        <v>1E-3</v>
      </c>
      <c r="D1589" s="2" t="s">
        <v>0</v>
      </c>
      <c r="E1589">
        <v>2</v>
      </c>
      <c r="F1589" s="2" t="s">
        <v>1</v>
      </c>
      <c r="G1589">
        <v>1</v>
      </c>
      <c r="H1589">
        <v>18.5</v>
      </c>
      <c r="I1589" s="2" t="s">
        <v>0</v>
      </c>
      <c r="J1589">
        <v>2</v>
      </c>
      <c r="K1589" s="2" t="s">
        <v>1</v>
      </c>
      <c r="L1589">
        <v>0</v>
      </c>
      <c r="M1589">
        <v>17.5</v>
      </c>
      <c r="N1589" s="2" t="s">
        <v>279</v>
      </c>
      <c r="O1589" t="str">
        <f>D1589&amp;"-"&amp;E1589&amp;"-"&amp;F1589&amp;"-"&amp;G1589&amp;"-"&amp;H1589</f>
        <v>X-2-f-1-18.5</v>
      </c>
      <c r="P1589" t="str">
        <f>I1589&amp;"-"&amp;J1589&amp;"-"&amp;K1589&amp;"-"&amp;L1589&amp;"-"&amp;M1589</f>
        <v>X-2-f-0-17.5</v>
      </c>
      <c r="Q1589">
        <f>A1589+R1589</f>
        <v>2502.517769</v>
      </c>
      <c r="R1589">
        <f>_xlfn.IFNA(VLOOKUP(P1589,PGOPHER!A$2:G$181,7,FALSE),_xlfn.IFNA(VLOOKUP(P1589,en!A$2:I$768,7,FALSE),-10000))</f>
        <v>1225.789869</v>
      </c>
      <c r="S1589">
        <f>IF(O1589=O1588,Q1588+S1588,Q1589)</f>
        <v>5005.0366020000001</v>
      </c>
      <c r="T1589">
        <f>IF(O1589=O1588,T1588+1,1)</f>
        <v>2</v>
      </c>
      <c r="U1589" t="str">
        <f>IF(O1589=O1590,"",S1589/T1589)</f>
        <v/>
      </c>
      <c r="V1589" t="str">
        <f>IF(U1589="","",IF(ABS(Q1589-U1589)&gt;V$1,"error",""))</f>
        <v/>
      </c>
    </row>
    <row r="1590" spans="1:22" x14ac:dyDescent="0.55000000000000004">
      <c r="A1590">
        <v>1001.3608</v>
      </c>
      <c r="B1590" s="1">
        <v>1.3599999999999999E-2</v>
      </c>
      <c r="C1590" s="1">
        <v>1.3599999999999999E-2</v>
      </c>
      <c r="D1590" s="2" t="s">
        <v>0</v>
      </c>
      <c r="E1590">
        <v>2</v>
      </c>
      <c r="F1590" s="2" t="s">
        <v>1</v>
      </c>
      <c r="G1590">
        <v>1</v>
      </c>
      <c r="H1590">
        <v>18.5</v>
      </c>
      <c r="I1590" s="2" t="s">
        <v>0</v>
      </c>
      <c r="J1590">
        <v>2</v>
      </c>
      <c r="K1590" s="2" t="s">
        <v>1</v>
      </c>
      <c r="L1590">
        <v>0</v>
      </c>
      <c r="M1590">
        <v>19.5</v>
      </c>
      <c r="N1590" s="2" t="s">
        <v>272</v>
      </c>
      <c r="O1590" t="str">
        <f>D1590&amp;"-"&amp;E1590&amp;"-"&amp;F1590&amp;"-"&amp;G1590&amp;"-"&amp;H1590</f>
        <v>X-2-f-1-18.5</v>
      </c>
      <c r="P1590" t="str">
        <f>I1590&amp;"-"&amp;J1590&amp;"-"&amp;K1590&amp;"-"&amp;L1590&amp;"-"&amp;M1590</f>
        <v>X-2-f-0-19.5</v>
      </c>
      <c r="Q1590">
        <f>A1590+R1590</f>
        <v>2502.5181310000003</v>
      </c>
      <c r="R1590">
        <f>_xlfn.IFNA(VLOOKUP(P1590,PGOPHER!A$2:G$181,7,FALSE),_xlfn.IFNA(VLOOKUP(P1590,en!A$2:I$768,7,FALSE),-10000))</f>
        <v>1501.1573310000001</v>
      </c>
      <c r="S1590">
        <f>IF(O1590=O1589,Q1589+S1589,Q1590)</f>
        <v>7507.5543710000002</v>
      </c>
      <c r="T1590">
        <f>IF(O1590=O1589,T1589+1,1)</f>
        <v>3</v>
      </c>
      <c r="U1590" t="str">
        <f>IF(O1590=O1591,"",S1590/T1590)</f>
        <v/>
      </c>
      <c r="V1590" t="str">
        <f>IF(U1590="","",IF(ABS(Q1590-U1590)&gt;V$1,"error",""))</f>
        <v/>
      </c>
    </row>
    <row r="1591" spans="1:22" x14ac:dyDescent="0.55000000000000004">
      <c r="A1591">
        <v>1276.72936</v>
      </c>
      <c r="B1591" s="1">
        <v>1E-3</v>
      </c>
      <c r="C1591" s="1">
        <v>1E-3</v>
      </c>
      <c r="D1591" s="2" t="s">
        <v>0</v>
      </c>
      <c r="E1591">
        <v>2</v>
      </c>
      <c r="F1591" s="2" t="s">
        <v>1</v>
      </c>
      <c r="G1591">
        <v>1</v>
      </c>
      <c r="H1591">
        <v>18.5</v>
      </c>
      <c r="I1591" s="2" t="s">
        <v>0</v>
      </c>
      <c r="J1591">
        <v>2</v>
      </c>
      <c r="K1591" s="2" t="s">
        <v>1</v>
      </c>
      <c r="L1591">
        <v>0</v>
      </c>
      <c r="M1591">
        <v>17.5</v>
      </c>
      <c r="N1591" s="2" t="s">
        <v>276</v>
      </c>
      <c r="O1591" t="str">
        <f>D1591&amp;"-"&amp;E1591&amp;"-"&amp;F1591&amp;"-"&amp;G1591&amp;"-"&amp;H1591</f>
        <v>X-2-f-1-18.5</v>
      </c>
      <c r="P1591" t="str">
        <f>I1591&amp;"-"&amp;J1591&amp;"-"&amp;K1591&amp;"-"&amp;L1591&amp;"-"&amp;M1591</f>
        <v>X-2-f-0-17.5</v>
      </c>
      <c r="Q1591">
        <f>A1591+R1591</f>
        <v>2502.519229</v>
      </c>
      <c r="R1591">
        <f>_xlfn.IFNA(VLOOKUP(P1591,PGOPHER!A$2:G$181,7,FALSE),_xlfn.IFNA(VLOOKUP(P1591,en!A$2:I$768,7,FALSE),-10000))</f>
        <v>1225.789869</v>
      </c>
      <c r="S1591">
        <f>IF(O1591=O1590,Q1590+S1590,Q1591)</f>
        <v>10010.072502000001</v>
      </c>
      <c r="T1591">
        <f>IF(O1591=O1590,T1590+1,1)</f>
        <v>4</v>
      </c>
      <c r="U1591" t="str">
        <f>IF(O1591=O1592,"",S1591/T1591)</f>
        <v/>
      </c>
      <c r="V1591" t="str">
        <f>IF(U1591="","",IF(ABS(Q1591-U1591)&gt;V$1,"error",""))</f>
        <v/>
      </c>
    </row>
    <row r="1592" spans="1:22" x14ac:dyDescent="0.55000000000000004">
      <c r="A1592">
        <v>1276.7279000000001</v>
      </c>
      <c r="B1592" s="1">
        <v>1E-3</v>
      </c>
      <c r="C1592" s="1">
        <v>1E-3</v>
      </c>
      <c r="D1592" s="2" t="s">
        <v>0</v>
      </c>
      <c r="E1592">
        <v>2</v>
      </c>
      <c r="F1592" s="2" t="s">
        <v>1</v>
      </c>
      <c r="G1592">
        <v>1</v>
      </c>
      <c r="H1592">
        <v>18.5</v>
      </c>
      <c r="I1592" s="2" t="s">
        <v>0</v>
      </c>
      <c r="J1592">
        <v>2</v>
      </c>
      <c r="K1592" s="2" t="s">
        <v>1</v>
      </c>
      <c r="L1592">
        <v>0</v>
      </c>
      <c r="M1592">
        <v>17.5</v>
      </c>
      <c r="N1592" s="2" t="s">
        <v>270</v>
      </c>
      <c r="O1592" t="str">
        <f>D1592&amp;"-"&amp;E1592&amp;"-"&amp;F1592&amp;"-"&amp;G1592&amp;"-"&amp;H1592</f>
        <v>X-2-f-1-18.5</v>
      </c>
      <c r="P1592" t="str">
        <f>I1592&amp;"-"&amp;J1592&amp;"-"&amp;K1592&amp;"-"&amp;L1592&amp;"-"&amp;M1592</f>
        <v>X-2-f-0-17.5</v>
      </c>
      <c r="Q1592">
        <f>A1592+R1592</f>
        <v>2502.517769</v>
      </c>
      <c r="R1592">
        <f>_xlfn.IFNA(VLOOKUP(P1592,PGOPHER!A$2:G$181,7,FALSE),_xlfn.IFNA(VLOOKUP(P1592,en!A$2:I$768,7,FALSE),-10000))</f>
        <v>1225.789869</v>
      </c>
      <c r="S1592">
        <f>IF(O1592=O1591,Q1591+S1591,Q1592)</f>
        <v>12512.591731</v>
      </c>
      <c r="T1592">
        <f>IF(O1592=O1591,T1591+1,1)</f>
        <v>5</v>
      </c>
      <c r="U1592" t="str">
        <f>IF(O1592=O1593,"",S1592/T1592)</f>
        <v/>
      </c>
      <c r="V1592" t="str">
        <f>IF(U1592="","",IF(ABS(Q1592-U1592)&gt;V$1,"error",""))</f>
        <v/>
      </c>
    </row>
    <row r="1593" spans="1:22" x14ac:dyDescent="0.55000000000000004">
      <c r="A1593">
        <v>1001.36081</v>
      </c>
      <c r="B1593" s="1">
        <v>1E-3</v>
      </c>
      <c r="C1593" s="1">
        <v>1E-3</v>
      </c>
      <c r="D1593" s="2" t="s">
        <v>0</v>
      </c>
      <c r="E1593">
        <v>2</v>
      </c>
      <c r="F1593" s="2" t="s">
        <v>1</v>
      </c>
      <c r="G1593">
        <v>1</v>
      </c>
      <c r="H1593">
        <v>18.5</v>
      </c>
      <c r="I1593" s="2" t="s">
        <v>0</v>
      </c>
      <c r="J1593">
        <v>2</v>
      </c>
      <c r="K1593" s="2" t="s">
        <v>1</v>
      </c>
      <c r="L1593">
        <v>0</v>
      </c>
      <c r="M1593">
        <v>19.5</v>
      </c>
      <c r="N1593" s="2" t="s">
        <v>280</v>
      </c>
      <c r="O1593" t="str">
        <f>D1593&amp;"-"&amp;E1593&amp;"-"&amp;F1593&amp;"-"&amp;G1593&amp;"-"&amp;H1593</f>
        <v>X-2-f-1-18.5</v>
      </c>
      <c r="P1593" t="str">
        <f>I1593&amp;"-"&amp;J1593&amp;"-"&amp;K1593&amp;"-"&amp;L1593&amp;"-"&amp;M1593</f>
        <v>X-2-f-0-19.5</v>
      </c>
      <c r="Q1593">
        <f>A1593+R1593</f>
        <v>2502.518141</v>
      </c>
      <c r="R1593">
        <f>_xlfn.IFNA(VLOOKUP(P1593,PGOPHER!A$2:G$181,7,FALSE),_xlfn.IFNA(VLOOKUP(P1593,en!A$2:I$768,7,FALSE),-10000))</f>
        <v>1501.1573310000001</v>
      </c>
      <c r="S1593">
        <f>IF(O1593=O1592,Q1592+S1592,Q1593)</f>
        <v>15015.1095</v>
      </c>
      <c r="T1593">
        <f>IF(O1593=O1592,T1592+1,1)</f>
        <v>6</v>
      </c>
      <c r="U1593">
        <f>IF(O1593=O1594,"",S1593/T1593)</f>
        <v>2502.5182500000001</v>
      </c>
      <c r="V1593" t="str">
        <f>IF(U1593="","",IF(ABS(Q1593-U1593)&gt;V$1,"error",""))</f>
        <v/>
      </c>
    </row>
    <row r="1594" spans="1:22" x14ac:dyDescent="0.55000000000000004">
      <c r="A1594">
        <v>970.2749</v>
      </c>
      <c r="B1594" s="1">
        <v>4.7699999999999999E-2</v>
      </c>
      <c r="C1594" s="1">
        <v>4.7699999999999999E-2</v>
      </c>
      <c r="D1594" s="2" t="s">
        <v>0</v>
      </c>
      <c r="E1594">
        <v>2</v>
      </c>
      <c r="F1594" s="2" t="s">
        <v>1</v>
      </c>
      <c r="G1594">
        <v>2</v>
      </c>
      <c r="H1594">
        <v>18.5</v>
      </c>
      <c r="I1594" s="2" t="s">
        <v>0</v>
      </c>
      <c r="J1594">
        <v>2</v>
      </c>
      <c r="K1594" s="2" t="s">
        <v>1</v>
      </c>
      <c r="L1594">
        <v>1</v>
      </c>
      <c r="M1594">
        <v>19.5</v>
      </c>
      <c r="N1594" s="2" t="s">
        <v>478</v>
      </c>
      <c r="O1594" t="str">
        <f>D1594&amp;"-"&amp;E1594&amp;"-"&amp;F1594&amp;"-"&amp;G1594&amp;"-"&amp;H1594</f>
        <v>X-2-f-2-18.5</v>
      </c>
      <c r="P1594" t="str">
        <f>I1594&amp;"-"&amp;J1594&amp;"-"&amp;K1594&amp;"-"&amp;L1594&amp;"-"&amp;M1594</f>
        <v>X-2-f-1-19.5</v>
      </c>
      <c r="Q1594">
        <f>A1594+R1594</f>
        <v>3610.6116669999997</v>
      </c>
      <c r="R1594">
        <f>_xlfn.IFNA(VLOOKUP(P1594,PGOPHER!A$2:G$181,7,FALSE),_xlfn.IFNA(VLOOKUP(P1594,en!A$2:I$768,7,FALSE),-10000))</f>
        <v>2640.3367669999998</v>
      </c>
      <c r="S1594">
        <f>IF(O1594=O1593,Q1593+S1593,Q1594)</f>
        <v>3610.6116669999997</v>
      </c>
      <c r="T1594">
        <f>IF(O1594=O1593,T1593+1,1)</f>
        <v>1</v>
      </c>
      <c r="U1594" t="str">
        <f>IF(O1594=O1595,"",S1594/T1594)</f>
        <v/>
      </c>
      <c r="V1594" t="str">
        <f>IF(U1594="","",IF(ABS(Q1594-U1594)&gt;V$1,"error",""))</f>
        <v/>
      </c>
    </row>
    <row r="1595" spans="1:22" x14ac:dyDescent="0.55000000000000004">
      <c r="A1595">
        <v>1239.3988999999999</v>
      </c>
      <c r="B1595" s="1">
        <v>8.8599999999999998E-3</v>
      </c>
      <c r="C1595" s="1">
        <v>8.8599999999999998E-3</v>
      </c>
      <c r="D1595" s="2" t="s">
        <v>0</v>
      </c>
      <c r="E1595">
        <v>2</v>
      </c>
      <c r="F1595" s="2" t="s">
        <v>1</v>
      </c>
      <c r="G1595">
        <v>2</v>
      </c>
      <c r="H1595">
        <v>18.5</v>
      </c>
      <c r="I1595" s="2" t="s">
        <v>0</v>
      </c>
      <c r="J1595">
        <v>2</v>
      </c>
      <c r="K1595" s="2" t="s">
        <v>1</v>
      </c>
      <c r="L1595">
        <v>1</v>
      </c>
      <c r="M1595">
        <v>17.5</v>
      </c>
      <c r="N1595" s="2" t="s">
        <v>476</v>
      </c>
      <c r="O1595" t="str">
        <f>D1595&amp;"-"&amp;E1595&amp;"-"&amp;F1595&amp;"-"&amp;G1595&amp;"-"&amp;H1595</f>
        <v>X-2-f-2-18.5</v>
      </c>
      <c r="P1595" t="str">
        <f>I1595&amp;"-"&amp;J1595&amp;"-"&amp;K1595&amp;"-"&amp;L1595&amp;"-"&amp;M1595</f>
        <v>X-2-f-1-17.5</v>
      </c>
      <c r="Q1595">
        <f>A1595+R1595</f>
        <v>3610.609872</v>
      </c>
      <c r="R1595">
        <f>_xlfn.IFNA(VLOOKUP(P1595,PGOPHER!A$2:G$181,7,FALSE),_xlfn.IFNA(VLOOKUP(P1595,en!A$2:I$768,7,FALSE),-10000))</f>
        <v>2371.2109719999999</v>
      </c>
      <c r="S1595">
        <f>IF(O1595=O1594,Q1594+S1594,Q1595)</f>
        <v>7221.2233339999993</v>
      </c>
      <c r="T1595">
        <f>IF(O1595=O1594,T1594+1,1)</f>
        <v>2</v>
      </c>
      <c r="U1595">
        <f>IF(O1595=O1596,"",S1595/T1595)</f>
        <v>3610.6116669999997</v>
      </c>
      <c r="V1595" t="str">
        <f>IF(U1595="","",IF(ABS(Q1595-U1595)&gt;V$1,"error",""))</f>
        <v/>
      </c>
    </row>
    <row r="1596" spans="1:22" x14ac:dyDescent="0.55000000000000004">
      <c r="A1596">
        <v>1201.8915</v>
      </c>
      <c r="B1596" s="1">
        <v>1E-3</v>
      </c>
      <c r="C1596" s="1">
        <v>1E-3</v>
      </c>
      <c r="D1596" s="2" t="s">
        <v>0</v>
      </c>
      <c r="E1596">
        <v>2</v>
      </c>
      <c r="F1596" s="2" t="s">
        <v>1</v>
      </c>
      <c r="G1596">
        <v>3</v>
      </c>
      <c r="H1596">
        <v>18.5</v>
      </c>
      <c r="I1596" s="2" t="s">
        <v>0</v>
      </c>
      <c r="J1596">
        <v>2</v>
      </c>
      <c r="K1596" s="2" t="s">
        <v>1</v>
      </c>
      <c r="L1596">
        <v>2</v>
      </c>
      <c r="M1596">
        <v>17.5</v>
      </c>
      <c r="N1596" s="2" t="s">
        <v>604</v>
      </c>
      <c r="O1596" t="str">
        <f>D1596&amp;"-"&amp;E1596&amp;"-"&amp;F1596&amp;"-"&amp;G1596&amp;"-"&amp;H1596</f>
        <v>X-2-f-3-18.5</v>
      </c>
      <c r="P1596" t="str">
        <f>I1596&amp;"-"&amp;J1596&amp;"-"&amp;K1596&amp;"-"&amp;L1596&amp;"-"&amp;M1596</f>
        <v>X-2-f-2-17.5</v>
      </c>
      <c r="Q1596">
        <f>A1596+R1596</f>
        <v>4684.2453610000002</v>
      </c>
      <c r="R1596">
        <f>_xlfn.IFNA(VLOOKUP(P1596,PGOPHER!A$2:G$181,7,FALSE),_xlfn.IFNA(VLOOKUP(P1596,en!A$2:I$768,7,FALSE),-10000))</f>
        <v>3482.3538610000001</v>
      </c>
      <c r="S1596">
        <f>IF(O1596=O1595,Q1595+S1595,Q1596)</f>
        <v>4684.2453610000002</v>
      </c>
      <c r="T1596">
        <f>IF(O1596=O1595,T1595+1,1)</f>
        <v>1</v>
      </c>
      <c r="U1596">
        <f>IF(O1596=O1597,"",S1596/T1596)</f>
        <v>4684.2453610000002</v>
      </c>
      <c r="V1596" t="str">
        <f>IF(U1596="","",IF(ABS(Q1596-U1596)&gt;V$1,"error",""))</f>
        <v/>
      </c>
    </row>
    <row r="1597" spans="1:22" x14ac:dyDescent="0.55000000000000004">
      <c r="A1597">
        <v>1163.9992</v>
      </c>
      <c r="B1597" s="1">
        <v>1E-3</v>
      </c>
      <c r="C1597" s="1">
        <v>1E-3</v>
      </c>
      <c r="D1597" s="2" t="s">
        <v>0</v>
      </c>
      <c r="E1597">
        <v>2</v>
      </c>
      <c r="F1597" s="2" t="s">
        <v>1</v>
      </c>
      <c r="G1597">
        <v>4</v>
      </c>
      <c r="H1597">
        <v>18.5</v>
      </c>
      <c r="I1597" s="2" t="s">
        <v>0</v>
      </c>
      <c r="J1597">
        <v>2</v>
      </c>
      <c r="K1597" s="2" t="s">
        <v>1</v>
      </c>
      <c r="L1597">
        <v>3</v>
      </c>
      <c r="M1597">
        <v>17.5</v>
      </c>
      <c r="N1597" s="2" t="s">
        <v>671</v>
      </c>
      <c r="O1597" t="str">
        <f>D1597&amp;"-"&amp;E1597&amp;"-"&amp;F1597&amp;"-"&amp;G1597&amp;"-"&amp;H1597</f>
        <v>X-2-f-4-18.5</v>
      </c>
      <c r="P1597" t="str">
        <f>I1597&amp;"-"&amp;J1597&amp;"-"&amp;K1597&amp;"-"&amp;L1597&amp;"-"&amp;M1597</f>
        <v>X-2-f-3-17.5</v>
      </c>
      <c r="Q1597">
        <f>A1597+R1597</f>
        <v>5723.0782060000001</v>
      </c>
      <c r="R1597">
        <f>_xlfn.IFNA(VLOOKUP(P1597,PGOPHER!A$2:G$181,7,FALSE),_xlfn.IFNA(VLOOKUP(P1597,en!A$2:I$768,7,FALSE),-10000))</f>
        <v>4559.0790059999999</v>
      </c>
      <c r="S1597">
        <f>IF(O1597=O1596,Q1596+S1596,Q1597)</f>
        <v>5723.0782060000001</v>
      </c>
      <c r="T1597">
        <f>IF(O1597=O1596,T1596+1,1)</f>
        <v>1</v>
      </c>
      <c r="U1597">
        <f>IF(O1597=O1598,"",S1597/T1597)</f>
        <v>5723.0782060000001</v>
      </c>
      <c r="V1597" t="str">
        <f>IF(U1597="","",IF(ABS(Q1597-U1597)&gt;V$1,"error",""))</f>
        <v/>
      </c>
    </row>
    <row r="1598" spans="1:22" x14ac:dyDescent="0.55000000000000004">
      <c r="A1598">
        <v>1276.7595100000001</v>
      </c>
      <c r="B1598" s="1">
        <v>1E-3</v>
      </c>
      <c r="C1598" s="1">
        <v>1E-3</v>
      </c>
      <c r="D1598" s="2" t="s">
        <v>0</v>
      </c>
      <c r="E1598">
        <v>1</v>
      </c>
      <c r="F1598" s="2" t="s">
        <v>2</v>
      </c>
      <c r="G1598">
        <v>1</v>
      </c>
      <c r="H1598">
        <v>19.5</v>
      </c>
      <c r="I1598" s="2" t="s">
        <v>0</v>
      </c>
      <c r="J1598">
        <v>1</v>
      </c>
      <c r="K1598" s="2" t="s">
        <v>2</v>
      </c>
      <c r="L1598">
        <v>0</v>
      </c>
      <c r="M1598">
        <v>18.5</v>
      </c>
      <c r="N1598" s="2" t="s">
        <v>286</v>
      </c>
      <c r="O1598" t="str">
        <f>D1598&amp;"-"&amp;E1598&amp;"-"&amp;F1598&amp;"-"&amp;G1598&amp;"-"&amp;H1598</f>
        <v>X-1-e-1-19.5</v>
      </c>
      <c r="P1598" t="str">
        <f>I1598&amp;"-"&amp;J1598&amp;"-"&amp;K1598&amp;"-"&amp;L1598&amp;"-"&amp;M1598</f>
        <v>X-1-e-0-18.5</v>
      </c>
      <c r="Q1598">
        <f>A1598+R1598</f>
        <v>2504.7688109999999</v>
      </c>
      <c r="R1598">
        <f>_xlfn.IFNA(VLOOKUP(P1598,PGOPHER!A$2:G$181,7,FALSE),_xlfn.IFNA(VLOOKUP(P1598,en!A$2:I$768,7,FALSE),-10000))</f>
        <v>1228.0093010000001</v>
      </c>
      <c r="S1598">
        <f>IF(O1598=O1597,Q1597+S1597,Q1598)</f>
        <v>2504.7688109999999</v>
      </c>
      <c r="T1598">
        <f>IF(O1598=O1597,T1597+1,1)</f>
        <v>1</v>
      </c>
      <c r="U1598" t="str">
        <f>IF(O1598=O1599,"",S1598/T1598)</f>
        <v/>
      </c>
      <c r="V1598" t="str">
        <f>IF(U1598="","",IF(ABS(Q1598-U1598)&gt;V$1,"error",""))</f>
        <v/>
      </c>
    </row>
    <row r="1599" spans="1:22" x14ac:dyDescent="0.55000000000000004">
      <c r="A1599">
        <v>1276.7600600000001</v>
      </c>
      <c r="B1599" s="1">
        <v>1E-3</v>
      </c>
      <c r="C1599" s="1">
        <v>1E-3</v>
      </c>
      <c r="D1599" s="2" t="s">
        <v>0</v>
      </c>
      <c r="E1599">
        <v>1</v>
      </c>
      <c r="F1599" s="2" t="s">
        <v>2</v>
      </c>
      <c r="G1599">
        <v>1</v>
      </c>
      <c r="H1599">
        <v>19.5</v>
      </c>
      <c r="I1599" s="2" t="s">
        <v>0</v>
      </c>
      <c r="J1599">
        <v>1</v>
      </c>
      <c r="K1599" s="2" t="s">
        <v>2</v>
      </c>
      <c r="L1599">
        <v>0</v>
      </c>
      <c r="M1599">
        <v>18.5</v>
      </c>
      <c r="N1599" s="2" t="s">
        <v>287</v>
      </c>
      <c r="O1599" t="str">
        <f>D1599&amp;"-"&amp;E1599&amp;"-"&amp;F1599&amp;"-"&amp;G1599&amp;"-"&amp;H1599</f>
        <v>X-1-e-1-19.5</v>
      </c>
      <c r="P1599" t="str">
        <f>I1599&amp;"-"&amp;J1599&amp;"-"&amp;K1599&amp;"-"&amp;L1599&amp;"-"&amp;M1599</f>
        <v>X-1-e-0-18.5</v>
      </c>
      <c r="Q1599">
        <f>A1599+R1599</f>
        <v>2504.7693610000001</v>
      </c>
      <c r="R1599">
        <f>_xlfn.IFNA(VLOOKUP(P1599,PGOPHER!A$2:G$181,7,FALSE),_xlfn.IFNA(VLOOKUP(P1599,en!A$2:I$768,7,FALSE),-10000))</f>
        <v>1228.0093010000001</v>
      </c>
      <c r="S1599">
        <f>IF(O1599=O1598,Q1598+S1598,Q1599)</f>
        <v>5009.5376219999998</v>
      </c>
      <c r="T1599">
        <f>IF(O1599=O1598,T1598+1,1)</f>
        <v>2</v>
      </c>
      <c r="U1599" t="str">
        <f>IF(O1599=O1600,"",S1599/T1599)</f>
        <v/>
      </c>
      <c r="V1599" t="str">
        <f>IF(U1599="","",IF(ABS(Q1599-U1599)&gt;V$1,"error",""))</f>
        <v/>
      </c>
    </row>
    <row r="1600" spans="1:22" x14ac:dyDescent="0.55000000000000004">
      <c r="A1600">
        <v>1001.1713999999999</v>
      </c>
      <c r="B1600" s="1">
        <v>0.01</v>
      </c>
      <c r="C1600" s="1">
        <v>0.01</v>
      </c>
      <c r="D1600" s="2" t="s">
        <v>0</v>
      </c>
      <c r="E1600">
        <v>1</v>
      </c>
      <c r="F1600" s="2" t="s">
        <v>2</v>
      </c>
      <c r="G1600">
        <v>1</v>
      </c>
      <c r="H1600">
        <v>19.5</v>
      </c>
      <c r="I1600" s="2" t="s">
        <v>0</v>
      </c>
      <c r="J1600">
        <v>1</v>
      </c>
      <c r="K1600" s="2" t="s">
        <v>2</v>
      </c>
      <c r="L1600">
        <v>0</v>
      </c>
      <c r="M1600">
        <v>20.5</v>
      </c>
      <c r="N1600" s="2" t="s">
        <v>283</v>
      </c>
      <c r="O1600" t="str">
        <f>D1600&amp;"-"&amp;E1600&amp;"-"&amp;F1600&amp;"-"&amp;G1600&amp;"-"&amp;H1600</f>
        <v>X-1-e-1-19.5</v>
      </c>
      <c r="P1600" t="str">
        <f>I1600&amp;"-"&amp;J1600&amp;"-"&amp;K1600&amp;"-"&amp;L1600&amp;"-"&amp;M1600</f>
        <v>X-1-e-0-20.5</v>
      </c>
      <c r="Q1600">
        <f>A1600+R1600</f>
        <v>2504.7696500000002</v>
      </c>
      <c r="R1600">
        <f>_xlfn.IFNA(VLOOKUP(P1600,PGOPHER!A$2:G$181,7,FALSE),_xlfn.IFNA(VLOOKUP(P1600,en!A$2:I$768,7,FALSE),-10000))</f>
        <v>1503.59825</v>
      </c>
      <c r="S1600">
        <f>IF(O1600=O1599,Q1599+S1599,Q1600)</f>
        <v>7514.3069830000004</v>
      </c>
      <c r="T1600">
        <f>IF(O1600=O1599,T1599+1,1)</f>
        <v>3</v>
      </c>
      <c r="U1600" t="str">
        <f>IF(O1600=O1601,"",S1600/T1600)</f>
        <v/>
      </c>
      <c r="V1600" t="str">
        <f>IF(U1600="","",IF(ABS(Q1600-U1600)&gt;V$1,"error",""))</f>
        <v/>
      </c>
    </row>
    <row r="1601" spans="1:22" x14ac:dyDescent="0.55000000000000004">
      <c r="A1601">
        <v>1001.17136</v>
      </c>
      <c r="B1601" s="1">
        <v>1E-3</v>
      </c>
      <c r="C1601" s="1">
        <v>1E-3</v>
      </c>
      <c r="D1601" s="2" t="s">
        <v>0</v>
      </c>
      <c r="E1601">
        <v>1</v>
      </c>
      <c r="F1601" s="2" t="s">
        <v>2</v>
      </c>
      <c r="G1601">
        <v>1</v>
      </c>
      <c r="H1601">
        <v>19.5</v>
      </c>
      <c r="I1601" s="2" t="s">
        <v>0</v>
      </c>
      <c r="J1601">
        <v>1</v>
      </c>
      <c r="K1601" s="2" t="s">
        <v>2</v>
      </c>
      <c r="L1601">
        <v>0</v>
      </c>
      <c r="M1601">
        <v>20.5</v>
      </c>
      <c r="N1601" s="2" t="s">
        <v>288</v>
      </c>
      <c r="O1601" t="str">
        <f>D1601&amp;"-"&amp;E1601&amp;"-"&amp;F1601&amp;"-"&amp;G1601&amp;"-"&amp;H1601</f>
        <v>X-1-e-1-19.5</v>
      </c>
      <c r="P1601" t="str">
        <f>I1601&amp;"-"&amp;J1601&amp;"-"&amp;K1601&amp;"-"&amp;L1601&amp;"-"&amp;M1601</f>
        <v>X-1-e-0-20.5</v>
      </c>
      <c r="Q1601">
        <f>A1601+R1601</f>
        <v>2504.7696100000003</v>
      </c>
      <c r="R1601">
        <f>_xlfn.IFNA(VLOOKUP(P1601,PGOPHER!A$2:G$181,7,FALSE),_xlfn.IFNA(VLOOKUP(P1601,en!A$2:I$768,7,FALSE),-10000))</f>
        <v>1503.59825</v>
      </c>
      <c r="S1601">
        <f>IF(O1601=O1600,Q1600+S1600,Q1601)</f>
        <v>10019.076633000001</v>
      </c>
      <c r="T1601">
        <f>IF(O1601=O1600,T1600+1,1)</f>
        <v>4</v>
      </c>
      <c r="U1601" t="str">
        <f>IF(O1601=O1602,"",S1601/T1601)</f>
        <v/>
      </c>
      <c r="V1601" t="str">
        <f>IF(U1601="","",IF(ABS(Q1601-U1601)&gt;V$1,"error",""))</f>
        <v/>
      </c>
    </row>
    <row r="1602" spans="1:22" x14ac:dyDescent="0.55000000000000004">
      <c r="A1602">
        <v>1276.7601</v>
      </c>
      <c r="B1602" s="1">
        <v>2.7699999999999999E-2</v>
      </c>
      <c r="C1602" s="1">
        <v>2.7699999999999999E-2</v>
      </c>
      <c r="D1602" s="2" t="s">
        <v>0</v>
      </c>
      <c r="E1602">
        <v>1</v>
      </c>
      <c r="F1602" s="2" t="s">
        <v>2</v>
      </c>
      <c r="G1602">
        <v>1</v>
      </c>
      <c r="H1602">
        <v>19.5</v>
      </c>
      <c r="I1602" s="2" t="s">
        <v>0</v>
      </c>
      <c r="J1602">
        <v>1</v>
      </c>
      <c r="K1602" s="2" t="s">
        <v>2</v>
      </c>
      <c r="L1602">
        <v>0</v>
      </c>
      <c r="M1602">
        <v>18.5</v>
      </c>
      <c r="N1602" s="2" t="s">
        <v>281</v>
      </c>
      <c r="O1602" t="str">
        <f>D1602&amp;"-"&amp;E1602&amp;"-"&amp;F1602&amp;"-"&amp;G1602&amp;"-"&amp;H1602</f>
        <v>X-1-e-1-19.5</v>
      </c>
      <c r="P1602" t="str">
        <f>I1602&amp;"-"&amp;J1602&amp;"-"&amp;K1602&amp;"-"&amp;L1602&amp;"-"&amp;M1602</f>
        <v>X-1-e-0-18.5</v>
      </c>
      <c r="Q1602">
        <f>A1602+R1602</f>
        <v>2504.769401</v>
      </c>
      <c r="R1602">
        <f>_xlfn.IFNA(VLOOKUP(P1602,PGOPHER!A$2:G$181,7,FALSE),_xlfn.IFNA(VLOOKUP(P1602,en!A$2:I$768,7,FALSE),-10000))</f>
        <v>1228.0093010000001</v>
      </c>
      <c r="S1602">
        <f>IF(O1602=O1601,Q1601+S1601,Q1602)</f>
        <v>12523.846243</v>
      </c>
      <c r="T1602">
        <f>IF(O1602=O1601,T1601+1,1)</f>
        <v>5</v>
      </c>
      <c r="U1602" t="str">
        <f>IF(O1602=O1603,"",S1602/T1602)</f>
        <v/>
      </c>
      <c r="V1602" t="str">
        <f>IF(U1602="","",IF(ABS(Q1602-U1602)&gt;V$1,"error",""))</f>
        <v/>
      </c>
    </row>
    <row r="1603" spans="1:22" x14ac:dyDescent="0.55000000000000004">
      <c r="A1603">
        <v>1001.17021</v>
      </c>
      <c r="B1603" s="1">
        <v>1E-3</v>
      </c>
      <c r="C1603" s="1">
        <v>1E-3</v>
      </c>
      <c r="D1603" s="2" t="s">
        <v>0</v>
      </c>
      <c r="E1603">
        <v>1</v>
      </c>
      <c r="F1603" s="2" t="s">
        <v>2</v>
      </c>
      <c r="G1603">
        <v>1</v>
      </c>
      <c r="H1603">
        <v>19.5</v>
      </c>
      <c r="I1603" s="2" t="s">
        <v>0</v>
      </c>
      <c r="J1603">
        <v>1</v>
      </c>
      <c r="K1603" s="2" t="s">
        <v>2</v>
      </c>
      <c r="L1603">
        <v>0</v>
      </c>
      <c r="M1603">
        <v>20.5</v>
      </c>
      <c r="N1603" s="2" t="s">
        <v>285</v>
      </c>
      <c r="O1603" t="str">
        <f>D1603&amp;"-"&amp;E1603&amp;"-"&amp;F1603&amp;"-"&amp;G1603&amp;"-"&amp;H1603</f>
        <v>X-1-e-1-19.5</v>
      </c>
      <c r="P1603" t="str">
        <f>I1603&amp;"-"&amp;J1603&amp;"-"&amp;K1603&amp;"-"&amp;L1603&amp;"-"&amp;M1603</f>
        <v>X-1-e-0-20.5</v>
      </c>
      <c r="Q1603">
        <f>A1603+R1603</f>
        <v>2504.7684600000002</v>
      </c>
      <c r="R1603">
        <f>_xlfn.IFNA(VLOOKUP(P1603,PGOPHER!A$2:G$181,7,FALSE),_xlfn.IFNA(VLOOKUP(P1603,en!A$2:I$768,7,FALSE),-10000))</f>
        <v>1503.59825</v>
      </c>
      <c r="S1603">
        <f>IF(O1603=O1602,Q1602+S1602,Q1603)</f>
        <v>15028.615644</v>
      </c>
      <c r="T1603">
        <f>IF(O1603=O1602,T1602+1,1)</f>
        <v>6</v>
      </c>
      <c r="U1603">
        <f>IF(O1603=O1604,"",S1603/T1603)</f>
        <v>2504.7692739999998</v>
      </c>
      <c r="V1603" t="str">
        <f>IF(U1603="","",IF(ABS(Q1603-U1603)&gt;V$1,"error",""))</f>
        <v/>
      </c>
    </row>
    <row r="1604" spans="1:22" x14ac:dyDescent="0.55000000000000004">
      <c r="A1604">
        <v>970.09029999999996</v>
      </c>
      <c r="B1604" s="1">
        <v>3.0700000000000002E-2</v>
      </c>
      <c r="C1604" s="1">
        <v>3.0700000000000002E-2</v>
      </c>
      <c r="D1604" s="2" t="s">
        <v>0</v>
      </c>
      <c r="E1604">
        <v>1</v>
      </c>
      <c r="F1604" s="2" t="s">
        <v>2</v>
      </c>
      <c r="G1604">
        <v>2</v>
      </c>
      <c r="H1604">
        <v>19.5</v>
      </c>
      <c r="I1604" s="2" t="s">
        <v>0</v>
      </c>
      <c r="J1604">
        <v>1</v>
      </c>
      <c r="K1604" s="2" t="s">
        <v>2</v>
      </c>
      <c r="L1604">
        <v>1</v>
      </c>
      <c r="M1604">
        <v>20.5</v>
      </c>
      <c r="N1604" s="2" t="s">
        <v>481</v>
      </c>
      <c r="O1604" t="str">
        <f>D1604&amp;"-"&amp;E1604&amp;"-"&amp;F1604&amp;"-"&amp;G1604&amp;"-"&amp;H1604</f>
        <v>X-1-e-2-19.5</v>
      </c>
      <c r="P1604" t="str">
        <f>I1604&amp;"-"&amp;J1604&amp;"-"&amp;K1604&amp;"-"&amp;L1604&amp;"-"&amp;M1604</f>
        <v>X-1-e-1-20.5</v>
      </c>
      <c r="Q1604">
        <f>A1604+R1604</f>
        <v>3612.783383</v>
      </c>
      <c r="R1604">
        <f>_xlfn.IFNA(VLOOKUP(P1604,PGOPHER!A$2:G$181,7,FALSE),_xlfn.IFNA(VLOOKUP(P1604,en!A$2:I$768,7,FALSE),-10000))</f>
        <v>2642.6930830000001</v>
      </c>
      <c r="S1604">
        <f>IF(O1604=O1603,Q1603+S1603,Q1604)</f>
        <v>3612.783383</v>
      </c>
      <c r="T1604">
        <f>IF(O1604=O1603,T1603+1,1)</f>
        <v>1</v>
      </c>
      <c r="U1604" t="str">
        <f>IF(O1604=O1605,"",S1604/T1604)</f>
        <v/>
      </c>
      <c r="V1604" t="str">
        <f>IF(U1604="","",IF(ABS(Q1604-U1604)&gt;V$1,"error",""))</f>
        <v/>
      </c>
    </row>
    <row r="1605" spans="1:22" x14ac:dyDescent="0.55000000000000004">
      <c r="A1605">
        <v>1239.4276</v>
      </c>
      <c r="B1605" s="1">
        <v>2.76E-2</v>
      </c>
      <c r="C1605" s="1">
        <v>2.76E-2</v>
      </c>
      <c r="D1605" s="2" t="s">
        <v>0</v>
      </c>
      <c r="E1605">
        <v>1</v>
      </c>
      <c r="F1605" s="2" t="s">
        <v>2</v>
      </c>
      <c r="G1605">
        <v>2</v>
      </c>
      <c r="H1605">
        <v>19.5</v>
      </c>
      <c r="I1605" s="2" t="s">
        <v>0</v>
      </c>
      <c r="J1605">
        <v>1</v>
      </c>
      <c r="K1605" s="2" t="s">
        <v>2</v>
      </c>
      <c r="L1605">
        <v>1</v>
      </c>
      <c r="M1605">
        <v>18.5</v>
      </c>
      <c r="N1605" s="2" t="s">
        <v>479</v>
      </c>
      <c r="O1605" t="str">
        <f>D1605&amp;"-"&amp;E1605&amp;"-"&amp;F1605&amp;"-"&amp;G1605&amp;"-"&amp;H1605</f>
        <v>X-1-e-2-19.5</v>
      </c>
      <c r="P1605" t="str">
        <f>I1605&amp;"-"&amp;J1605&amp;"-"&amp;K1605&amp;"-"&amp;L1605&amp;"-"&amp;M1605</f>
        <v>X-1-e-1-18.5</v>
      </c>
      <c r="Q1605">
        <f>A1605+R1605</f>
        <v>3612.7833900000001</v>
      </c>
      <c r="R1605">
        <f>_xlfn.IFNA(VLOOKUP(P1605,PGOPHER!A$2:G$181,7,FALSE),_xlfn.IFNA(VLOOKUP(P1605,en!A$2:I$768,7,FALSE),-10000))</f>
        <v>2373.3557900000001</v>
      </c>
      <c r="S1605">
        <f>IF(O1605=O1604,Q1604+S1604,Q1605)</f>
        <v>7225.5667659999999</v>
      </c>
      <c r="T1605">
        <f>IF(O1605=O1604,T1604+1,1)</f>
        <v>2</v>
      </c>
      <c r="U1605">
        <f>IF(O1605=O1606,"",S1605/T1605)</f>
        <v>3612.783383</v>
      </c>
      <c r="V1605" t="str">
        <f>IF(U1605="","",IF(ABS(Q1605-U1605)&gt;V$1,"error",""))</f>
        <v/>
      </c>
    </row>
    <row r="1606" spans="1:22" x14ac:dyDescent="0.55000000000000004">
      <c r="A1606">
        <v>938.86120000000005</v>
      </c>
      <c r="B1606" s="1">
        <v>1E-3</v>
      </c>
      <c r="C1606" s="1">
        <v>1E-3</v>
      </c>
      <c r="D1606" s="2" t="s">
        <v>0</v>
      </c>
      <c r="E1606">
        <v>1</v>
      </c>
      <c r="F1606" s="2" t="s">
        <v>2</v>
      </c>
      <c r="G1606">
        <v>3</v>
      </c>
      <c r="H1606">
        <v>19.5</v>
      </c>
      <c r="I1606" s="2" t="s">
        <v>0</v>
      </c>
      <c r="J1606">
        <v>1</v>
      </c>
      <c r="K1606" s="2" t="s">
        <v>2</v>
      </c>
      <c r="L1606">
        <v>2</v>
      </c>
      <c r="M1606">
        <v>20.5</v>
      </c>
      <c r="N1606" s="2" t="s">
        <v>606</v>
      </c>
      <c r="O1606" t="str">
        <f>D1606&amp;"-"&amp;E1606&amp;"-"&amp;F1606&amp;"-"&amp;G1606&amp;"-"&amp;H1606</f>
        <v>X-1-e-3-19.5</v>
      </c>
      <c r="P1606" t="str">
        <f>I1606&amp;"-"&amp;J1606&amp;"-"&amp;K1606&amp;"-"&amp;L1606&amp;"-"&amp;M1606</f>
        <v>X-1-e-2-20.5</v>
      </c>
      <c r="Q1606">
        <f>A1606+R1606</f>
        <v>4686.3411340000002</v>
      </c>
      <c r="R1606">
        <f>_xlfn.IFNA(VLOOKUP(P1606,PGOPHER!A$2:G$181,7,FALSE),_xlfn.IFNA(VLOOKUP(P1606,en!A$2:I$768,7,FALSE),-10000))</f>
        <v>3747.479934</v>
      </c>
      <c r="S1606">
        <f>IF(O1606=O1605,Q1605+S1605,Q1606)</f>
        <v>4686.3411340000002</v>
      </c>
      <c r="T1606">
        <f>IF(O1606=O1605,T1605+1,1)</f>
        <v>1</v>
      </c>
      <c r="U1606" t="str">
        <f>IF(O1606=O1607,"",S1606/T1606)</f>
        <v/>
      </c>
      <c r="V1606" t="str">
        <f>IF(U1606="","",IF(ABS(Q1606-U1606)&gt;V$1,"error",""))</f>
        <v/>
      </c>
    </row>
    <row r="1607" spans="1:22" x14ac:dyDescent="0.55000000000000004">
      <c r="A1607">
        <v>1201.9168</v>
      </c>
      <c r="B1607" s="1">
        <v>1E-3</v>
      </c>
      <c r="C1607" s="1">
        <v>1E-3</v>
      </c>
      <c r="D1607" s="2" t="s">
        <v>0</v>
      </c>
      <c r="E1607">
        <v>1</v>
      </c>
      <c r="F1607" s="2" t="s">
        <v>2</v>
      </c>
      <c r="G1607">
        <v>3</v>
      </c>
      <c r="H1607">
        <v>19.5</v>
      </c>
      <c r="I1607" s="2" t="s">
        <v>0</v>
      </c>
      <c r="J1607">
        <v>1</v>
      </c>
      <c r="K1607" s="2" t="s">
        <v>2</v>
      </c>
      <c r="L1607">
        <v>2</v>
      </c>
      <c r="M1607">
        <v>18.5</v>
      </c>
      <c r="N1607" s="2" t="s">
        <v>605</v>
      </c>
      <c r="O1607" t="str">
        <f>D1607&amp;"-"&amp;E1607&amp;"-"&amp;F1607&amp;"-"&amp;G1607&amp;"-"&amp;H1607</f>
        <v>X-1-e-3-19.5</v>
      </c>
      <c r="P1607" t="str">
        <f>I1607&amp;"-"&amp;J1607&amp;"-"&amp;K1607&amp;"-"&amp;L1607&amp;"-"&amp;M1607</f>
        <v>X-1-e-2-18.5</v>
      </c>
      <c r="Q1607">
        <f>A1607+R1607</f>
        <v>4686.3407590000006</v>
      </c>
      <c r="R1607">
        <f>_xlfn.IFNA(VLOOKUP(P1607,PGOPHER!A$2:G$181,7,FALSE),_xlfn.IFNA(VLOOKUP(P1607,en!A$2:I$768,7,FALSE),-10000))</f>
        <v>3484.4239590000002</v>
      </c>
      <c r="S1607">
        <f>IF(O1607=O1606,Q1606+S1606,Q1607)</f>
        <v>9372.6822680000005</v>
      </c>
      <c r="T1607">
        <f>IF(O1607=O1606,T1606+1,1)</f>
        <v>2</v>
      </c>
      <c r="U1607">
        <f>IF(O1607=O1608,"",S1607/T1607)</f>
        <v>4686.3411340000002</v>
      </c>
      <c r="V1607" t="str">
        <f>IF(U1607="","",IF(ABS(Q1607-U1607)&gt;V$1,"error",""))</f>
        <v/>
      </c>
    </row>
    <row r="1608" spans="1:22" x14ac:dyDescent="0.55000000000000004">
      <c r="A1608">
        <v>1164.018</v>
      </c>
      <c r="B1608" s="1">
        <v>1E-3</v>
      </c>
      <c r="C1608" s="1">
        <v>1E-3</v>
      </c>
      <c r="D1608" s="2" t="s">
        <v>0</v>
      </c>
      <c r="E1608">
        <v>1</v>
      </c>
      <c r="F1608" s="2" t="s">
        <v>2</v>
      </c>
      <c r="G1608">
        <v>4</v>
      </c>
      <c r="H1608">
        <v>19.5</v>
      </c>
      <c r="I1608" s="2" t="s">
        <v>0</v>
      </c>
      <c r="J1608">
        <v>1</v>
      </c>
      <c r="K1608" s="2" t="s">
        <v>2</v>
      </c>
      <c r="L1608">
        <v>3</v>
      </c>
      <c r="M1608">
        <v>18.5</v>
      </c>
      <c r="N1608" s="2" t="s">
        <v>672</v>
      </c>
      <c r="O1608" t="str">
        <f>D1608&amp;"-"&amp;E1608&amp;"-"&amp;F1608&amp;"-"&amp;G1608&amp;"-"&amp;H1608</f>
        <v>X-1-e-4-19.5</v>
      </c>
      <c r="P1608" t="str">
        <f>I1608&amp;"-"&amp;J1608&amp;"-"&amp;K1608&amp;"-"&amp;L1608&amp;"-"&amp;M1608</f>
        <v>X-1-e-3-18.5</v>
      </c>
      <c r="Q1608">
        <f>A1608+R1608</f>
        <v>5725.0889459999999</v>
      </c>
      <c r="R1608">
        <f>_xlfn.IFNA(VLOOKUP(P1608,PGOPHER!A$2:G$181,7,FALSE),_xlfn.IFNA(VLOOKUP(P1608,en!A$2:I$768,7,FALSE),-10000))</f>
        <v>4561.0709459999998</v>
      </c>
      <c r="S1608">
        <f>IF(O1608=O1607,Q1607+S1607,Q1608)</f>
        <v>5725.0889459999999</v>
      </c>
      <c r="T1608">
        <f>IF(O1608=O1607,T1607+1,1)</f>
        <v>1</v>
      </c>
      <c r="U1608">
        <f>IF(O1608=O1609,"",S1608/T1608)</f>
        <v>5725.0889459999999</v>
      </c>
      <c r="V1608" t="str">
        <f>IF(U1608="","",IF(ABS(Q1608-U1608)&gt;V$1,"error",""))</f>
        <v/>
      </c>
    </row>
    <row r="1609" spans="1:22" x14ac:dyDescent="0.55000000000000004">
      <c r="A1609">
        <v>1280.1917000000001</v>
      </c>
      <c r="B1609" s="1">
        <v>0.13900000000000001</v>
      </c>
      <c r="C1609" s="1">
        <v>0.13900000000000001</v>
      </c>
      <c r="D1609" s="2" t="s">
        <v>0</v>
      </c>
      <c r="E1609">
        <v>2</v>
      </c>
      <c r="F1609" s="2" t="s">
        <v>1</v>
      </c>
      <c r="G1609">
        <v>1</v>
      </c>
      <c r="H1609">
        <v>19.5</v>
      </c>
      <c r="I1609" s="2" t="s">
        <v>0</v>
      </c>
      <c r="J1609">
        <v>2</v>
      </c>
      <c r="K1609" s="2" t="s">
        <v>1</v>
      </c>
      <c r="L1609">
        <v>0</v>
      </c>
      <c r="M1609">
        <v>18.5</v>
      </c>
      <c r="N1609" s="2" t="s">
        <v>282</v>
      </c>
      <c r="O1609" t="str">
        <f>D1609&amp;"-"&amp;E1609&amp;"-"&amp;F1609&amp;"-"&amp;G1609&amp;"-"&amp;H1609</f>
        <v>X-2-f-1-19.5</v>
      </c>
      <c r="P1609" t="str">
        <f>I1609&amp;"-"&amp;J1609&amp;"-"&amp;K1609&amp;"-"&amp;L1609&amp;"-"&amp;M1609</f>
        <v>X-2-f-0-18.5</v>
      </c>
      <c r="Q1609">
        <f>A1609+R1609</f>
        <v>2640.3362459999998</v>
      </c>
      <c r="R1609">
        <f>_xlfn.IFNA(VLOOKUP(P1609,PGOPHER!A$2:G$181,7,FALSE),_xlfn.IFNA(VLOOKUP(P1609,en!A$2:I$768,7,FALSE),-10000))</f>
        <v>1360.144546</v>
      </c>
      <c r="S1609">
        <f>IF(O1609=O1608,Q1608+S1608,Q1609)</f>
        <v>2640.3362459999998</v>
      </c>
      <c r="T1609">
        <f>IF(O1609=O1608,T1608+1,1)</f>
        <v>1</v>
      </c>
      <c r="U1609" t="str">
        <f>IF(O1609=O1610,"",S1609/T1609)</f>
        <v/>
      </c>
      <c r="V1609" t="str">
        <f>IF(U1609="","",IF(ABS(Q1609-U1609)&gt;V$1,"error",""))</f>
        <v/>
      </c>
    </row>
    <row r="1610" spans="1:22" x14ac:dyDescent="0.55000000000000004">
      <c r="A1610">
        <v>1280.1916699999999</v>
      </c>
      <c r="B1610" s="1">
        <v>1.5640000000000001E-3</v>
      </c>
      <c r="C1610" s="1">
        <v>1.5640000000000001E-3</v>
      </c>
      <c r="D1610" s="2" t="s">
        <v>0</v>
      </c>
      <c r="E1610">
        <v>2</v>
      </c>
      <c r="F1610" s="2" t="s">
        <v>1</v>
      </c>
      <c r="G1610">
        <v>1</v>
      </c>
      <c r="H1610">
        <v>19.5</v>
      </c>
      <c r="I1610" s="2" t="s">
        <v>0</v>
      </c>
      <c r="J1610">
        <v>2</v>
      </c>
      <c r="K1610" s="2" t="s">
        <v>1</v>
      </c>
      <c r="L1610">
        <v>0</v>
      </c>
      <c r="M1610">
        <v>18.5</v>
      </c>
      <c r="N1610" s="2" t="s">
        <v>289</v>
      </c>
      <c r="O1610" t="str">
        <f>D1610&amp;"-"&amp;E1610&amp;"-"&amp;F1610&amp;"-"&amp;G1610&amp;"-"&amp;H1610</f>
        <v>X-2-f-1-19.5</v>
      </c>
      <c r="P1610" t="str">
        <f>I1610&amp;"-"&amp;J1610&amp;"-"&amp;K1610&amp;"-"&amp;L1610&amp;"-"&amp;M1610</f>
        <v>X-2-f-0-18.5</v>
      </c>
      <c r="Q1610">
        <f>A1610+R1610</f>
        <v>2640.3362159999997</v>
      </c>
      <c r="R1610">
        <f>_xlfn.IFNA(VLOOKUP(P1610,PGOPHER!A$2:G$181,7,FALSE),_xlfn.IFNA(VLOOKUP(P1610,en!A$2:I$768,7,FALSE),-10000))</f>
        <v>1360.144546</v>
      </c>
      <c r="S1610">
        <f>IF(O1610=O1609,Q1609+S1609,Q1610)</f>
        <v>5280.6724919999997</v>
      </c>
      <c r="T1610">
        <f>IF(O1610=O1609,T1609+1,1)</f>
        <v>2</v>
      </c>
      <c r="U1610" t="str">
        <f>IF(O1610=O1611,"",S1610/T1610)</f>
        <v/>
      </c>
      <c r="V1610" t="str">
        <f>IF(U1610="","",IF(ABS(Q1610-U1610)&gt;V$1,"error",""))</f>
        <v/>
      </c>
    </row>
    <row r="1611" spans="1:22" x14ac:dyDescent="0.55000000000000004">
      <c r="A1611">
        <v>991.5557</v>
      </c>
      <c r="B1611" s="1">
        <v>4.9700000000000001E-2</v>
      </c>
      <c r="C1611" s="1">
        <v>4.9700000000000001E-2</v>
      </c>
      <c r="D1611" s="2" t="s">
        <v>0</v>
      </c>
      <c r="E1611">
        <v>2</v>
      </c>
      <c r="F1611" s="2" t="s">
        <v>1</v>
      </c>
      <c r="G1611">
        <v>1</v>
      </c>
      <c r="H1611">
        <v>19.5</v>
      </c>
      <c r="I1611" s="2" t="s">
        <v>0</v>
      </c>
      <c r="J1611">
        <v>2</v>
      </c>
      <c r="K1611" s="2" t="s">
        <v>1</v>
      </c>
      <c r="L1611">
        <v>0</v>
      </c>
      <c r="M1611">
        <v>20.5</v>
      </c>
      <c r="N1611" s="2" t="s">
        <v>284</v>
      </c>
      <c r="O1611" t="str">
        <f>D1611&amp;"-"&amp;E1611&amp;"-"&amp;F1611&amp;"-"&amp;G1611&amp;"-"&amp;H1611</f>
        <v>X-2-f-1-19.5</v>
      </c>
      <c r="P1611" t="str">
        <f>I1611&amp;"-"&amp;J1611&amp;"-"&amp;K1611&amp;"-"&amp;L1611&amp;"-"&amp;M1611</f>
        <v>X-2-f-0-20.5</v>
      </c>
      <c r="Q1611">
        <f>A1611+R1611</f>
        <v>2640.33727</v>
      </c>
      <c r="R1611">
        <f>_xlfn.IFNA(VLOOKUP(P1611,PGOPHER!A$2:G$181,7,FALSE),_xlfn.IFNA(VLOOKUP(P1611,en!A$2:I$768,7,FALSE),-10000))</f>
        <v>1648.7815700000001</v>
      </c>
      <c r="S1611">
        <f>IF(O1611=O1610,Q1610+S1610,Q1611)</f>
        <v>7921.0087079999994</v>
      </c>
      <c r="T1611">
        <f>IF(O1611=O1610,T1610+1,1)</f>
        <v>3</v>
      </c>
      <c r="U1611" t="str">
        <f>IF(O1611=O1612,"",S1611/T1611)</f>
        <v/>
      </c>
      <c r="V1611" t="str">
        <f>IF(U1611="","",IF(ABS(Q1611-U1611)&gt;V$1,"error",""))</f>
        <v/>
      </c>
    </row>
    <row r="1612" spans="1:22" x14ac:dyDescent="0.55000000000000004">
      <c r="A1612">
        <v>991.55570999999998</v>
      </c>
      <c r="B1612" s="1">
        <v>1.552E-3</v>
      </c>
      <c r="C1612" s="1">
        <v>1.552E-3</v>
      </c>
      <c r="D1612" s="2" t="s">
        <v>0</v>
      </c>
      <c r="E1612">
        <v>2</v>
      </c>
      <c r="F1612" s="2" t="s">
        <v>1</v>
      </c>
      <c r="G1612">
        <v>1</v>
      </c>
      <c r="H1612">
        <v>19.5</v>
      </c>
      <c r="I1612" s="2" t="s">
        <v>0</v>
      </c>
      <c r="J1612">
        <v>2</v>
      </c>
      <c r="K1612" s="2" t="s">
        <v>1</v>
      </c>
      <c r="L1612">
        <v>0</v>
      </c>
      <c r="M1612">
        <v>20.5</v>
      </c>
      <c r="N1612" s="2" t="s">
        <v>290</v>
      </c>
      <c r="O1612" t="str">
        <f>D1612&amp;"-"&amp;E1612&amp;"-"&amp;F1612&amp;"-"&amp;G1612&amp;"-"&amp;H1612</f>
        <v>X-2-f-1-19.5</v>
      </c>
      <c r="P1612" t="str">
        <f>I1612&amp;"-"&amp;J1612&amp;"-"&amp;K1612&amp;"-"&amp;L1612&amp;"-"&amp;M1612</f>
        <v>X-2-f-0-20.5</v>
      </c>
      <c r="Q1612">
        <f>A1612+R1612</f>
        <v>2640.3372800000002</v>
      </c>
      <c r="R1612">
        <f>_xlfn.IFNA(VLOOKUP(P1612,PGOPHER!A$2:G$181,7,FALSE),_xlfn.IFNA(VLOOKUP(P1612,en!A$2:I$768,7,FALSE),-10000))</f>
        <v>1648.7815700000001</v>
      </c>
      <c r="S1612">
        <f>IF(O1612=O1611,Q1611+S1611,Q1612)</f>
        <v>10561.345977999999</v>
      </c>
      <c r="T1612">
        <f>IF(O1612=O1611,T1611+1,1)</f>
        <v>4</v>
      </c>
      <c r="U1612">
        <f>IF(O1612=O1613,"",S1612/T1612)</f>
        <v>2640.3364944999998</v>
      </c>
      <c r="V1612" t="str">
        <f>IF(U1612="","",IF(ABS(Q1612-U1612)&gt;V$1,"error",""))</f>
        <v/>
      </c>
    </row>
    <row r="1613" spans="1:22" x14ac:dyDescent="0.55000000000000004">
      <c r="A1613">
        <v>960.61339999999996</v>
      </c>
      <c r="B1613" s="1">
        <v>1E-3</v>
      </c>
      <c r="C1613" s="1">
        <v>1E-3</v>
      </c>
      <c r="D1613" s="2" t="s">
        <v>0</v>
      </c>
      <c r="E1613">
        <v>2</v>
      </c>
      <c r="F1613" s="2" t="s">
        <v>1</v>
      </c>
      <c r="G1613">
        <v>2</v>
      </c>
      <c r="H1613">
        <v>19.5</v>
      </c>
      <c r="I1613" s="2" t="s">
        <v>0</v>
      </c>
      <c r="J1613">
        <v>2</v>
      </c>
      <c r="K1613" s="2" t="s">
        <v>1</v>
      </c>
      <c r="L1613">
        <v>1</v>
      </c>
      <c r="M1613">
        <v>20.5</v>
      </c>
      <c r="N1613" s="2" t="s">
        <v>482</v>
      </c>
      <c r="O1613" t="str">
        <f>D1613&amp;"-"&amp;E1613&amp;"-"&amp;F1613&amp;"-"&amp;G1613&amp;"-"&amp;H1613</f>
        <v>X-2-f-2-19.5</v>
      </c>
      <c r="P1613" t="str">
        <f>I1613&amp;"-"&amp;J1613&amp;"-"&amp;K1613&amp;"-"&amp;L1613&amp;"-"&amp;M1613</f>
        <v>X-2-f-1-20.5</v>
      </c>
      <c r="Q1613">
        <f>A1613+R1613</f>
        <v>3745.2047419999999</v>
      </c>
      <c r="R1613">
        <f>_xlfn.IFNA(VLOOKUP(P1613,PGOPHER!A$2:G$181,7,FALSE),_xlfn.IFNA(VLOOKUP(P1613,en!A$2:I$768,7,FALSE),-10000))</f>
        <v>2784.5913420000002</v>
      </c>
      <c r="S1613">
        <f>IF(O1613=O1612,Q1612+S1612,Q1613)</f>
        <v>3745.2047419999999</v>
      </c>
      <c r="T1613">
        <f>IF(O1613=O1612,T1612+1,1)</f>
        <v>1</v>
      </c>
      <c r="U1613" t="str">
        <f>IF(O1613=O1614,"",S1613/T1613)</f>
        <v/>
      </c>
      <c r="V1613" t="str">
        <f>IF(U1613="","",IF(ABS(Q1613-U1613)&gt;V$1,"error",""))</f>
        <v/>
      </c>
    </row>
    <row r="1614" spans="1:22" x14ac:dyDescent="0.55000000000000004">
      <c r="A1614">
        <v>1242.6862000000001</v>
      </c>
      <c r="B1614" s="1">
        <v>1E-3</v>
      </c>
      <c r="C1614" s="1">
        <v>1E-3</v>
      </c>
      <c r="D1614" s="2" t="s">
        <v>0</v>
      </c>
      <c r="E1614">
        <v>2</v>
      </c>
      <c r="F1614" s="2" t="s">
        <v>1</v>
      </c>
      <c r="G1614">
        <v>2</v>
      </c>
      <c r="H1614">
        <v>19.5</v>
      </c>
      <c r="I1614" s="2" t="s">
        <v>0</v>
      </c>
      <c r="J1614">
        <v>2</v>
      </c>
      <c r="K1614" s="2" t="s">
        <v>1</v>
      </c>
      <c r="L1614">
        <v>1</v>
      </c>
      <c r="M1614">
        <v>18.5</v>
      </c>
      <c r="N1614" s="2" t="s">
        <v>480</v>
      </c>
      <c r="O1614" t="str">
        <f>D1614&amp;"-"&amp;E1614&amp;"-"&amp;F1614&amp;"-"&amp;G1614&amp;"-"&amp;H1614</f>
        <v>X-2-f-2-19.5</v>
      </c>
      <c r="P1614" t="str">
        <f>I1614&amp;"-"&amp;J1614&amp;"-"&amp;K1614&amp;"-"&amp;L1614&amp;"-"&amp;M1614</f>
        <v>X-2-f-1-18.5</v>
      </c>
      <c r="Q1614">
        <f>A1614+R1614</f>
        <v>3745.2045090000001</v>
      </c>
      <c r="R1614">
        <f>_xlfn.IFNA(VLOOKUP(P1614,PGOPHER!A$2:G$181,7,FALSE),_xlfn.IFNA(VLOOKUP(P1614,en!A$2:I$768,7,FALSE),-10000))</f>
        <v>2502.518309</v>
      </c>
      <c r="S1614">
        <f>IF(O1614=O1613,Q1613+S1613,Q1614)</f>
        <v>7490.4094839999998</v>
      </c>
      <c r="T1614">
        <f>IF(O1614=O1613,T1613+1,1)</f>
        <v>2</v>
      </c>
      <c r="U1614">
        <f>IF(O1614=O1615,"",S1614/T1614)</f>
        <v>3745.2047419999999</v>
      </c>
      <c r="V1614" t="str">
        <f>IF(U1614="","",IF(ABS(Q1614-U1614)&gt;V$1,"error",""))</f>
        <v/>
      </c>
    </row>
    <row r="1615" spans="1:22" x14ac:dyDescent="0.55000000000000004">
      <c r="A1615">
        <v>929.5145</v>
      </c>
      <c r="B1615" s="1">
        <v>1E-3</v>
      </c>
      <c r="C1615" s="1">
        <v>1E-3</v>
      </c>
      <c r="D1615" s="2" t="s">
        <v>0</v>
      </c>
      <c r="E1615">
        <v>2</v>
      </c>
      <c r="F1615" s="2" t="s">
        <v>1</v>
      </c>
      <c r="G1615">
        <v>3</v>
      </c>
      <c r="H1615">
        <v>19.5</v>
      </c>
      <c r="I1615" s="2" t="s">
        <v>0</v>
      </c>
      <c r="J1615">
        <v>2</v>
      </c>
      <c r="K1615" s="2" t="s">
        <v>1</v>
      </c>
      <c r="L1615">
        <v>2</v>
      </c>
      <c r="M1615">
        <v>20.5</v>
      </c>
      <c r="N1615" s="2" t="s">
        <v>608</v>
      </c>
      <c r="O1615" t="str">
        <f>D1615&amp;"-"&amp;E1615&amp;"-"&amp;F1615&amp;"-"&amp;G1615&amp;"-"&amp;H1615</f>
        <v>X-2-f-3-19.5</v>
      </c>
      <c r="P1615" t="str">
        <f>I1615&amp;"-"&amp;J1615&amp;"-"&amp;K1615&amp;"-"&amp;L1615&amp;"-"&amp;M1615</f>
        <v>X-2-f-2-20.5</v>
      </c>
      <c r="Q1615">
        <f>A1615+R1615</f>
        <v>4815.6021330000003</v>
      </c>
      <c r="R1615">
        <f>_xlfn.IFNA(VLOOKUP(P1615,PGOPHER!A$2:G$181,7,FALSE),_xlfn.IFNA(VLOOKUP(P1615,en!A$2:I$768,7,FALSE),-10000))</f>
        <v>3886.0876330000001</v>
      </c>
      <c r="S1615">
        <f>IF(O1615=O1614,Q1614+S1614,Q1615)</f>
        <v>4815.6021330000003</v>
      </c>
      <c r="T1615">
        <f>IF(O1615=O1614,T1614+1,1)</f>
        <v>1</v>
      </c>
      <c r="U1615" t="str">
        <f>IF(O1615=O1616,"",S1615/T1615)</f>
        <v/>
      </c>
      <c r="V1615" t="str">
        <f>IF(U1615="","",IF(ABS(Q1615-U1615)&gt;V$1,"error",""))</f>
        <v/>
      </c>
    </row>
    <row r="1616" spans="1:22" x14ac:dyDescent="0.55000000000000004">
      <c r="A1616">
        <v>1204.992</v>
      </c>
      <c r="B1616" s="1">
        <v>1E-3</v>
      </c>
      <c r="C1616" s="1">
        <v>1E-3</v>
      </c>
      <c r="D1616" s="2" t="s">
        <v>0</v>
      </c>
      <c r="E1616">
        <v>2</v>
      </c>
      <c r="F1616" s="2" t="s">
        <v>1</v>
      </c>
      <c r="G1616">
        <v>3</v>
      </c>
      <c r="H1616">
        <v>19.5</v>
      </c>
      <c r="I1616" s="2" t="s">
        <v>0</v>
      </c>
      <c r="J1616">
        <v>2</v>
      </c>
      <c r="K1616" s="2" t="s">
        <v>1</v>
      </c>
      <c r="L1616">
        <v>2</v>
      </c>
      <c r="M1616">
        <v>18.5</v>
      </c>
      <c r="N1616" s="2" t="s">
        <v>607</v>
      </c>
      <c r="O1616" t="str">
        <f>D1616&amp;"-"&amp;E1616&amp;"-"&amp;F1616&amp;"-"&amp;G1616&amp;"-"&amp;H1616</f>
        <v>X-2-f-3-19.5</v>
      </c>
      <c r="P1616" t="str">
        <f>I1616&amp;"-"&amp;J1616&amp;"-"&amp;K1616&amp;"-"&amp;L1616&amp;"-"&amp;M1616</f>
        <v>X-2-f-2-18.5</v>
      </c>
      <c r="Q1616">
        <f>A1616+R1616</f>
        <v>4815.6021279999995</v>
      </c>
      <c r="R1616">
        <f>_xlfn.IFNA(VLOOKUP(P1616,PGOPHER!A$2:G$181,7,FALSE),_xlfn.IFNA(VLOOKUP(P1616,en!A$2:I$768,7,FALSE),-10000))</f>
        <v>3610.6101279999998</v>
      </c>
      <c r="S1616">
        <f>IF(O1616=O1615,Q1615+S1615,Q1616)</f>
        <v>9631.2042660000006</v>
      </c>
      <c r="T1616">
        <f>IF(O1616=O1615,T1615+1,1)</f>
        <v>2</v>
      </c>
      <c r="U1616">
        <f>IF(O1616=O1617,"",S1616/T1616)</f>
        <v>4815.6021330000003</v>
      </c>
      <c r="V1616" t="str">
        <f>IF(U1616="","",IF(ABS(Q1616-U1616)&gt;V$1,"error",""))</f>
        <v/>
      </c>
    </row>
    <row r="1617" spans="1:22" x14ac:dyDescent="0.55000000000000004">
      <c r="A1617">
        <v>1166.8947000000001</v>
      </c>
      <c r="B1617" s="1">
        <v>1E-3</v>
      </c>
      <c r="C1617" s="1">
        <v>1E-3</v>
      </c>
      <c r="D1617" s="2" t="s">
        <v>0</v>
      </c>
      <c r="E1617">
        <v>2</v>
      </c>
      <c r="F1617" s="2" t="s">
        <v>1</v>
      </c>
      <c r="G1617">
        <v>4</v>
      </c>
      <c r="H1617">
        <v>19.5</v>
      </c>
      <c r="I1617" s="2" t="s">
        <v>0</v>
      </c>
      <c r="J1617">
        <v>2</v>
      </c>
      <c r="K1617" s="2" t="s">
        <v>1</v>
      </c>
      <c r="L1617">
        <v>3</v>
      </c>
      <c r="M1617">
        <v>18.5</v>
      </c>
      <c r="N1617" s="2" t="s">
        <v>673</v>
      </c>
      <c r="O1617" t="str">
        <f>D1617&amp;"-"&amp;E1617&amp;"-"&amp;F1617&amp;"-"&amp;G1617&amp;"-"&amp;H1617</f>
        <v>X-2-f-4-19.5</v>
      </c>
      <c r="P1617" t="str">
        <f>I1617&amp;"-"&amp;J1617&amp;"-"&amp;K1617&amp;"-"&amp;L1617&amp;"-"&amp;M1617</f>
        <v>X-2-f-3-18.5</v>
      </c>
      <c r="Q1617">
        <f>A1617+R1617</f>
        <v>5851.1400610000001</v>
      </c>
      <c r="R1617">
        <f>_xlfn.IFNA(VLOOKUP(P1617,PGOPHER!A$2:G$181,7,FALSE),_xlfn.IFNA(VLOOKUP(P1617,en!A$2:I$768,7,FALSE),-10000))</f>
        <v>4684.2453610000002</v>
      </c>
      <c r="S1617">
        <f>IF(O1617=O1616,Q1616+S1616,Q1617)</f>
        <v>5851.1400610000001</v>
      </c>
      <c r="T1617">
        <f>IF(O1617=O1616,T1616+1,1)</f>
        <v>1</v>
      </c>
      <c r="U1617">
        <f>IF(O1617=O1618,"",S1617/T1617)</f>
        <v>5851.1400610000001</v>
      </c>
      <c r="V1617" t="str">
        <f>IF(U1617="","",IF(ABS(Q1617-U1617)&gt;V$1,"error",""))</f>
        <v/>
      </c>
    </row>
    <row r="1618" spans="1:22" x14ac:dyDescent="0.55000000000000004">
      <c r="A1618">
        <v>1280.2184</v>
      </c>
      <c r="B1618" s="1">
        <v>5.33E-2</v>
      </c>
      <c r="C1618" s="1">
        <v>5.33E-2</v>
      </c>
      <c r="D1618" s="2" t="s">
        <v>0</v>
      </c>
      <c r="E1618">
        <v>1</v>
      </c>
      <c r="F1618" s="2" t="s">
        <v>2</v>
      </c>
      <c r="G1618">
        <v>1</v>
      </c>
      <c r="H1618">
        <v>20.5</v>
      </c>
      <c r="I1618" s="2" t="s">
        <v>0</v>
      </c>
      <c r="J1618">
        <v>1</v>
      </c>
      <c r="K1618" s="2" t="s">
        <v>2</v>
      </c>
      <c r="L1618">
        <v>0</v>
      </c>
      <c r="M1618">
        <v>19.5</v>
      </c>
      <c r="N1618" s="2" t="s">
        <v>291</v>
      </c>
      <c r="O1618" t="str">
        <f>D1618&amp;"-"&amp;E1618&amp;"-"&amp;F1618&amp;"-"&amp;G1618&amp;"-"&amp;H1618</f>
        <v>X-1-e-1-20.5</v>
      </c>
      <c r="P1618" t="str">
        <f>I1618&amp;"-"&amp;J1618&amp;"-"&amp;K1618&amp;"-"&amp;L1618&amp;"-"&amp;M1618</f>
        <v>X-1-e-0-19.5</v>
      </c>
      <c r="Q1618">
        <f>A1618+R1618</f>
        <v>2642.6935050000002</v>
      </c>
      <c r="R1618">
        <f>_xlfn.IFNA(VLOOKUP(P1618,PGOPHER!A$2:G$181,7,FALSE),_xlfn.IFNA(VLOOKUP(P1618,en!A$2:I$768,7,FALSE),-10000))</f>
        <v>1362.475105</v>
      </c>
      <c r="S1618">
        <f>IF(O1618=O1617,Q1617+S1617,Q1618)</f>
        <v>2642.6935050000002</v>
      </c>
      <c r="T1618">
        <f>IF(O1618=O1617,T1617+1,1)</f>
        <v>1</v>
      </c>
      <c r="U1618" t="str">
        <f>IF(O1618=O1619,"",S1618/T1618)</f>
        <v/>
      </c>
      <c r="V1618" t="str">
        <f>IF(U1618="","",IF(ABS(Q1618-U1618)&gt;V$1,"error",""))</f>
        <v/>
      </c>
    </row>
    <row r="1619" spans="1:22" x14ac:dyDescent="0.55000000000000004">
      <c r="A1619">
        <v>1280.2183600000001</v>
      </c>
      <c r="B1619" s="1">
        <v>1.5E-3</v>
      </c>
      <c r="C1619" s="1">
        <v>1.5E-3</v>
      </c>
      <c r="D1619" s="2" t="s">
        <v>0</v>
      </c>
      <c r="E1619">
        <v>1</v>
      </c>
      <c r="F1619" s="2" t="s">
        <v>2</v>
      </c>
      <c r="G1619">
        <v>1</v>
      </c>
      <c r="H1619">
        <v>20.5</v>
      </c>
      <c r="I1619" s="2" t="s">
        <v>0</v>
      </c>
      <c r="J1619">
        <v>1</v>
      </c>
      <c r="K1619" s="2" t="s">
        <v>2</v>
      </c>
      <c r="L1619">
        <v>0</v>
      </c>
      <c r="M1619">
        <v>19.5</v>
      </c>
      <c r="N1619" s="2" t="s">
        <v>295</v>
      </c>
      <c r="O1619" t="str">
        <f>D1619&amp;"-"&amp;E1619&amp;"-"&amp;F1619&amp;"-"&amp;G1619&amp;"-"&amp;H1619</f>
        <v>X-1-e-1-20.5</v>
      </c>
      <c r="P1619" t="str">
        <f>I1619&amp;"-"&amp;J1619&amp;"-"&amp;K1619&amp;"-"&amp;L1619&amp;"-"&amp;M1619</f>
        <v>X-1-e-0-19.5</v>
      </c>
      <c r="Q1619">
        <f>A1619+R1619</f>
        <v>2642.6934650000003</v>
      </c>
      <c r="R1619">
        <f>_xlfn.IFNA(VLOOKUP(P1619,PGOPHER!A$2:G$181,7,FALSE),_xlfn.IFNA(VLOOKUP(P1619,en!A$2:I$768,7,FALSE),-10000))</f>
        <v>1362.475105</v>
      </c>
      <c r="S1619">
        <f>IF(O1619=O1618,Q1618+S1618,Q1619)</f>
        <v>5285.3870100000004</v>
      </c>
      <c r="T1619">
        <f>IF(O1619=O1618,T1618+1,1)</f>
        <v>2</v>
      </c>
      <c r="U1619" t="str">
        <f>IF(O1619=O1620,"",S1619/T1619)</f>
        <v/>
      </c>
      <c r="V1619" t="str">
        <f>IF(U1619="","",IF(ABS(Q1619-U1619)&gt;V$1,"error",""))</f>
        <v/>
      </c>
    </row>
    <row r="1620" spans="1:22" x14ac:dyDescent="0.55000000000000004">
      <c r="A1620">
        <v>991.36360000000002</v>
      </c>
      <c r="B1620" s="1">
        <v>4.2099999999999999E-2</v>
      </c>
      <c r="C1620" s="1">
        <v>4.2099999999999999E-2</v>
      </c>
      <c r="D1620" s="2" t="s">
        <v>0</v>
      </c>
      <c r="E1620">
        <v>1</v>
      </c>
      <c r="F1620" s="2" t="s">
        <v>2</v>
      </c>
      <c r="G1620">
        <v>1</v>
      </c>
      <c r="H1620">
        <v>20.5</v>
      </c>
      <c r="I1620" s="2" t="s">
        <v>0</v>
      </c>
      <c r="J1620">
        <v>1</v>
      </c>
      <c r="K1620" s="2" t="s">
        <v>2</v>
      </c>
      <c r="L1620">
        <v>0</v>
      </c>
      <c r="M1620">
        <v>21.5</v>
      </c>
      <c r="N1620" s="2" t="s">
        <v>293</v>
      </c>
      <c r="O1620" t="str">
        <f>D1620&amp;"-"&amp;E1620&amp;"-"&amp;F1620&amp;"-"&amp;G1620&amp;"-"&amp;H1620</f>
        <v>X-1-e-1-20.5</v>
      </c>
      <c r="P1620" t="str">
        <f>I1620&amp;"-"&amp;J1620&amp;"-"&amp;K1620&amp;"-"&amp;L1620&amp;"-"&amp;M1620</f>
        <v>X-1-e-0-21.5</v>
      </c>
      <c r="Q1620">
        <f>A1620+R1620</f>
        <v>2642.6928349999998</v>
      </c>
      <c r="R1620">
        <f>_xlfn.IFNA(VLOOKUP(P1620,PGOPHER!A$2:G$181,7,FALSE),_xlfn.IFNA(VLOOKUP(P1620,en!A$2:I$768,7,FALSE),-10000))</f>
        <v>1651.3292349999999</v>
      </c>
      <c r="S1620">
        <f>IF(O1620=O1619,Q1619+S1619,Q1620)</f>
        <v>7928.0804750000007</v>
      </c>
      <c r="T1620">
        <f>IF(O1620=O1619,T1619+1,1)</f>
        <v>3</v>
      </c>
      <c r="U1620" t="str">
        <f>IF(O1620=O1621,"",S1620/T1620)</f>
        <v/>
      </c>
      <c r="V1620" t="str">
        <f>IF(U1620="","",IF(ABS(Q1620-U1620)&gt;V$1,"error",""))</f>
        <v/>
      </c>
    </row>
    <row r="1621" spans="1:22" x14ac:dyDescent="0.55000000000000004">
      <c r="A1621">
        <v>991.36364000000003</v>
      </c>
      <c r="B1621" s="1">
        <v>1.2960000000000001E-3</v>
      </c>
      <c r="C1621" s="1">
        <v>1.2960000000000001E-3</v>
      </c>
      <c r="D1621" s="2" t="s">
        <v>0</v>
      </c>
      <c r="E1621">
        <v>1</v>
      </c>
      <c r="F1621" s="2" t="s">
        <v>2</v>
      </c>
      <c r="G1621">
        <v>1</v>
      </c>
      <c r="H1621">
        <v>20.5</v>
      </c>
      <c r="I1621" s="2" t="s">
        <v>0</v>
      </c>
      <c r="J1621">
        <v>1</v>
      </c>
      <c r="K1621" s="2" t="s">
        <v>2</v>
      </c>
      <c r="L1621">
        <v>0</v>
      </c>
      <c r="M1621">
        <v>21.5</v>
      </c>
      <c r="N1621" s="2" t="s">
        <v>296</v>
      </c>
      <c r="O1621" t="str">
        <f>D1621&amp;"-"&amp;E1621&amp;"-"&amp;F1621&amp;"-"&amp;G1621&amp;"-"&amp;H1621</f>
        <v>X-1-e-1-20.5</v>
      </c>
      <c r="P1621" t="str">
        <f>I1621&amp;"-"&amp;J1621&amp;"-"&amp;K1621&amp;"-"&amp;L1621&amp;"-"&amp;M1621</f>
        <v>X-1-e-0-21.5</v>
      </c>
      <c r="Q1621">
        <f>A1621+R1621</f>
        <v>2642.6928749999997</v>
      </c>
      <c r="R1621">
        <f>_xlfn.IFNA(VLOOKUP(P1621,PGOPHER!A$2:G$181,7,FALSE),_xlfn.IFNA(VLOOKUP(P1621,en!A$2:I$768,7,FALSE),-10000))</f>
        <v>1651.3292349999999</v>
      </c>
      <c r="S1621">
        <f>IF(O1621=O1620,Q1620+S1620,Q1621)</f>
        <v>10570.77331</v>
      </c>
      <c r="T1621">
        <f>IF(O1621=O1620,T1620+1,1)</f>
        <v>4</v>
      </c>
      <c r="U1621">
        <f>IF(O1621=O1622,"",S1621/T1621)</f>
        <v>2642.6933275000001</v>
      </c>
      <c r="V1621" t="str">
        <f>IF(U1621="","",IF(ABS(Q1621-U1621)&gt;V$1,"error",""))</f>
        <v/>
      </c>
    </row>
    <row r="1622" spans="1:22" x14ac:dyDescent="0.55000000000000004">
      <c r="A1622">
        <v>960.42610000000002</v>
      </c>
      <c r="B1622" s="1">
        <v>5.5599999999999998E-3</v>
      </c>
      <c r="C1622" s="1">
        <v>5.5599999999999998E-3</v>
      </c>
      <c r="D1622" s="2" t="s">
        <v>0</v>
      </c>
      <c r="E1622">
        <v>1</v>
      </c>
      <c r="F1622" s="2" t="s">
        <v>2</v>
      </c>
      <c r="G1622">
        <v>2</v>
      </c>
      <c r="H1622">
        <v>20.5</v>
      </c>
      <c r="I1622" s="2" t="s">
        <v>0</v>
      </c>
      <c r="J1622">
        <v>1</v>
      </c>
      <c r="K1622" s="2" t="s">
        <v>2</v>
      </c>
      <c r="L1622">
        <v>1</v>
      </c>
      <c r="M1622">
        <v>21.5</v>
      </c>
      <c r="N1622" s="2" t="s">
        <v>485</v>
      </c>
      <c r="O1622" t="str">
        <f>D1622&amp;"-"&amp;E1622&amp;"-"&amp;F1622&amp;"-"&amp;G1622&amp;"-"&amp;H1622</f>
        <v>X-1-e-2-20.5</v>
      </c>
      <c r="P1622" t="str">
        <f>I1622&amp;"-"&amp;J1622&amp;"-"&amp;K1622&amp;"-"&amp;L1622&amp;"-"&amp;M1622</f>
        <v>X-1-e-1-21.5</v>
      </c>
      <c r="Q1622">
        <f>A1622+R1622</f>
        <v>3747.4800640000003</v>
      </c>
      <c r="R1622">
        <f>_xlfn.IFNA(VLOOKUP(P1622,PGOPHER!A$2:G$181,7,FALSE),_xlfn.IFNA(VLOOKUP(P1622,en!A$2:I$768,7,FALSE),-10000))</f>
        <v>2787.0539640000002</v>
      </c>
      <c r="S1622">
        <f>IF(O1622=O1621,Q1621+S1621,Q1622)</f>
        <v>3747.4800640000003</v>
      </c>
      <c r="T1622">
        <f>IF(O1622=O1621,T1621+1,1)</f>
        <v>1</v>
      </c>
      <c r="U1622" t="str">
        <f>IF(O1622=O1623,"",S1622/T1622)</f>
        <v/>
      </c>
      <c r="V1622" t="str">
        <f>IF(U1622="","",IF(ABS(Q1622-U1622)&gt;V$1,"error",""))</f>
        <v/>
      </c>
    </row>
    <row r="1623" spans="1:22" x14ac:dyDescent="0.55000000000000004">
      <c r="A1623">
        <v>1242.7099000000001</v>
      </c>
      <c r="B1623" s="1">
        <v>9.2200000000000008E-3</v>
      </c>
      <c r="C1623" s="1">
        <v>9.2200000000000008E-3</v>
      </c>
      <c r="D1623" s="2" t="s">
        <v>0</v>
      </c>
      <c r="E1623">
        <v>1</v>
      </c>
      <c r="F1623" s="2" t="s">
        <v>2</v>
      </c>
      <c r="G1623">
        <v>2</v>
      </c>
      <c r="H1623">
        <v>20.5</v>
      </c>
      <c r="I1623" s="2" t="s">
        <v>0</v>
      </c>
      <c r="J1623">
        <v>1</v>
      </c>
      <c r="K1623" s="2" t="s">
        <v>2</v>
      </c>
      <c r="L1623">
        <v>1</v>
      </c>
      <c r="M1623">
        <v>19.5</v>
      </c>
      <c r="N1623" s="2" t="s">
        <v>483</v>
      </c>
      <c r="O1623" t="str">
        <f>D1623&amp;"-"&amp;E1623&amp;"-"&amp;F1623&amp;"-"&amp;G1623&amp;"-"&amp;H1623</f>
        <v>X-1-e-2-20.5</v>
      </c>
      <c r="P1623" t="str">
        <f>I1623&amp;"-"&amp;J1623&amp;"-"&amp;K1623&amp;"-"&amp;L1623&amp;"-"&amp;M1623</f>
        <v>X-1-e-1-19.5</v>
      </c>
      <c r="Q1623">
        <f>A1623+R1623</f>
        <v>3747.4789769999998</v>
      </c>
      <c r="R1623">
        <f>_xlfn.IFNA(VLOOKUP(P1623,PGOPHER!A$2:G$181,7,FALSE),_xlfn.IFNA(VLOOKUP(P1623,en!A$2:I$768,7,FALSE),-10000))</f>
        <v>2504.7690769999999</v>
      </c>
      <c r="S1623">
        <f>IF(O1623=O1622,Q1622+S1622,Q1623)</f>
        <v>7494.9601280000006</v>
      </c>
      <c r="T1623">
        <f>IF(O1623=O1622,T1622+1,1)</f>
        <v>2</v>
      </c>
      <c r="U1623">
        <f>IF(O1623=O1624,"",S1623/T1623)</f>
        <v>3747.4800640000003</v>
      </c>
      <c r="V1623" t="str">
        <f>IF(U1623="","",IF(ABS(Q1623-U1623)&gt;V$1,"error",""))</f>
        <v/>
      </c>
    </row>
    <row r="1624" spans="1:22" x14ac:dyDescent="0.55000000000000004">
      <c r="A1624">
        <v>929.33640000000003</v>
      </c>
      <c r="B1624" s="1">
        <v>3.3300000000000003E-2</v>
      </c>
      <c r="C1624" s="1">
        <v>3.3300000000000003E-2</v>
      </c>
      <c r="D1624" s="2" t="s">
        <v>0</v>
      </c>
      <c r="E1624">
        <v>1</v>
      </c>
      <c r="F1624" s="2" t="s">
        <v>2</v>
      </c>
      <c r="G1624">
        <v>3</v>
      </c>
      <c r="H1624">
        <v>20.5</v>
      </c>
      <c r="I1624" s="2" t="s">
        <v>0</v>
      </c>
      <c r="J1624">
        <v>1</v>
      </c>
      <c r="K1624" s="2" t="s">
        <v>2</v>
      </c>
      <c r="L1624">
        <v>2</v>
      </c>
      <c r="M1624">
        <v>21.5</v>
      </c>
      <c r="N1624" s="2" t="s">
        <v>610</v>
      </c>
      <c r="O1624" t="str">
        <f>D1624&amp;"-"&amp;E1624&amp;"-"&amp;F1624&amp;"-"&amp;G1624&amp;"-"&amp;H1624</f>
        <v>X-1-e-3-20.5</v>
      </c>
      <c r="P1624" t="str">
        <f>I1624&amp;"-"&amp;J1624&amp;"-"&amp;K1624&amp;"-"&amp;L1624&amp;"-"&amp;M1624</f>
        <v>X-1-e-2-21.5</v>
      </c>
      <c r="Q1624">
        <f>A1624+R1624</f>
        <v>4817.7987299999995</v>
      </c>
      <c r="R1624">
        <f>_xlfn.IFNA(VLOOKUP(P1624,PGOPHER!A$2:G$181,7,FALSE),_xlfn.IFNA(VLOOKUP(P1624,en!A$2:I$768,7,FALSE),-10000))</f>
        <v>3888.4623299999998</v>
      </c>
      <c r="S1624">
        <f>IF(O1624=O1623,Q1623+S1623,Q1624)</f>
        <v>4817.7987299999995</v>
      </c>
      <c r="T1624">
        <f>IF(O1624=O1623,T1623+1,1)</f>
        <v>1</v>
      </c>
      <c r="U1624" t="str">
        <f>IF(O1624=O1625,"",S1624/T1624)</f>
        <v/>
      </c>
      <c r="V1624" t="str">
        <f>IF(U1624="","",IF(ABS(Q1624-U1624)&gt;V$1,"error",""))</f>
        <v/>
      </c>
    </row>
    <row r="1625" spans="1:22" x14ac:dyDescent="0.55000000000000004">
      <c r="A1625">
        <v>1205.0114000000001</v>
      </c>
      <c r="B1625" s="1">
        <v>3.3300000000000003E-2</v>
      </c>
      <c r="C1625" s="1">
        <v>3.3300000000000003E-2</v>
      </c>
      <c r="D1625" s="2" t="s">
        <v>0</v>
      </c>
      <c r="E1625">
        <v>1</v>
      </c>
      <c r="F1625" s="2" t="s">
        <v>2</v>
      </c>
      <c r="G1625">
        <v>3</v>
      </c>
      <c r="H1625">
        <v>20.5</v>
      </c>
      <c r="I1625" s="2" t="s">
        <v>0</v>
      </c>
      <c r="J1625">
        <v>1</v>
      </c>
      <c r="K1625" s="2" t="s">
        <v>2</v>
      </c>
      <c r="L1625">
        <v>2</v>
      </c>
      <c r="M1625">
        <v>19.5</v>
      </c>
      <c r="N1625" s="2" t="s">
        <v>609</v>
      </c>
      <c r="O1625" t="str">
        <f>D1625&amp;"-"&amp;E1625&amp;"-"&amp;F1625&amp;"-"&amp;G1625&amp;"-"&amp;H1625</f>
        <v>X-1-e-3-20.5</v>
      </c>
      <c r="P1625" t="str">
        <f>I1625&amp;"-"&amp;J1625&amp;"-"&amp;K1625&amp;"-"&amp;L1625&amp;"-"&amp;M1625</f>
        <v>X-1-e-2-19.5</v>
      </c>
      <c r="Q1625">
        <f>A1625+R1625</f>
        <v>4817.7933519999997</v>
      </c>
      <c r="R1625">
        <f>_xlfn.IFNA(VLOOKUP(P1625,PGOPHER!A$2:G$181,7,FALSE),_xlfn.IFNA(VLOOKUP(P1625,en!A$2:I$768,7,FALSE),-10000))</f>
        <v>3612.7819519999998</v>
      </c>
      <c r="S1625">
        <f>IF(O1625=O1624,Q1624+S1624,Q1625)</f>
        <v>9635.597459999999</v>
      </c>
      <c r="T1625">
        <f>IF(O1625=O1624,T1624+1,1)</f>
        <v>2</v>
      </c>
      <c r="U1625">
        <f>IF(O1625=O1626,"",S1625/T1625)</f>
        <v>4817.7987299999995</v>
      </c>
      <c r="V1625" t="str">
        <f>IF(U1625="","",IF(ABS(Q1625-U1625)&gt;V$1,"error",""))</f>
        <v/>
      </c>
    </row>
    <row r="1626" spans="1:22" x14ac:dyDescent="0.55000000000000004">
      <c r="A1626">
        <v>1166.9112</v>
      </c>
      <c r="B1626" s="1">
        <v>1E-3</v>
      </c>
      <c r="C1626" s="1">
        <v>1E-3</v>
      </c>
      <c r="D1626" s="2" t="s">
        <v>0</v>
      </c>
      <c r="E1626">
        <v>1</v>
      </c>
      <c r="F1626" s="2" t="s">
        <v>2</v>
      </c>
      <c r="G1626">
        <v>4</v>
      </c>
      <c r="H1626">
        <v>20.5</v>
      </c>
      <c r="I1626" s="2" t="s">
        <v>0</v>
      </c>
      <c r="J1626">
        <v>1</v>
      </c>
      <c r="K1626" s="2" t="s">
        <v>2</v>
      </c>
      <c r="L1626">
        <v>3</v>
      </c>
      <c r="M1626">
        <v>19.5</v>
      </c>
      <c r="N1626" s="2" t="s">
        <v>674</v>
      </c>
      <c r="O1626" t="str">
        <f>D1626&amp;"-"&amp;E1626&amp;"-"&amp;F1626&amp;"-"&amp;G1626&amp;"-"&amp;H1626</f>
        <v>X-1-e-4-20.5</v>
      </c>
      <c r="P1626" t="str">
        <f>I1626&amp;"-"&amp;J1626&amp;"-"&amp;K1626&amp;"-"&amp;L1626&amp;"-"&amp;M1626</f>
        <v>X-1-e-3-19.5</v>
      </c>
      <c r="Q1626">
        <f>A1626+R1626</f>
        <v>5853.2521460000007</v>
      </c>
      <c r="R1626">
        <f>_xlfn.IFNA(VLOOKUP(P1626,PGOPHER!A$2:G$181,7,FALSE),_xlfn.IFNA(VLOOKUP(P1626,en!A$2:I$768,7,FALSE),-10000))</f>
        <v>4686.3409460000003</v>
      </c>
      <c r="S1626">
        <f>IF(O1626=O1625,Q1625+S1625,Q1626)</f>
        <v>5853.2521460000007</v>
      </c>
      <c r="T1626">
        <f>IF(O1626=O1625,T1625+1,1)</f>
        <v>1</v>
      </c>
      <c r="U1626">
        <f>IF(O1626=O1627,"",S1626/T1626)</f>
        <v>5853.2521460000007</v>
      </c>
      <c r="V1626" t="str">
        <f>IF(U1626="","",IF(ABS(Q1626-U1626)&gt;V$1,"error",""))</f>
        <v/>
      </c>
    </row>
    <row r="1627" spans="1:22" x14ac:dyDescent="0.55000000000000004">
      <c r="A1627">
        <v>981.65527999999995</v>
      </c>
      <c r="B1627" s="1">
        <v>1.5839999999999999E-3</v>
      </c>
      <c r="C1627" s="1">
        <v>1.5839999999999999E-3</v>
      </c>
      <c r="D1627" s="2" t="s">
        <v>0</v>
      </c>
      <c r="E1627">
        <v>2</v>
      </c>
      <c r="F1627" s="2" t="s">
        <v>1</v>
      </c>
      <c r="G1627">
        <v>1</v>
      </c>
      <c r="H1627">
        <v>20.5</v>
      </c>
      <c r="I1627" s="2" t="s">
        <v>0</v>
      </c>
      <c r="J1627">
        <v>2</v>
      </c>
      <c r="K1627" s="2" t="s">
        <v>1</v>
      </c>
      <c r="L1627">
        <v>0</v>
      </c>
      <c r="M1627">
        <v>21.5</v>
      </c>
      <c r="N1627" s="2" t="s">
        <v>298</v>
      </c>
      <c r="O1627" t="str">
        <f>D1627&amp;"-"&amp;E1627&amp;"-"&amp;F1627&amp;"-"&amp;G1627&amp;"-"&amp;H1627</f>
        <v>X-2-f-1-20.5</v>
      </c>
      <c r="P1627" t="str">
        <f>I1627&amp;"-"&amp;J1627&amp;"-"&amp;K1627&amp;"-"&amp;L1627&amp;"-"&amp;M1627</f>
        <v>X-2-f-0-21.5</v>
      </c>
      <c r="Q1627">
        <f>A1627+R1627</f>
        <v>2784.5914990000001</v>
      </c>
      <c r="R1627">
        <f>_xlfn.IFNA(VLOOKUP(P1627,PGOPHER!A$2:G$181,7,FALSE),_xlfn.IFNA(VLOOKUP(P1627,en!A$2:I$768,7,FALSE),-10000))</f>
        <v>1802.9362189999999</v>
      </c>
      <c r="S1627">
        <f>IF(O1627=O1626,Q1626+S1626,Q1627)</f>
        <v>2784.5914990000001</v>
      </c>
      <c r="T1627">
        <f>IF(O1627=O1626,T1626+1,1)</f>
        <v>1</v>
      </c>
      <c r="U1627" t="str">
        <f>IF(O1627=O1628,"",S1627/T1627)</f>
        <v/>
      </c>
      <c r="V1627" t="str">
        <f>IF(U1627="","",IF(ABS(Q1627-U1627)&gt;V$1,"error",""))</f>
        <v/>
      </c>
    </row>
    <row r="1628" spans="1:22" x14ac:dyDescent="0.55000000000000004">
      <c r="A1628">
        <v>1283.4341300000001</v>
      </c>
      <c r="B1628" s="1">
        <v>1E-3</v>
      </c>
      <c r="C1628" s="1">
        <v>1E-3</v>
      </c>
      <c r="D1628" s="2" t="s">
        <v>0</v>
      </c>
      <c r="E1628">
        <v>2</v>
      </c>
      <c r="F1628" s="2" t="s">
        <v>1</v>
      </c>
      <c r="G1628">
        <v>1</v>
      </c>
      <c r="H1628">
        <v>20.5</v>
      </c>
      <c r="I1628" s="2" t="s">
        <v>0</v>
      </c>
      <c r="J1628">
        <v>2</v>
      </c>
      <c r="K1628" s="2" t="s">
        <v>1</v>
      </c>
      <c r="L1628">
        <v>0</v>
      </c>
      <c r="M1628">
        <v>19.5</v>
      </c>
      <c r="N1628" s="2" t="s">
        <v>297</v>
      </c>
      <c r="O1628" t="str">
        <f>D1628&amp;"-"&amp;E1628&amp;"-"&amp;F1628&amp;"-"&amp;G1628&amp;"-"&amp;H1628</f>
        <v>X-2-f-1-20.5</v>
      </c>
      <c r="P1628" t="str">
        <f>I1628&amp;"-"&amp;J1628&amp;"-"&amp;K1628&amp;"-"&amp;L1628&amp;"-"&amp;M1628</f>
        <v>X-2-f-0-19.5</v>
      </c>
      <c r="Q1628">
        <f>A1628+R1628</f>
        <v>2784.591461</v>
      </c>
      <c r="R1628">
        <f>_xlfn.IFNA(VLOOKUP(P1628,PGOPHER!A$2:G$181,7,FALSE),_xlfn.IFNA(VLOOKUP(P1628,en!A$2:I$768,7,FALSE),-10000))</f>
        <v>1501.1573310000001</v>
      </c>
      <c r="S1628">
        <f>IF(O1628=O1627,Q1627+S1627,Q1628)</f>
        <v>5569.1829980000002</v>
      </c>
      <c r="T1628">
        <f>IF(O1628=O1627,T1627+1,1)</f>
        <v>2</v>
      </c>
      <c r="U1628" t="str">
        <f>IF(O1628=O1629,"",S1628/T1628)</f>
        <v/>
      </c>
      <c r="V1628" t="str">
        <f>IF(U1628="","",IF(ABS(Q1628-U1628)&gt;V$1,"error",""))</f>
        <v/>
      </c>
    </row>
    <row r="1629" spans="1:22" x14ac:dyDescent="0.55000000000000004">
      <c r="A1629">
        <v>981.65530000000001</v>
      </c>
      <c r="B1629" s="1">
        <v>8.1499999999999993E-3</v>
      </c>
      <c r="C1629" s="1">
        <v>8.1499999999999993E-3</v>
      </c>
      <c r="D1629" s="2" t="s">
        <v>0</v>
      </c>
      <c r="E1629">
        <v>2</v>
      </c>
      <c r="F1629" s="2" t="s">
        <v>1</v>
      </c>
      <c r="G1629">
        <v>1</v>
      </c>
      <c r="H1629">
        <v>20.5</v>
      </c>
      <c r="I1629" s="2" t="s">
        <v>0</v>
      </c>
      <c r="J1629">
        <v>2</v>
      </c>
      <c r="K1629" s="2" t="s">
        <v>1</v>
      </c>
      <c r="L1629">
        <v>0</v>
      </c>
      <c r="M1629">
        <v>21.5</v>
      </c>
      <c r="N1629" s="2" t="s">
        <v>294</v>
      </c>
      <c r="O1629" t="str">
        <f>D1629&amp;"-"&amp;E1629&amp;"-"&amp;F1629&amp;"-"&amp;G1629&amp;"-"&amp;H1629</f>
        <v>X-2-f-1-20.5</v>
      </c>
      <c r="P1629" t="str">
        <f>I1629&amp;"-"&amp;J1629&amp;"-"&amp;K1629&amp;"-"&amp;L1629&amp;"-"&amp;M1629</f>
        <v>X-2-f-0-21.5</v>
      </c>
      <c r="Q1629">
        <f>A1629+R1629</f>
        <v>2784.5915190000001</v>
      </c>
      <c r="R1629">
        <f>_xlfn.IFNA(VLOOKUP(P1629,PGOPHER!A$2:G$181,7,FALSE),_xlfn.IFNA(VLOOKUP(P1629,en!A$2:I$768,7,FALSE),-10000))</f>
        <v>1802.9362189999999</v>
      </c>
      <c r="S1629">
        <f>IF(O1629=O1628,Q1628+S1628,Q1629)</f>
        <v>8353.7744590000002</v>
      </c>
      <c r="T1629">
        <f>IF(O1629=O1628,T1628+1,1)</f>
        <v>3</v>
      </c>
      <c r="U1629" t="str">
        <f>IF(O1629=O1630,"",S1629/T1629)</f>
        <v/>
      </c>
      <c r="V1629" t="str">
        <f>IF(U1629="","",IF(ABS(Q1629-U1629)&gt;V$1,"error",""))</f>
        <v/>
      </c>
    </row>
    <row r="1630" spans="1:22" x14ac:dyDescent="0.55000000000000004">
      <c r="A1630">
        <v>1283.4340999999999</v>
      </c>
      <c r="B1630" s="1">
        <v>1.38E-2</v>
      </c>
      <c r="C1630" s="1">
        <v>1.38E-2</v>
      </c>
      <c r="D1630" s="2" t="s">
        <v>0</v>
      </c>
      <c r="E1630">
        <v>2</v>
      </c>
      <c r="F1630" s="2" t="s">
        <v>1</v>
      </c>
      <c r="G1630">
        <v>1</v>
      </c>
      <c r="H1630">
        <v>20.5</v>
      </c>
      <c r="I1630" s="2" t="s">
        <v>0</v>
      </c>
      <c r="J1630">
        <v>2</v>
      </c>
      <c r="K1630" s="2" t="s">
        <v>1</v>
      </c>
      <c r="L1630">
        <v>0</v>
      </c>
      <c r="M1630">
        <v>19.5</v>
      </c>
      <c r="N1630" s="2" t="s">
        <v>292</v>
      </c>
      <c r="O1630" t="str">
        <f>D1630&amp;"-"&amp;E1630&amp;"-"&amp;F1630&amp;"-"&amp;G1630&amp;"-"&amp;H1630</f>
        <v>X-2-f-1-20.5</v>
      </c>
      <c r="P1630" t="str">
        <f>I1630&amp;"-"&amp;J1630&amp;"-"&amp;K1630&amp;"-"&amp;L1630&amp;"-"&amp;M1630</f>
        <v>X-2-f-0-19.5</v>
      </c>
      <c r="Q1630">
        <f>A1630+R1630</f>
        <v>2784.5914309999998</v>
      </c>
      <c r="R1630">
        <f>_xlfn.IFNA(VLOOKUP(P1630,PGOPHER!A$2:G$181,7,FALSE),_xlfn.IFNA(VLOOKUP(P1630,en!A$2:I$768,7,FALSE),-10000))</f>
        <v>1501.1573310000001</v>
      </c>
      <c r="S1630">
        <f>IF(O1630=O1629,Q1629+S1629,Q1630)</f>
        <v>11138.365978</v>
      </c>
      <c r="T1630">
        <f>IF(O1630=O1629,T1629+1,1)</f>
        <v>4</v>
      </c>
      <c r="U1630">
        <f>IF(O1630=O1631,"",S1630/T1630)</f>
        <v>2784.5914945</v>
      </c>
      <c r="V1630" t="str">
        <f>IF(U1630="","",IF(ABS(Q1630-U1630)&gt;V$1,"error",""))</f>
        <v/>
      </c>
    </row>
    <row r="1631" spans="1:22" x14ac:dyDescent="0.55000000000000004">
      <c r="A1631">
        <v>950.8546</v>
      </c>
      <c r="B1631" s="1">
        <v>3.8800000000000001E-2</v>
      </c>
      <c r="C1631" s="1">
        <v>3.8800000000000001E-2</v>
      </c>
      <c r="D1631" s="2" t="s">
        <v>0</v>
      </c>
      <c r="E1631">
        <v>2</v>
      </c>
      <c r="F1631" s="2" t="s">
        <v>1</v>
      </c>
      <c r="G1631">
        <v>2</v>
      </c>
      <c r="H1631">
        <v>20.5</v>
      </c>
      <c r="I1631" s="2" t="s">
        <v>0</v>
      </c>
      <c r="J1631">
        <v>2</v>
      </c>
      <c r="K1631" s="2" t="s">
        <v>1</v>
      </c>
      <c r="L1631">
        <v>1</v>
      </c>
      <c r="M1631">
        <v>21.5</v>
      </c>
      <c r="N1631" s="2" t="s">
        <v>486</v>
      </c>
      <c r="O1631" t="str">
        <f>D1631&amp;"-"&amp;E1631&amp;"-"&amp;F1631&amp;"-"&amp;G1631&amp;"-"&amp;H1631</f>
        <v>X-2-f-2-20.5</v>
      </c>
      <c r="P1631" t="str">
        <f>I1631&amp;"-"&amp;J1631&amp;"-"&amp;K1631&amp;"-"&amp;L1631&amp;"-"&amp;M1631</f>
        <v>X-2-f-1-21.5</v>
      </c>
      <c r="Q1631">
        <f>A1631+R1631</f>
        <v>3886.0898830000001</v>
      </c>
      <c r="R1631">
        <f>_xlfn.IFNA(VLOOKUP(P1631,PGOPHER!A$2:G$181,7,FALSE),_xlfn.IFNA(VLOOKUP(P1631,en!A$2:I$768,7,FALSE),-10000))</f>
        <v>2935.235283</v>
      </c>
      <c r="S1631">
        <f>IF(O1631=O1630,Q1630+S1630,Q1631)</f>
        <v>3886.0898830000001</v>
      </c>
      <c r="T1631">
        <f>IF(O1631=O1630,T1630+1,1)</f>
        <v>1</v>
      </c>
      <c r="U1631" t="str">
        <f>IF(O1631=O1632,"",S1631/T1631)</f>
        <v/>
      </c>
      <c r="V1631" t="str">
        <f>IF(U1631="","",IF(ABS(Q1631-U1631)&gt;V$1,"error",""))</f>
        <v/>
      </c>
    </row>
    <row r="1632" spans="1:22" x14ac:dyDescent="0.55000000000000004">
      <c r="A1632">
        <v>1245.7532000000001</v>
      </c>
      <c r="B1632" s="1">
        <v>4.2000000000000003E-2</v>
      </c>
      <c r="C1632" s="1">
        <v>4.2000000000000003E-2</v>
      </c>
      <c r="D1632" s="2" t="s">
        <v>0</v>
      </c>
      <c r="E1632">
        <v>2</v>
      </c>
      <c r="F1632" s="2" t="s">
        <v>1</v>
      </c>
      <c r="G1632">
        <v>2</v>
      </c>
      <c r="H1632">
        <v>20.5</v>
      </c>
      <c r="I1632" s="2" t="s">
        <v>0</v>
      </c>
      <c r="J1632">
        <v>2</v>
      </c>
      <c r="K1632" s="2" t="s">
        <v>1</v>
      </c>
      <c r="L1632">
        <v>1</v>
      </c>
      <c r="M1632">
        <v>19.5</v>
      </c>
      <c r="N1632" s="2" t="s">
        <v>484</v>
      </c>
      <c r="O1632" t="str">
        <f>D1632&amp;"-"&amp;E1632&amp;"-"&amp;F1632&amp;"-"&amp;G1632&amp;"-"&amp;H1632</f>
        <v>X-2-f-2-20.5</v>
      </c>
      <c r="P1632" t="str">
        <f>I1632&amp;"-"&amp;J1632&amp;"-"&amp;K1632&amp;"-"&amp;L1632&amp;"-"&amp;M1632</f>
        <v>X-2-f-1-19.5</v>
      </c>
      <c r="Q1632">
        <f>A1632+R1632</f>
        <v>3886.0899669999999</v>
      </c>
      <c r="R1632">
        <f>_xlfn.IFNA(VLOOKUP(P1632,PGOPHER!A$2:G$181,7,FALSE),_xlfn.IFNA(VLOOKUP(P1632,en!A$2:I$768,7,FALSE),-10000))</f>
        <v>2640.3367669999998</v>
      </c>
      <c r="S1632">
        <f>IF(O1632=O1631,Q1631+S1631,Q1632)</f>
        <v>7772.1797660000002</v>
      </c>
      <c r="T1632">
        <f>IF(O1632=O1631,T1631+1,1)</f>
        <v>2</v>
      </c>
      <c r="U1632">
        <f>IF(O1632=O1633,"",S1632/T1632)</f>
        <v>3886.0898830000001</v>
      </c>
      <c r="V1632" t="str">
        <f>IF(U1632="","",IF(ABS(Q1632-U1632)&gt;V$1,"error",""))</f>
        <v/>
      </c>
    </row>
    <row r="1633" spans="1:22" x14ac:dyDescent="0.55000000000000004">
      <c r="A1633">
        <v>919.88869999999997</v>
      </c>
      <c r="B1633" s="1">
        <v>1E-3</v>
      </c>
      <c r="C1633" s="1">
        <v>1E-3</v>
      </c>
      <c r="D1633" s="2" t="s">
        <v>0</v>
      </c>
      <c r="E1633">
        <v>2</v>
      </c>
      <c r="F1633" s="2" t="s">
        <v>1</v>
      </c>
      <c r="G1633">
        <v>3</v>
      </c>
      <c r="H1633">
        <v>20.5</v>
      </c>
      <c r="I1633" s="2" t="s">
        <v>0</v>
      </c>
      <c r="J1633">
        <v>2</v>
      </c>
      <c r="K1633" s="2" t="s">
        <v>1</v>
      </c>
      <c r="L1633">
        <v>2</v>
      </c>
      <c r="M1633">
        <v>21.5</v>
      </c>
      <c r="N1633" s="2" t="s">
        <v>612</v>
      </c>
      <c r="O1633" t="str">
        <f>D1633&amp;"-"&amp;E1633&amp;"-"&amp;F1633&amp;"-"&amp;G1633&amp;"-"&amp;H1633</f>
        <v>X-2-f-3-20.5</v>
      </c>
      <c r="P1633" t="str">
        <f>I1633&amp;"-"&amp;J1633&amp;"-"&amp;K1633&amp;"-"&amp;L1633&amp;"-"&amp;M1633</f>
        <v>X-2-f-2-21.5</v>
      </c>
      <c r="Q1633">
        <f>A1633+R1633</f>
        <v>4953.0736820000002</v>
      </c>
      <c r="R1633">
        <f>_xlfn.IFNA(VLOOKUP(P1633,PGOPHER!A$2:G$181,7,FALSE),_xlfn.IFNA(VLOOKUP(P1633,en!A$2:I$768,7,FALSE),-10000))</f>
        <v>4033.1849820000002</v>
      </c>
      <c r="S1633">
        <f>IF(O1633=O1632,Q1632+S1632,Q1633)</f>
        <v>4953.0736820000002</v>
      </c>
      <c r="T1633">
        <f>IF(O1633=O1632,T1632+1,1)</f>
        <v>1</v>
      </c>
      <c r="U1633" t="str">
        <f>IF(O1633=O1634,"",S1633/T1633)</f>
        <v/>
      </c>
      <c r="V1633" t="str">
        <f>IF(U1633="","",IF(ABS(Q1633-U1633)&gt;V$1,"error",""))</f>
        <v/>
      </c>
    </row>
    <row r="1634" spans="1:22" x14ac:dyDescent="0.55000000000000004">
      <c r="A1634">
        <v>1207.8686</v>
      </c>
      <c r="B1634" s="1">
        <v>1E-3</v>
      </c>
      <c r="C1634" s="1">
        <v>1E-3</v>
      </c>
      <c r="D1634" s="2" t="s">
        <v>0</v>
      </c>
      <c r="E1634">
        <v>2</v>
      </c>
      <c r="F1634" s="2" t="s">
        <v>1</v>
      </c>
      <c r="G1634">
        <v>3</v>
      </c>
      <c r="H1634">
        <v>20.5</v>
      </c>
      <c r="I1634" s="2" t="s">
        <v>0</v>
      </c>
      <c r="J1634">
        <v>2</v>
      </c>
      <c r="K1634" s="2" t="s">
        <v>1</v>
      </c>
      <c r="L1634">
        <v>2</v>
      </c>
      <c r="M1634">
        <v>19.5</v>
      </c>
      <c r="N1634" s="2" t="s">
        <v>611</v>
      </c>
      <c r="O1634" t="str">
        <f>D1634&amp;"-"&amp;E1634&amp;"-"&amp;F1634&amp;"-"&amp;G1634&amp;"-"&amp;H1634</f>
        <v>X-2-f-3-20.5</v>
      </c>
      <c r="P1634" t="str">
        <f>I1634&amp;"-"&amp;J1634&amp;"-"&amp;K1634&amp;"-"&amp;L1634&amp;"-"&amp;M1634</f>
        <v>X-2-f-2-19.5</v>
      </c>
      <c r="Q1634">
        <f>A1634+R1634</f>
        <v>4953.0733170000003</v>
      </c>
      <c r="R1634">
        <f>_xlfn.IFNA(VLOOKUP(P1634,PGOPHER!A$2:G$181,7,FALSE),_xlfn.IFNA(VLOOKUP(P1634,en!A$2:I$768,7,FALSE),-10000))</f>
        <v>3745.2047170000001</v>
      </c>
      <c r="S1634">
        <f>IF(O1634=O1633,Q1633+S1633,Q1634)</f>
        <v>9906.1473640000004</v>
      </c>
      <c r="T1634">
        <f>IF(O1634=O1633,T1633+1,1)</f>
        <v>2</v>
      </c>
      <c r="U1634">
        <f>IF(O1634=O1635,"",S1634/T1634)</f>
        <v>4953.0736820000002</v>
      </c>
      <c r="V1634" t="str">
        <f>IF(U1634="","",IF(ABS(Q1634-U1634)&gt;V$1,"error",""))</f>
        <v/>
      </c>
    </row>
    <row r="1635" spans="1:22" x14ac:dyDescent="0.55000000000000004">
      <c r="A1635">
        <v>1283.4558</v>
      </c>
      <c r="B1635" s="1">
        <v>1E-3</v>
      </c>
      <c r="C1635" s="1">
        <v>1E-3</v>
      </c>
      <c r="D1635" s="2" t="s">
        <v>0</v>
      </c>
      <c r="E1635">
        <v>1</v>
      </c>
      <c r="F1635" s="2" t="s">
        <v>2</v>
      </c>
      <c r="G1635">
        <v>1</v>
      </c>
      <c r="H1635">
        <v>21.5</v>
      </c>
      <c r="I1635" s="2" t="s">
        <v>0</v>
      </c>
      <c r="J1635">
        <v>1</v>
      </c>
      <c r="K1635" s="2" t="s">
        <v>2</v>
      </c>
      <c r="L1635">
        <v>0</v>
      </c>
      <c r="M1635">
        <v>20.5</v>
      </c>
      <c r="N1635" s="2" t="s">
        <v>299</v>
      </c>
      <c r="O1635" t="str">
        <f>D1635&amp;"-"&amp;E1635&amp;"-"&amp;F1635&amp;"-"&amp;G1635&amp;"-"&amp;H1635</f>
        <v>X-1-e-1-21.5</v>
      </c>
      <c r="P1635" t="str">
        <f>I1635&amp;"-"&amp;J1635&amp;"-"&amp;K1635&amp;"-"&amp;L1635&amp;"-"&amp;M1635</f>
        <v>X-1-e-0-20.5</v>
      </c>
      <c r="Q1635">
        <f>A1635+R1635</f>
        <v>2787.0540499999997</v>
      </c>
      <c r="R1635">
        <f>_xlfn.IFNA(VLOOKUP(P1635,PGOPHER!A$2:G$181,7,FALSE),_xlfn.IFNA(VLOOKUP(P1635,en!A$2:I$768,7,FALSE),-10000))</f>
        <v>1503.59825</v>
      </c>
      <c r="S1635">
        <f>IF(O1635=O1634,Q1634+S1634,Q1635)</f>
        <v>2787.0540499999997</v>
      </c>
      <c r="T1635">
        <f>IF(O1635=O1634,T1634+1,1)</f>
        <v>1</v>
      </c>
      <c r="U1635" t="str">
        <f>IF(O1635=O1636,"",S1635/T1635)</f>
        <v/>
      </c>
      <c r="V1635" t="str">
        <f>IF(U1635="","",IF(ABS(Q1635-U1635)&gt;V$1,"error",""))</f>
        <v/>
      </c>
    </row>
    <row r="1636" spans="1:22" x14ac:dyDescent="0.55000000000000004">
      <c r="A1636">
        <v>1283.45577</v>
      </c>
      <c r="B1636" s="1">
        <v>1E-3</v>
      </c>
      <c r="C1636" s="1">
        <v>1E-3</v>
      </c>
      <c r="D1636" s="2" t="s">
        <v>0</v>
      </c>
      <c r="E1636">
        <v>1</v>
      </c>
      <c r="F1636" s="2" t="s">
        <v>2</v>
      </c>
      <c r="G1636">
        <v>1</v>
      </c>
      <c r="H1636">
        <v>21.5</v>
      </c>
      <c r="I1636" s="2" t="s">
        <v>0</v>
      </c>
      <c r="J1636">
        <v>1</v>
      </c>
      <c r="K1636" s="2" t="s">
        <v>2</v>
      </c>
      <c r="L1636">
        <v>0</v>
      </c>
      <c r="M1636">
        <v>20.5</v>
      </c>
      <c r="N1636" s="2" t="s">
        <v>303</v>
      </c>
      <c r="O1636" t="str">
        <f>D1636&amp;"-"&amp;E1636&amp;"-"&amp;F1636&amp;"-"&amp;G1636&amp;"-"&amp;H1636</f>
        <v>X-1-e-1-21.5</v>
      </c>
      <c r="P1636" t="str">
        <f>I1636&amp;"-"&amp;J1636&amp;"-"&amp;K1636&amp;"-"&amp;L1636&amp;"-"&amp;M1636</f>
        <v>X-1-e-0-20.5</v>
      </c>
      <c r="Q1636">
        <f>A1636+R1636</f>
        <v>2787.05402</v>
      </c>
      <c r="R1636">
        <f>_xlfn.IFNA(VLOOKUP(P1636,PGOPHER!A$2:G$181,7,FALSE),_xlfn.IFNA(VLOOKUP(P1636,en!A$2:I$768,7,FALSE),-10000))</f>
        <v>1503.59825</v>
      </c>
      <c r="S1636">
        <f>IF(O1636=O1635,Q1635+S1635,Q1636)</f>
        <v>5574.1080999999995</v>
      </c>
      <c r="T1636">
        <f>IF(O1636=O1635,T1635+1,1)</f>
        <v>2</v>
      </c>
      <c r="U1636" t="str">
        <f>IF(O1636=O1637,"",S1636/T1636)</f>
        <v/>
      </c>
      <c r="V1636" t="str">
        <f>IF(U1636="","",IF(ABS(Q1636-U1636)&gt;V$1,"error",""))</f>
        <v/>
      </c>
    </row>
    <row r="1637" spans="1:22" x14ac:dyDescent="0.55000000000000004">
      <c r="A1637">
        <v>981.46050000000002</v>
      </c>
      <c r="B1637" s="1">
        <v>8.0800000000000004E-3</v>
      </c>
      <c r="C1637" s="1">
        <v>8.0800000000000004E-3</v>
      </c>
      <c r="D1637" s="2" t="s">
        <v>0</v>
      </c>
      <c r="E1637">
        <v>1</v>
      </c>
      <c r="F1637" s="2" t="s">
        <v>2</v>
      </c>
      <c r="G1637">
        <v>1</v>
      </c>
      <c r="H1637">
        <v>21.5</v>
      </c>
      <c r="I1637" s="2" t="s">
        <v>0</v>
      </c>
      <c r="J1637">
        <v>1</v>
      </c>
      <c r="K1637" s="2" t="s">
        <v>2</v>
      </c>
      <c r="L1637">
        <v>0</v>
      </c>
      <c r="M1637">
        <v>22.5</v>
      </c>
      <c r="N1637" s="2" t="s">
        <v>301</v>
      </c>
      <c r="O1637" t="str">
        <f>D1637&amp;"-"&amp;E1637&amp;"-"&amp;F1637&amp;"-"&amp;G1637&amp;"-"&amp;H1637</f>
        <v>X-1-e-1-21.5</v>
      </c>
      <c r="P1637" t="str">
        <f>I1637&amp;"-"&amp;J1637&amp;"-"&amp;K1637&amp;"-"&amp;L1637&amp;"-"&amp;M1637</f>
        <v>X-1-e-0-22.5</v>
      </c>
      <c r="Q1637">
        <f>A1637+R1637</f>
        <v>2787.054052</v>
      </c>
      <c r="R1637">
        <f>_xlfn.IFNA(VLOOKUP(P1637,PGOPHER!A$2:G$181,7,FALSE),_xlfn.IFNA(VLOOKUP(P1637,en!A$2:I$768,7,FALSE),-10000))</f>
        <v>1805.593552</v>
      </c>
      <c r="S1637">
        <f>IF(O1637=O1636,Q1636+S1636,Q1637)</f>
        <v>8361.162119999999</v>
      </c>
      <c r="T1637">
        <f>IF(O1637=O1636,T1636+1,1)</f>
        <v>3</v>
      </c>
      <c r="U1637" t="str">
        <f>IF(O1637=O1638,"",S1637/T1637)</f>
        <v/>
      </c>
      <c r="V1637" t="str">
        <f>IF(U1637="","",IF(ABS(Q1637-U1637)&gt;V$1,"error",""))</f>
        <v/>
      </c>
    </row>
    <row r="1638" spans="1:22" x14ac:dyDescent="0.55000000000000004">
      <c r="A1638">
        <v>981.46047999999996</v>
      </c>
      <c r="B1638" s="1">
        <v>1E-3</v>
      </c>
      <c r="C1638" s="1">
        <v>1E-3</v>
      </c>
      <c r="D1638" s="2" t="s">
        <v>0</v>
      </c>
      <c r="E1638">
        <v>1</v>
      </c>
      <c r="F1638" s="2" t="s">
        <v>2</v>
      </c>
      <c r="G1638">
        <v>1</v>
      </c>
      <c r="H1638">
        <v>21.5</v>
      </c>
      <c r="I1638" s="2" t="s">
        <v>0</v>
      </c>
      <c r="J1638">
        <v>1</v>
      </c>
      <c r="K1638" s="2" t="s">
        <v>2</v>
      </c>
      <c r="L1638">
        <v>0</v>
      </c>
      <c r="M1638">
        <v>22.5</v>
      </c>
      <c r="N1638" s="2" t="s">
        <v>304</v>
      </c>
      <c r="O1638" t="str">
        <f>D1638&amp;"-"&amp;E1638&amp;"-"&amp;F1638&amp;"-"&amp;G1638&amp;"-"&amp;H1638</f>
        <v>X-1-e-1-21.5</v>
      </c>
      <c r="P1638" t="str">
        <f>I1638&amp;"-"&amp;J1638&amp;"-"&amp;K1638&amp;"-"&amp;L1638&amp;"-"&amp;M1638</f>
        <v>X-1-e-0-22.5</v>
      </c>
      <c r="Q1638">
        <f>A1638+R1638</f>
        <v>2787.054032</v>
      </c>
      <c r="R1638">
        <f>_xlfn.IFNA(VLOOKUP(P1638,PGOPHER!A$2:G$181,7,FALSE),_xlfn.IFNA(VLOOKUP(P1638,en!A$2:I$768,7,FALSE),-10000))</f>
        <v>1805.593552</v>
      </c>
      <c r="S1638">
        <f>IF(O1638=O1637,Q1637+S1637,Q1638)</f>
        <v>11148.216171999999</v>
      </c>
      <c r="T1638">
        <f>IF(O1638=O1637,T1637+1,1)</f>
        <v>4</v>
      </c>
      <c r="U1638">
        <f>IF(O1638=O1639,"",S1638/T1638)</f>
        <v>2787.0540429999996</v>
      </c>
      <c r="V1638" t="str">
        <f>IF(U1638="","",IF(ABS(Q1638-U1638)&gt;V$1,"error",""))</f>
        <v/>
      </c>
    </row>
    <row r="1639" spans="1:22" x14ac:dyDescent="0.55000000000000004">
      <c r="A1639">
        <v>950.66560000000004</v>
      </c>
      <c r="B1639" s="1">
        <v>3.6299999999999999E-2</v>
      </c>
      <c r="C1639" s="1">
        <v>3.6299999999999999E-2</v>
      </c>
      <c r="D1639" s="2" t="s">
        <v>0</v>
      </c>
      <c r="E1639">
        <v>1</v>
      </c>
      <c r="F1639" s="2" t="s">
        <v>2</v>
      </c>
      <c r="G1639">
        <v>2</v>
      </c>
      <c r="H1639">
        <v>21.5</v>
      </c>
      <c r="I1639" s="2" t="s">
        <v>0</v>
      </c>
      <c r="J1639">
        <v>1</v>
      </c>
      <c r="K1639" s="2" t="s">
        <v>2</v>
      </c>
      <c r="L1639">
        <v>1</v>
      </c>
      <c r="M1639">
        <v>22.5</v>
      </c>
      <c r="N1639" s="2" t="s">
        <v>489</v>
      </c>
      <c r="O1639" t="str">
        <f>D1639&amp;"-"&amp;E1639&amp;"-"&amp;F1639&amp;"-"&amp;G1639&amp;"-"&amp;H1639</f>
        <v>X-1-e-2-21.5</v>
      </c>
      <c r="P1639" t="str">
        <f>I1639&amp;"-"&amp;J1639&amp;"-"&amp;K1639&amp;"-"&amp;L1639&amp;"-"&amp;M1639</f>
        <v>X-1-e-1-22.5</v>
      </c>
      <c r="Q1639">
        <f>A1639+R1639</f>
        <v>3888.4640140000001</v>
      </c>
      <c r="R1639">
        <f>_xlfn.IFNA(VLOOKUP(P1639,PGOPHER!A$2:G$181,7,FALSE),_xlfn.IFNA(VLOOKUP(P1639,en!A$2:I$768,7,FALSE),-10000))</f>
        <v>2937.7984139999999</v>
      </c>
      <c r="S1639">
        <f>IF(O1639=O1638,Q1638+S1638,Q1639)</f>
        <v>3888.4640140000001</v>
      </c>
      <c r="T1639">
        <f>IF(O1639=O1638,T1638+1,1)</f>
        <v>1</v>
      </c>
      <c r="U1639" t="str">
        <f>IF(O1639=O1640,"",S1639/T1639)</f>
        <v/>
      </c>
      <c r="V1639" t="str">
        <f>IF(U1639="","",IF(ABS(Q1639-U1639)&gt;V$1,"error",""))</f>
        <v/>
      </c>
    </row>
    <row r="1640" spans="1:22" x14ac:dyDescent="0.55000000000000004">
      <c r="A1640">
        <v>1245.7702999999999</v>
      </c>
      <c r="B1640" s="1">
        <v>3.0300000000000001E-2</v>
      </c>
      <c r="C1640" s="1">
        <v>3.0300000000000001E-2</v>
      </c>
      <c r="D1640" s="2" t="s">
        <v>0</v>
      </c>
      <c r="E1640">
        <v>1</v>
      </c>
      <c r="F1640" s="2" t="s">
        <v>2</v>
      </c>
      <c r="G1640">
        <v>2</v>
      </c>
      <c r="H1640">
        <v>21.5</v>
      </c>
      <c r="I1640" s="2" t="s">
        <v>0</v>
      </c>
      <c r="J1640">
        <v>1</v>
      </c>
      <c r="K1640" s="2" t="s">
        <v>2</v>
      </c>
      <c r="L1640">
        <v>1</v>
      </c>
      <c r="M1640">
        <v>20.5</v>
      </c>
      <c r="N1640" s="2" t="s">
        <v>487</v>
      </c>
      <c r="O1640" t="str">
        <f>D1640&amp;"-"&amp;E1640&amp;"-"&amp;F1640&amp;"-"&amp;G1640&amp;"-"&amp;H1640</f>
        <v>X-1-e-2-21.5</v>
      </c>
      <c r="P1640" t="str">
        <f>I1640&amp;"-"&amp;J1640&amp;"-"&amp;K1640&amp;"-"&amp;L1640&amp;"-"&amp;M1640</f>
        <v>X-1-e-1-20.5</v>
      </c>
      <c r="Q1640">
        <f>A1640+R1640</f>
        <v>3888.4633830000002</v>
      </c>
      <c r="R1640">
        <f>_xlfn.IFNA(VLOOKUP(P1640,PGOPHER!A$2:G$181,7,FALSE),_xlfn.IFNA(VLOOKUP(P1640,en!A$2:I$768,7,FALSE),-10000))</f>
        <v>2642.6930830000001</v>
      </c>
      <c r="S1640">
        <f>IF(O1640=O1639,Q1639+S1639,Q1640)</f>
        <v>7776.9280280000003</v>
      </c>
      <c r="T1640">
        <f>IF(O1640=O1639,T1639+1,1)</f>
        <v>2</v>
      </c>
      <c r="U1640">
        <f>IF(O1640=O1641,"",S1640/T1640)</f>
        <v>3888.4640140000001</v>
      </c>
      <c r="V1640" t="str">
        <f>IF(U1640="","",IF(ABS(Q1640-U1640)&gt;V$1,"error",""))</f>
        <v/>
      </c>
    </row>
    <row r="1641" spans="1:22" x14ac:dyDescent="0.55000000000000004">
      <c r="A1641">
        <v>919.70140000000004</v>
      </c>
      <c r="B1641" s="1">
        <v>1E-3</v>
      </c>
      <c r="C1641" s="1">
        <v>1E-3</v>
      </c>
      <c r="D1641" s="2" t="s">
        <v>0</v>
      </c>
      <c r="E1641">
        <v>1</v>
      </c>
      <c r="F1641" s="2" t="s">
        <v>2</v>
      </c>
      <c r="G1641">
        <v>3</v>
      </c>
      <c r="H1641">
        <v>21.5</v>
      </c>
      <c r="I1641" s="2" t="s">
        <v>0</v>
      </c>
      <c r="J1641">
        <v>1</v>
      </c>
      <c r="K1641" s="2" t="s">
        <v>2</v>
      </c>
      <c r="L1641">
        <v>2</v>
      </c>
      <c r="M1641">
        <v>22.5</v>
      </c>
      <c r="N1641" s="2" t="s">
        <v>614</v>
      </c>
      <c r="O1641" t="str">
        <f>D1641&amp;"-"&amp;E1641&amp;"-"&amp;F1641&amp;"-"&amp;G1641&amp;"-"&amp;H1641</f>
        <v>X-1-e-3-21.5</v>
      </c>
      <c r="P1641" t="str">
        <f>I1641&amp;"-"&amp;J1641&amp;"-"&amp;K1641&amp;"-"&amp;L1641&amp;"-"&amp;M1641</f>
        <v>X-1-e-2-22.5</v>
      </c>
      <c r="Q1641">
        <f>A1641+R1641</f>
        <v>4955.361723</v>
      </c>
      <c r="R1641">
        <f>_xlfn.IFNA(VLOOKUP(P1641,PGOPHER!A$2:G$181,7,FALSE),_xlfn.IFNA(VLOOKUP(P1641,en!A$2:I$768,7,FALSE),-10000))</f>
        <v>4035.6603230000001</v>
      </c>
      <c r="S1641">
        <f>IF(O1641=O1640,Q1640+S1640,Q1641)</f>
        <v>4955.361723</v>
      </c>
      <c r="T1641">
        <f>IF(O1641=O1640,T1640+1,1)</f>
        <v>1</v>
      </c>
      <c r="U1641" t="str">
        <f>IF(O1641=O1642,"",S1641/T1641)</f>
        <v/>
      </c>
      <c r="V1641" t="str">
        <f>IF(U1641="","",IF(ABS(Q1641-U1641)&gt;V$1,"error",""))</f>
        <v/>
      </c>
    </row>
    <row r="1642" spans="1:22" x14ac:dyDescent="0.55000000000000004">
      <c r="A1642">
        <v>1207.8814</v>
      </c>
      <c r="B1642" s="1">
        <v>1E-3</v>
      </c>
      <c r="C1642" s="1">
        <v>1E-3</v>
      </c>
      <c r="D1642" s="2" t="s">
        <v>0</v>
      </c>
      <c r="E1642">
        <v>1</v>
      </c>
      <c r="F1642" s="2" t="s">
        <v>2</v>
      </c>
      <c r="G1642">
        <v>3</v>
      </c>
      <c r="H1642">
        <v>21.5</v>
      </c>
      <c r="I1642" s="2" t="s">
        <v>0</v>
      </c>
      <c r="J1642">
        <v>1</v>
      </c>
      <c r="K1642" s="2" t="s">
        <v>2</v>
      </c>
      <c r="L1642">
        <v>2</v>
      </c>
      <c r="M1642">
        <v>20.5</v>
      </c>
      <c r="N1642" s="2" t="s">
        <v>613</v>
      </c>
      <c r="O1642" t="str">
        <f>D1642&amp;"-"&amp;E1642&amp;"-"&amp;F1642&amp;"-"&amp;G1642&amp;"-"&amp;H1642</f>
        <v>X-1-e-3-21.5</v>
      </c>
      <c r="P1642" t="str">
        <f>I1642&amp;"-"&amp;J1642&amp;"-"&amp;K1642&amp;"-"&amp;L1642&amp;"-"&amp;M1642</f>
        <v>X-1-e-2-20.5</v>
      </c>
      <c r="Q1642">
        <f>A1642+R1642</f>
        <v>4955.3613340000002</v>
      </c>
      <c r="R1642">
        <f>_xlfn.IFNA(VLOOKUP(P1642,PGOPHER!A$2:G$181,7,FALSE),_xlfn.IFNA(VLOOKUP(P1642,en!A$2:I$768,7,FALSE),-10000))</f>
        <v>3747.479934</v>
      </c>
      <c r="S1642">
        <f>IF(O1642=O1641,Q1641+S1641,Q1642)</f>
        <v>9910.723446</v>
      </c>
      <c r="T1642">
        <f>IF(O1642=O1641,T1641+1,1)</f>
        <v>2</v>
      </c>
      <c r="U1642">
        <f>IF(O1642=O1643,"",S1642/T1642)</f>
        <v>4955.361723</v>
      </c>
      <c r="V1642" t="str">
        <f>IF(U1642="","",IF(ABS(Q1642-U1642)&gt;V$1,"error",""))</f>
        <v/>
      </c>
    </row>
    <row r="1643" spans="1:22" x14ac:dyDescent="0.55000000000000004">
      <c r="A1643">
        <v>1286.453</v>
      </c>
      <c r="B1643" s="1">
        <v>2.9700000000000001E-2</v>
      </c>
      <c r="C1643" s="1">
        <v>2.9700000000000001E-2</v>
      </c>
      <c r="D1643" s="2" t="s">
        <v>0</v>
      </c>
      <c r="E1643">
        <v>2</v>
      </c>
      <c r="F1643" s="2" t="s">
        <v>1</v>
      </c>
      <c r="G1643">
        <v>1</v>
      </c>
      <c r="H1643">
        <v>21.5</v>
      </c>
      <c r="I1643" s="2" t="s">
        <v>0</v>
      </c>
      <c r="J1643">
        <v>2</v>
      </c>
      <c r="K1643" s="2" t="s">
        <v>1</v>
      </c>
      <c r="L1643">
        <v>0</v>
      </c>
      <c r="M1643">
        <v>20.5</v>
      </c>
      <c r="N1643" s="2" t="s">
        <v>300</v>
      </c>
      <c r="O1643" t="str">
        <f>D1643&amp;"-"&amp;E1643&amp;"-"&amp;F1643&amp;"-"&amp;G1643&amp;"-"&amp;H1643</f>
        <v>X-2-f-1-21.5</v>
      </c>
      <c r="P1643" t="str">
        <f>I1643&amp;"-"&amp;J1643&amp;"-"&amp;K1643&amp;"-"&amp;L1643&amp;"-"&amp;M1643</f>
        <v>X-2-f-0-20.5</v>
      </c>
      <c r="Q1643">
        <f>A1643+R1643</f>
        <v>2935.2345700000001</v>
      </c>
      <c r="R1643">
        <f>_xlfn.IFNA(VLOOKUP(P1643,PGOPHER!A$2:G$181,7,FALSE),_xlfn.IFNA(VLOOKUP(P1643,en!A$2:I$768,7,FALSE),-10000))</f>
        <v>1648.7815700000001</v>
      </c>
      <c r="S1643">
        <f>IF(O1643=O1642,Q1642+S1642,Q1643)</f>
        <v>2935.2345700000001</v>
      </c>
      <c r="T1643">
        <f>IF(O1643=O1642,T1642+1,1)</f>
        <v>1</v>
      </c>
      <c r="U1643" t="str">
        <f>IF(O1643=O1644,"",S1643/T1643)</f>
        <v/>
      </c>
      <c r="V1643" t="str">
        <f>IF(U1643="","",IF(ABS(Q1643-U1643)&gt;V$1,"error",""))</f>
        <v/>
      </c>
    </row>
    <row r="1644" spans="1:22" x14ac:dyDescent="0.55000000000000004">
      <c r="A1644">
        <v>1286.4529500000001</v>
      </c>
      <c r="B1644" s="1">
        <v>1.9589999999999998E-3</v>
      </c>
      <c r="C1644" s="1">
        <v>1.9589999999999998E-3</v>
      </c>
      <c r="D1644" s="2" t="s">
        <v>0</v>
      </c>
      <c r="E1644">
        <v>2</v>
      </c>
      <c r="F1644" s="2" t="s">
        <v>1</v>
      </c>
      <c r="G1644">
        <v>1</v>
      </c>
      <c r="H1644">
        <v>21.5</v>
      </c>
      <c r="I1644" s="2" t="s">
        <v>0</v>
      </c>
      <c r="J1644">
        <v>2</v>
      </c>
      <c r="K1644" s="2" t="s">
        <v>1</v>
      </c>
      <c r="L1644">
        <v>0</v>
      </c>
      <c r="M1644">
        <v>20.5</v>
      </c>
      <c r="N1644" s="2" t="s">
        <v>305</v>
      </c>
      <c r="O1644" t="str">
        <f>D1644&amp;"-"&amp;E1644&amp;"-"&amp;F1644&amp;"-"&amp;G1644&amp;"-"&amp;H1644</f>
        <v>X-2-f-1-21.5</v>
      </c>
      <c r="P1644" t="str">
        <f>I1644&amp;"-"&amp;J1644&amp;"-"&amp;K1644&amp;"-"&amp;L1644&amp;"-"&amp;M1644</f>
        <v>X-2-f-0-20.5</v>
      </c>
      <c r="Q1644">
        <f>A1644+R1644</f>
        <v>2935.23452</v>
      </c>
      <c r="R1644">
        <f>_xlfn.IFNA(VLOOKUP(P1644,PGOPHER!A$2:G$181,7,FALSE),_xlfn.IFNA(VLOOKUP(P1644,en!A$2:I$768,7,FALSE),-10000))</f>
        <v>1648.7815700000001</v>
      </c>
      <c r="S1644">
        <f>IF(O1644=O1643,Q1643+S1643,Q1644)</f>
        <v>5870.4691400000002</v>
      </c>
      <c r="T1644">
        <f>IF(O1644=O1643,T1643+1,1)</f>
        <v>2</v>
      </c>
      <c r="U1644" t="str">
        <f>IF(O1644=O1645,"",S1644/T1644)</f>
        <v/>
      </c>
      <c r="V1644" t="str">
        <f>IF(U1644="","",IF(ABS(Q1644-U1644)&gt;V$1,"error",""))</f>
        <v/>
      </c>
    </row>
    <row r="1645" spans="1:22" x14ac:dyDescent="0.55000000000000004">
      <c r="A1645">
        <v>971.66210000000001</v>
      </c>
      <c r="B1645" s="1">
        <v>3.7999999999999999E-2</v>
      </c>
      <c r="C1645" s="1">
        <v>3.7999999999999999E-2</v>
      </c>
      <c r="D1645" s="2" t="s">
        <v>0</v>
      </c>
      <c r="E1645">
        <v>2</v>
      </c>
      <c r="F1645" s="2" t="s">
        <v>1</v>
      </c>
      <c r="G1645">
        <v>1</v>
      </c>
      <c r="H1645">
        <v>21.5</v>
      </c>
      <c r="I1645" s="2" t="s">
        <v>0</v>
      </c>
      <c r="J1645">
        <v>2</v>
      </c>
      <c r="K1645" s="2" t="s">
        <v>1</v>
      </c>
      <c r="L1645">
        <v>0</v>
      </c>
      <c r="M1645">
        <v>22.5</v>
      </c>
      <c r="N1645" s="2" t="s">
        <v>302</v>
      </c>
      <c r="O1645" t="str">
        <f>D1645&amp;"-"&amp;E1645&amp;"-"&amp;F1645&amp;"-"&amp;G1645&amp;"-"&amp;H1645</f>
        <v>X-2-f-1-21.5</v>
      </c>
      <c r="P1645" t="str">
        <f>I1645&amp;"-"&amp;J1645&amp;"-"&amp;K1645&amp;"-"&amp;L1645&amp;"-"&amp;M1645</f>
        <v>X-2-f-0-22.5</v>
      </c>
      <c r="Q1645">
        <f>A1645+R1645</f>
        <v>2935.2361019999998</v>
      </c>
      <c r="R1645">
        <f>_xlfn.IFNA(VLOOKUP(P1645,PGOPHER!A$2:G$181,7,FALSE),_xlfn.IFNA(VLOOKUP(P1645,en!A$2:I$768,7,FALSE),-10000))</f>
        <v>1963.5740020000001</v>
      </c>
      <c r="S1645">
        <f>IF(O1645=O1644,Q1644+S1644,Q1645)</f>
        <v>8805.7036599999992</v>
      </c>
      <c r="T1645">
        <f>IF(O1645=O1644,T1644+1,1)</f>
        <v>3</v>
      </c>
      <c r="U1645" t="str">
        <f>IF(O1645=O1646,"",S1645/T1645)</f>
        <v/>
      </c>
      <c r="V1645" t="str">
        <f>IF(U1645="","",IF(ABS(Q1645-U1645)&gt;V$1,"error",""))</f>
        <v/>
      </c>
    </row>
    <row r="1646" spans="1:22" x14ac:dyDescent="0.55000000000000004">
      <c r="A1646">
        <v>971.66205000000002</v>
      </c>
      <c r="B1646" s="1">
        <v>1.9610000000000001E-3</v>
      </c>
      <c r="C1646" s="1">
        <v>1.9610000000000001E-3</v>
      </c>
      <c r="D1646" s="2" t="s">
        <v>0</v>
      </c>
      <c r="E1646">
        <v>2</v>
      </c>
      <c r="F1646" s="2" t="s">
        <v>1</v>
      </c>
      <c r="G1646">
        <v>1</v>
      </c>
      <c r="H1646">
        <v>21.5</v>
      </c>
      <c r="I1646" s="2" t="s">
        <v>0</v>
      </c>
      <c r="J1646">
        <v>2</v>
      </c>
      <c r="K1646" s="2" t="s">
        <v>1</v>
      </c>
      <c r="L1646">
        <v>0</v>
      </c>
      <c r="M1646">
        <v>22.5</v>
      </c>
      <c r="N1646" s="2" t="s">
        <v>306</v>
      </c>
      <c r="O1646" t="str">
        <f>D1646&amp;"-"&amp;E1646&amp;"-"&amp;F1646&amp;"-"&amp;G1646&amp;"-"&amp;H1646</f>
        <v>X-2-f-1-21.5</v>
      </c>
      <c r="P1646" t="str">
        <f>I1646&amp;"-"&amp;J1646&amp;"-"&amp;K1646&amp;"-"&amp;L1646&amp;"-"&amp;M1646</f>
        <v>X-2-f-0-22.5</v>
      </c>
      <c r="Q1646">
        <f>A1646+R1646</f>
        <v>2935.2360520000002</v>
      </c>
      <c r="R1646">
        <f>_xlfn.IFNA(VLOOKUP(P1646,PGOPHER!A$2:G$181,7,FALSE),_xlfn.IFNA(VLOOKUP(P1646,en!A$2:I$768,7,FALSE),-10000))</f>
        <v>1963.5740020000001</v>
      </c>
      <c r="S1646">
        <f>IF(O1646=O1645,Q1645+S1645,Q1646)</f>
        <v>11740.939761999998</v>
      </c>
      <c r="T1646">
        <f>IF(O1646=O1645,T1645+1,1)</f>
        <v>4</v>
      </c>
      <c r="U1646">
        <f>IF(O1646=O1647,"",S1646/T1646)</f>
        <v>2935.2349404999995</v>
      </c>
      <c r="V1646" t="str">
        <f>IF(U1646="","",IF(ABS(Q1646-U1646)&gt;V$1,"error",""))</f>
        <v/>
      </c>
    </row>
    <row r="1647" spans="1:22" x14ac:dyDescent="0.55000000000000004">
      <c r="A1647">
        <v>941.00260000000003</v>
      </c>
      <c r="B1647" s="1">
        <v>6.1700000000000001E-3</v>
      </c>
      <c r="C1647" s="1">
        <v>6.1700000000000001E-3</v>
      </c>
      <c r="D1647" s="2" t="s">
        <v>0</v>
      </c>
      <c r="E1647">
        <v>2</v>
      </c>
      <c r="F1647" s="2" t="s">
        <v>1</v>
      </c>
      <c r="G1647">
        <v>2</v>
      </c>
      <c r="H1647">
        <v>21.5</v>
      </c>
      <c r="I1647" s="2" t="s">
        <v>0</v>
      </c>
      <c r="J1647">
        <v>2</v>
      </c>
      <c r="K1647" s="2" t="s">
        <v>1</v>
      </c>
      <c r="L1647">
        <v>1</v>
      </c>
      <c r="M1647">
        <v>22.5</v>
      </c>
      <c r="N1647" s="2" t="s">
        <v>490</v>
      </c>
      <c r="O1647" t="str">
        <f>D1647&amp;"-"&amp;E1647&amp;"-"&amp;F1647&amp;"-"&amp;G1647&amp;"-"&amp;H1647</f>
        <v>X-2-f-2-21.5</v>
      </c>
      <c r="P1647" t="str">
        <f>I1647&amp;"-"&amp;J1647&amp;"-"&amp;K1647&amp;"-"&amp;L1647&amp;"-"&amp;M1647</f>
        <v>X-2-f-1-22.5</v>
      </c>
      <c r="Q1647">
        <f>A1647+R1647</f>
        <v>4033.1858570000004</v>
      </c>
      <c r="R1647">
        <f>_xlfn.IFNA(VLOOKUP(P1647,PGOPHER!A$2:G$181,7,FALSE),_xlfn.IFNA(VLOOKUP(P1647,en!A$2:I$768,7,FALSE),-10000))</f>
        <v>3092.1832570000001</v>
      </c>
      <c r="S1647">
        <f>IF(O1647=O1646,Q1646+S1646,Q1647)</f>
        <v>4033.1858570000004</v>
      </c>
      <c r="T1647">
        <f>IF(O1647=O1646,T1646+1,1)</f>
        <v>1</v>
      </c>
      <c r="U1647" t="str">
        <f>IF(O1647=O1648,"",S1647/T1647)</f>
        <v/>
      </c>
      <c r="V1647" t="str">
        <f>IF(U1647="","",IF(ABS(Q1647-U1647)&gt;V$1,"error",""))</f>
        <v/>
      </c>
    </row>
    <row r="1648" spans="1:22" x14ac:dyDescent="0.55000000000000004">
      <c r="A1648">
        <v>1248.5938000000001</v>
      </c>
      <c r="B1648" s="1">
        <v>1E-3</v>
      </c>
      <c r="C1648" s="1">
        <v>1E-3</v>
      </c>
      <c r="D1648" s="2" t="s">
        <v>0</v>
      </c>
      <c r="E1648">
        <v>2</v>
      </c>
      <c r="F1648" s="2" t="s">
        <v>1</v>
      </c>
      <c r="G1648">
        <v>2</v>
      </c>
      <c r="H1648">
        <v>21.5</v>
      </c>
      <c r="I1648" s="2" t="s">
        <v>0</v>
      </c>
      <c r="J1648">
        <v>2</v>
      </c>
      <c r="K1648" s="2" t="s">
        <v>1</v>
      </c>
      <c r="L1648">
        <v>1</v>
      </c>
      <c r="M1648">
        <v>20.5</v>
      </c>
      <c r="N1648" s="2" t="s">
        <v>488</v>
      </c>
      <c r="O1648" t="str">
        <f>D1648&amp;"-"&amp;E1648&amp;"-"&amp;F1648&amp;"-"&amp;G1648&amp;"-"&amp;H1648</f>
        <v>X-2-f-2-21.5</v>
      </c>
      <c r="P1648" t="str">
        <f>I1648&amp;"-"&amp;J1648&amp;"-"&amp;K1648&amp;"-"&amp;L1648&amp;"-"&amp;M1648</f>
        <v>X-2-f-1-20.5</v>
      </c>
      <c r="Q1648">
        <f>A1648+R1648</f>
        <v>4033.1851420000003</v>
      </c>
      <c r="R1648">
        <f>_xlfn.IFNA(VLOOKUP(P1648,PGOPHER!A$2:G$181,7,FALSE),_xlfn.IFNA(VLOOKUP(P1648,en!A$2:I$768,7,FALSE),-10000))</f>
        <v>2784.5913420000002</v>
      </c>
      <c r="S1648">
        <f>IF(O1648=O1647,Q1647+S1647,Q1648)</f>
        <v>8066.3717140000008</v>
      </c>
      <c r="T1648">
        <f>IF(O1648=O1647,T1647+1,1)</f>
        <v>2</v>
      </c>
      <c r="U1648">
        <f>IF(O1648=O1649,"",S1648/T1648)</f>
        <v>4033.1858570000004</v>
      </c>
      <c r="V1648" t="str">
        <f>IF(U1648="","",IF(ABS(Q1648-U1648)&gt;V$1,"error",""))</f>
        <v/>
      </c>
    </row>
    <row r="1649" spans="1:22" x14ac:dyDescent="0.55000000000000004">
      <c r="A1649">
        <v>1171.9956</v>
      </c>
      <c r="B1649" s="1">
        <v>1E-3</v>
      </c>
      <c r="C1649" s="1">
        <v>1E-3</v>
      </c>
      <c r="D1649" s="2" t="s">
        <v>0</v>
      </c>
      <c r="E1649">
        <v>2</v>
      </c>
      <c r="F1649" s="2" t="s">
        <v>1</v>
      </c>
      <c r="G1649">
        <v>4</v>
      </c>
      <c r="H1649">
        <v>21.5</v>
      </c>
      <c r="I1649" s="2" t="s">
        <v>0</v>
      </c>
      <c r="J1649">
        <v>2</v>
      </c>
      <c r="K1649" s="2" t="s">
        <v>1</v>
      </c>
      <c r="L1649">
        <v>3</v>
      </c>
      <c r="M1649">
        <v>20.5</v>
      </c>
      <c r="N1649" s="2" t="s">
        <v>675</v>
      </c>
      <c r="O1649" t="str">
        <f>D1649&amp;"-"&amp;E1649&amp;"-"&amp;F1649&amp;"-"&amp;G1649&amp;"-"&amp;H1649</f>
        <v>X-2-f-4-21.5</v>
      </c>
      <c r="P1649" t="str">
        <f>I1649&amp;"-"&amp;J1649&amp;"-"&amp;K1649&amp;"-"&amp;L1649&amp;"-"&amp;M1649</f>
        <v>X-2-f-3-20.5</v>
      </c>
      <c r="Q1649">
        <f>A1649+R1649</f>
        <v>6125.0690990000003</v>
      </c>
      <c r="R1649">
        <f>_xlfn.IFNA(VLOOKUP(P1649,PGOPHER!A$2:G$181,7,FALSE),_xlfn.IFNA(VLOOKUP(P1649,en!A$2:I$768,7,FALSE),-10000))</f>
        <v>4953.0734990000001</v>
      </c>
      <c r="S1649">
        <f>IF(O1649=O1648,Q1648+S1648,Q1649)</f>
        <v>6125.0690990000003</v>
      </c>
      <c r="T1649">
        <f>IF(O1649=O1648,T1648+1,1)</f>
        <v>1</v>
      </c>
      <c r="U1649">
        <f>IF(O1649=O1650,"",S1649/T1649)</f>
        <v>6125.0690990000003</v>
      </c>
      <c r="V1649" t="str">
        <f>IF(U1649="","",IF(ABS(Q1649-U1649)&gt;V$1,"error",""))</f>
        <v/>
      </c>
    </row>
    <row r="1650" spans="1:22" x14ac:dyDescent="0.55000000000000004">
      <c r="A1650">
        <v>971.46465999999998</v>
      </c>
      <c r="B1650" s="1">
        <v>1E-3</v>
      </c>
      <c r="C1650" s="1">
        <v>1E-3</v>
      </c>
      <c r="D1650" s="2" t="s">
        <v>0</v>
      </c>
      <c r="E1650">
        <v>1</v>
      </c>
      <c r="F1650" s="2" t="s">
        <v>2</v>
      </c>
      <c r="G1650">
        <v>1</v>
      </c>
      <c r="H1650">
        <v>22.5</v>
      </c>
      <c r="I1650" s="2" t="s">
        <v>0</v>
      </c>
      <c r="J1650">
        <v>1</v>
      </c>
      <c r="K1650" s="2" t="s">
        <v>2</v>
      </c>
      <c r="L1650">
        <v>0</v>
      </c>
      <c r="M1650">
        <v>23.5</v>
      </c>
      <c r="N1650" s="2" t="s">
        <v>312</v>
      </c>
      <c r="O1650" t="str">
        <f>D1650&amp;"-"&amp;E1650&amp;"-"&amp;F1650&amp;"-"&amp;G1650&amp;"-"&amp;H1650</f>
        <v>X-1-e-1-22.5</v>
      </c>
      <c r="P1650" t="str">
        <f>I1650&amp;"-"&amp;J1650&amp;"-"&amp;K1650&amp;"-"&amp;L1650&amp;"-"&amp;M1650</f>
        <v>X-1-e-0-23.5</v>
      </c>
      <c r="Q1650">
        <f>A1650+R1650</f>
        <v>2937.7984080000001</v>
      </c>
      <c r="R1650">
        <f>_xlfn.IFNA(VLOOKUP(P1650,PGOPHER!A$2:G$181,7,FALSE),_xlfn.IFNA(VLOOKUP(P1650,en!A$2:I$768,7,FALSE),-10000))</f>
        <v>1966.333748</v>
      </c>
      <c r="S1650">
        <f>IF(O1650=O1649,Q1649+S1649,Q1650)</f>
        <v>2937.7984080000001</v>
      </c>
      <c r="T1650">
        <f>IF(O1650=O1649,T1649+1,1)</f>
        <v>1</v>
      </c>
      <c r="U1650" t="str">
        <f>IF(O1650=O1651,"",S1650/T1650)</f>
        <v/>
      </c>
      <c r="V1650" t="str">
        <f>IF(U1650="","",IF(ABS(Q1650-U1650)&gt;V$1,"error",""))</f>
        <v/>
      </c>
    </row>
    <row r="1651" spans="1:22" x14ac:dyDescent="0.55000000000000004">
      <c r="A1651">
        <v>1286.4692</v>
      </c>
      <c r="B1651" s="1">
        <v>1E-3</v>
      </c>
      <c r="C1651" s="1">
        <v>1E-3</v>
      </c>
      <c r="D1651" s="2" t="s">
        <v>0</v>
      </c>
      <c r="E1651">
        <v>1</v>
      </c>
      <c r="F1651" s="2" t="s">
        <v>2</v>
      </c>
      <c r="G1651">
        <v>1</v>
      </c>
      <c r="H1651">
        <v>22.5</v>
      </c>
      <c r="I1651" s="2" t="s">
        <v>0</v>
      </c>
      <c r="J1651">
        <v>1</v>
      </c>
      <c r="K1651" s="2" t="s">
        <v>2</v>
      </c>
      <c r="L1651">
        <v>0</v>
      </c>
      <c r="M1651">
        <v>21.5</v>
      </c>
      <c r="N1651" s="2" t="s">
        <v>311</v>
      </c>
      <c r="O1651" t="str">
        <f>D1651&amp;"-"&amp;E1651&amp;"-"&amp;F1651&amp;"-"&amp;G1651&amp;"-"&amp;H1651</f>
        <v>X-1-e-1-22.5</v>
      </c>
      <c r="P1651" t="str">
        <f>I1651&amp;"-"&amp;J1651&amp;"-"&amp;K1651&amp;"-"&amp;L1651&amp;"-"&amp;M1651</f>
        <v>X-1-e-0-21.5</v>
      </c>
      <c r="Q1651">
        <f>A1651+R1651</f>
        <v>2937.7984349999997</v>
      </c>
      <c r="R1651">
        <f>_xlfn.IFNA(VLOOKUP(P1651,PGOPHER!A$2:G$181,7,FALSE),_xlfn.IFNA(VLOOKUP(P1651,en!A$2:I$768,7,FALSE),-10000))</f>
        <v>1651.3292349999999</v>
      </c>
      <c r="S1651">
        <f>IF(O1651=O1650,Q1650+S1650,Q1651)</f>
        <v>5875.5968160000002</v>
      </c>
      <c r="T1651">
        <f>IF(O1651=O1650,T1650+1,1)</f>
        <v>2</v>
      </c>
      <c r="U1651" t="str">
        <f>IF(O1651=O1652,"",S1651/T1651)</f>
        <v/>
      </c>
      <c r="V1651" t="str">
        <f>IF(U1651="","",IF(ABS(Q1651-U1651)&gt;V$1,"error",""))</f>
        <v/>
      </c>
    </row>
    <row r="1652" spans="1:22" x14ac:dyDescent="0.55000000000000004">
      <c r="A1652">
        <v>971.46469999999999</v>
      </c>
      <c r="B1652" s="1">
        <v>2.3199999999999998E-2</v>
      </c>
      <c r="C1652" s="1">
        <v>2.3199999999999998E-2</v>
      </c>
      <c r="D1652" s="2" t="s">
        <v>0</v>
      </c>
      <c r="E1652">
        <v>1</v>
      </c>
      <c r="F1652" s="2" t="s">
        <v>2</v>
      </c>
      <c r="G1652">
        <v>1</v>
      </c>
      <c r="H1652">
        <v>22.5</v>
      </c>
      <c r="I1652" s="2" t="s">
        <v>0</v>
      </c>
      <c r="J1652">
        <v>1</v>
      </c>
      <c r="K1652" s="2" t="s">
        <v>2</v>
      </c>
      <c r="L1652">
        <v>0</v>
      </c>
      <c r="M1652">
        <v>23.5</v>
      </c>
      <c r="N1652" s="2" t="s">
        <v>309</v>
      </c>
      <c r="O1652" t="str">
        <f>D1652&amp;"-"&amp;E1652&amp;"-"&amp;F1652&amp;"-"&amp;G1652&amp;"-"&amp;H1652</f>
        <v>X-1-e-1-22.5</v>
      </c>
      <c r="P1652" t="str">
        <f>I1652&amp;"-"&amp;J1652&amp;"-"&amp;K1652&amp;"-"&amp;L1652&amp;"-"&amp;M1652</f>
        <v>X-1-e-0-23.5</v>
      </c>
      <c r="Q1652">
        <f>A1652+R1652</f>
        <v>2937.798448</v>
      </c>
      <c r="R1652">
        <f>_xlfn.IFNA(VLOOKUP(P1652,PGOPHER!A$2:G$181,7,FALSE),_xlfn.IFNA(VLOOKUP(P1652,en!A$2:I$768,7,FALSE),-10000))</f>
        <v>1966.333748</v>
      </c>
      <c r="S1652">
        <f>IF(O1652=O1651,Q1651+S1651,Q1652)</f>
        <v>8813.3952509999999</v>
      </c>
      <c r="T1652">
        <f>IF(O1652=O1651,T1651+1,1)</f>
        <v>3</v>
      </c>
      <c r="U1652" t="str">
        <f>IF(O1652=O1653,"",S1652/T1652)</f>
        <v/>
      </c>
      <c r="V1652" t="str">
        <f>IF(U1652="","",IF(ABS(Q1652-U1652)&gt;V$1,"error",""))</f>
        <v/>
      </c>
    </row>
    <row r="1653" spans="1:22" x14ac:dyDescent="0.55000000000000004">
      <c r="A1653">
        <v>1286.4692</v>
      </c>
      <c r="B1653" s="1">
        <v>2.35E-2</v>
      </c>
      <c r="C1653" s="1">
        <v>2.35E-2</v>
      </c>
      <c r="D1653" s="2" t="s">
        <v>0</v>
      </c>
      <c r="E1653">
        <v>1</v>
      </c>
      <c r="F1653" s="2" t="s">
        <v>2</v>
      </c>
      <c r="G1653">
        <v>1</v>
      </c>
      <c r="H1653">
        <v>22.5</v>
      </c>
      <c r="I1653" s="2" t="s">
        <v>0</v>
      </c>
      <c r="J1653">
        <v>1</v>
      </c>
      <c r="K1653" s="2" t="s">
        <v>2</v>
      </c>
      <c r="L1653">
        <v>0</v>
      </c>
      <c r="M1653">
        <v>21.5</v>
      </c>
      <c r="N1653" s="2" t="s">
        <v>307</v>
      </c>
      <c r="O1653" t="str">
        <f>D1653&amp;"-"&amp;E1653&amp;"-"&amp;F1653&amp;"-"&amp;G1653&amp;"-"&amp;H1653</f>
        <v>X-1-e-1-22.5</v>
      </c>
      <c r="P1653" t="str">
        <f>I1653&amp;"-"&amp;J1653&amp;"-"&amp;K1653&amp;"-"&amp;L1653&amp;"-"&amp;M1653</f>
        <v>X-1-e-0-21.5</v>
      </c>
      <c r="Q1653">
        <f>A1653+R1653</f>
        <v>2937.7984349999997</v>
      </c>
      <c r="R1653">
        <f>_xlfn.IFNA(VLOOKUP(P1653,PGOPHER!A$2:G$181,7,FALSE),_xlfn.IFNA(VLOOKUP(P1653,en!A$2:I$768,7,FALSE),-10000))</f>
        <v>1651.3292349999999</v>
      </c>
      <c r="S1653">
        <f>IF(O1653=O1652,Q1652+S1652,Q1653)</f>
        <v>11751.193698999999</v>
      </c>
      <c r="T1653">
        <f>IF(O1653=O1652,T1652+1,1)</f>
        <v>4</v>
      </c>
      <c r="U1653">
        <f>IF(O1653=O1654,"",S1653/T1653)</f>
        <v>2937.7984247499999</v>
      </c>
      <c r="V1653" t="str">
        <f>IF(U1653="","",IF(ABS(Q1653-U1653)&gt;V$1,"error",""))</f>
        <v/>
      </c>
    </row>
    <row r="1654" spans="1:22" x14ac:dyDescent="0.55000000000000004">
      <c r="A1654">
        <v>940.81</v>
      </c>
      <c r="B1654" s="1">
        <v>5.45E-3</v>
      </c>
      <c r="C1654" s="1">
        <v>5.45E-3</v>
      </c>
      <c r="D1654" s="2" t="s">
        <v>0</v>
      </c>
      <c r="E1654">
        <v>1</v>
      </c>
      <c r="F1654" s="2" t="s">
        <v>2</v>
      </c>
      <c r="G1654">
        <v>2</v>
      </c>
      <c r="H1654">
        <v>22.5</v>
      </c>
      <c r="I1654" s="2" t="s">
        <v>0</v>
      </c>
      <c r="J1654">
        <v>1</v>
      </c>
      <c r="K1654" s="2" t="s">
        <v>2</v>
      </c>
      <c r="L1654">
        <v>1</v>
      </c>
      <c r="M1654">
        <v>23.5</v>
      </c>
      <c r="N1654" s="2" t="s">
        <v>493</v>
      </c>
      <c r="O1654" t="str">
        <f>D1654&amp;"-"&amp;E1654&amp;"-"&amp;F1654&amp;"-"&amp;G1654&amp;"-"&amp;H1654</f>
        <v>X-1-e-2-22.5</v>
      </c>
      <c r="P1654" t="str">
        <f>I1654&amp;"-"&amp;J1654&amp;"-"&amp;K1654&amp;"-"&amp;L1654&amp;"-"&amp;M1654</f>
        <v>X-1-e-1-23.5</v>
      </c>
      <c r="Q1654">
        <f>A1654+R1654</f>
        <v>4035.6589429999999</v>
      </c>
      <c r="R1654">
        <f>_xlfn.IFNA(VLOOKUP(P1654,PGOPHER!A$2:G$181,7,FALSE),_xlfn.IFNA(VLOOKUP(P1654,en!A$2:I$768,7,FALSE),-10000))</f>
        <v>3094.848943</v>
      </c>
      <c r="S1654">
        <f>IF(O1654=O1653,Q1653+S1653,Q1654)</f>
        <v>4035.6589429999999</v>
      </c>
      <c r="T1654">
        <f>IF(O1654=O1653,T1653+1,1)</f>
        <v>1</v>
      </c>
      <c r="U1654" t="str">
        <f>IF(O1654=O1655,"",S1654/T1654)</f>
        <v/>
      </c>
      <c r="V1654" t="str">
        <f>IF(U1654="","",IF(ABS(Q1654-U1654)&gt;V$1,"error",""))</f>
        <v/>
      </c>
    </row>
    <row r="1655" spans="1:22" x14ac:dyDescent="0.55000000000000004">
      <c r="A1655">
        <v>1248.6066000000001</v>
      </c>
      <c r="B1655" s="1">
        <v>1E-3</v>
      </c>
      <c r="C1655" s="1">
        <v>1E-3</v>
      </c>
      <c r="D1655" s="2" t="s">
        <v>0</v>
      </c>
      <c r="E1655">
        <v>1</v>
      </c>
      <c r="F1655" s="2" t="s">
        <v>2</v>
      </c>
      <c r="G1655">
        <v>2</v>
      </c>
      <c r="H1655">
        <v>22.5</v>
      </c>
      <c r="I1655" s="2" t="s">
        <v>0</v>
      </c>
      <c r="J1655">
        <v>1</v>
      </c>
      <c r="K1655" s="2" t="s">
        <v>2</v>
      </c>
      <c r="L1655">
        <v>1</v>
      </c>
      <c r="M1655">
        <v>21.5</v>
      </c>
      <c r="N1655" s="2" t="s">
        <v>491</v>
      </c>
      <c r="O1655" t="str">
        <f>D1655&amp;"-"&amp;E1655&amp;"-"&amp;F1655&amp;"-"&amp;G1655&amp;"-"&amp;H1655</f>
        <v>X-1-e-2-22.5</v>
      </c>
      <c r="P1655" t="str">
        <f>I1655&amp;"-"&amp;J1655&amp;"-"&amp;K1655&amp;"-"&amp;L1655&amp;"-"&amp;M1655</f>
        <v>X-1-e-1-21.5</v>
      </c>
      <c r="Q1655">
        <f>A1655+R1655</f>
        <v>4035.6605640000002</v>
      </c>
      <c r="R1655">
        <f>_xlfn.IFNA(VLOOKUP(P1655,PGOPHER!A$2:G$181,7,FALSE),_xlfn.IFNA(VLOOKUP(P1655,en!A$2:I$768,7,FALSE),-10000))</f>
        <v>2787.0539640000002</v>
      </c>
      <c r="S1655">
        <f>IF(O1655=O1654,Q1654+S1654,Q1655)</f>
        <v>8071.3178859999998</v>
      </c>
      <c r="T1655">
        <f>IF(O1655=O1654,T1654+1,1)</f>
        <v>2</v>
      </c>
      <c r="U1655">
        <f>IF(O1655=O1656,"",S1655/T1655)</f>
        <v>4035.6589429999999</v>
      </c>
      <c r="V1655" t="str">
        <f>IF(U1655="","",IF(ABS(Q1655-U1655)&gt;V$1,"error",""))</f>
        <v/>
      </c>
    </row>
    <row r="1656" spans="1:22" x14ac:dyDescent="0.55000000000000004">
      <c r="A1656">
        <v>1210.5245</v>
      </c>
      <c r="B1656" s="1">
        <v>1E-3</v>
      </c>
      <c r="C1656" s="1">
        <v>1E-3</v>
      </c>
      <c r="D1656" s="2" t="s">
        <v>0</v>
      </c>
      <c r="E1656">
        <v>1</v>
      </c>
      <c r="F1656" s="2" t="s">
        <v>2</v>
      </c>
      <c r="G1656">
        <v>3</v>
      </c>
      <c r="H1656">
        <v>22.5</v>
      </c>
      <c r="I1656" s="2" t="s">
        <v>0</v>
      </c>
      <c r="J1656">
        <v>1</v>
      </c>
      <c r="K1656" s="2" t="s">
        <v>2</v>
      </c>
      <c r="L1656">
        <v>2</v>
      </c>
      <c r="M1656">
        <v>21.5</v>
      </c>
      <c r="N1656" s="2" t="s">
        <v>615</v>
      </c>
      <c r="O1656" t="str">
        <f>D1656&amp;"-"&amp;E1656&amp;"-"&amp;F1656&amp;"-"&amp;G1656&amp;"-"&amp;H1656</f>
        <v>X-1-e-3-22.5</v>
      </c>
      <c r="P1656" t="str">
        <f>I1656&amp;"-"&amp;J1656&amp;"-"&amp;K1656&amp;"-"&amp;L1656&amp;"-"&amp;M1656</f>
        <v>X-1-e-2-21.5</v>
      </c>
      <c r="Q1656">
        <f>A1656+R1656</f>
        <v>5098.9868299999998</v>
      </c>
      <c r="R1656">
        <f>_xlfn.IFNA(VLOOKUP(P1656,PGOPHER!A$2:G$181,7,FALSE),_xlfn.IFNA(VLOOKUP(P1656,en!A$2:I$768,7,FALSE),-10000))</f>
        <v>3888.4623299999998</v>
      </c>
      <c r="S1656">
        <f>IF(O1656=O1655,Q1655+S1655,Q1656)</f>
        <v>5098.9868299999998</v>
      </c>
      <c r="T1656">
        <f>IF(O1656=O1655,T1655+1,1)</f>
        <v>1</v>
      </c>
      <c r="U1656">
        <f>IF(O1656=O1657,"",S1656/T1656)</f>
        <v>5098.9868299999998</v>
      </c>
      <c r="V1656" t="str">
        <f>IF(U1656="","",IF(ABS(Q1656-U1656)&gt;V$1,"error",""))</f>
        <v/>
      </c>
    </row>
    <row r="1657" spans="1:22" x14ac:dyDescent="0.55000000000000004">
      <c r="A1657">
        <v>1172.0059000000001</v>
      </c>
      <c r="B1657" s="1">
        <v>1E-3</v>
      </c>
      <c r="C1657" s="1">
        <v>1E-3</v>
      </c>
      <c r="D1657" s="2" t="s">
        <v>0</v>
      </c>
      <c r="E1657">
        <v>1</v>
      </c>
      <c r="F1657" s="2" t="s">
        <v>2</v>
      </c>
      <c r="G1657">
        <v>4</v>
      </c>
      <c r="H1657">
        <v>22.5</v>
      </c>
      <c r="I1657" s="2" t="s">
        <v>0</v>
      </c>
      <c r="J1657">
        <v>1</v>
      </c>
      <c r="K1657" s="2" t="s">
        <v>2</v>
      </c>
      <c r="L1657">
        <v>3</v>
      </c>
      <c r="M1657">
        <v>21.5</v>
      </c>
      <c r="N1657" s="2" t="s">
        <v>676</v>
      </c>
      <c r="O1657" t="str">
        <f>D1657&amp;"-"&amp;E1657&amp;"-"&amp;F1657&amp;"-"&amp;G1657&amp;"-"&amp;H1657</f>
        <v>X-1-e-4-22.5</v>
      </c>
      <c r="P1657" t="str">
        <f>I1657&amp;"-"&amp;J1657&amp;"-"&amp;K1657&amp;"-"&amp;L1657&amp;"-"&amp;M1657</f>
        <v>X-1-e-3-21.5</v>
      </c>
      <c r="Q1657">
        <f>A1657+R1657</f>
        <v>6127.3674280000005</v>
      </c>
      <c r="R1657">
        <f>_xlfn.IFNA(VLOOKUP(P1657,PGOPHER!A$2:G$181,7,FALSE),_xlfn.IFNA(VLOOKUP(P1657,en!A$2:I$768,7,FALSE),-10000))</f>
        <v>4955.3615280000004</v>
      </c>
      <c r="S1657">
        <f>IF(O1657=O1656,Q1656+S1656,Q1657)</f>
        <v>6127.3674280000005</v>
      </c>
      <c r="T1657">
        <f>IF(O1657=O1656,T1656+1,1)</f>
        <v>1</v>
      </c>
      <c r="U1657">
        <f>IF(O1657=O1658,"",S1657/T1657)</f>
        <v>6127.3674280000005</v>
      </c>
      <c r="V1657" t="str">
        <f>IF(U1657="","",IF(ABS(Q1657-U1657)&gt;V$1,"error",""))</f>
        <v/>
      </c>
    </row>
    <row r="1658" spans="1:22" x14ac:dyDescent="0.55000000000000004">
      <c r="A1658">
        <v>1289.2470000000001</v>
      </c>
      <c r="B1658" s="1">
        <v>1E-3</v>
      </c>
      <c r="C1658" s="1">
        <v>1E-3</v>
      </c>
      <c r="D1658" s="2" t="s">
        <v>0</v>
      </c>
      <c r="E1658">
        <v>2</v>
      </c>
      <c r="F1658" s="2" t="s">
        <v>1</v>
      </c>
      <c r="G1658">
        <v>1</v>
      </c>
      <c r="H1658">
        <v>22.5</v>
      </c>
      <c r="I1658" s="2" t="s">
        <v>0</v>
      </c>
      <c r="J1658">
        <v>2</v>
      </c>
      <c r="K1658" s="2" t="s">
        <v>1</v>
      </c>
      <c r="L1658">
        <v>0</v>
      </c>
      <c r="M1658">
        <v>21.5</v>
      </c>
      <c r="N1658" s="2" t="s">
        <v>308</v>
      </c>
      <c r="O1658" t="str">
        <f>D1658&amp;"-"&amp;E1658&amp;"-"&amp;F1658&amp;"-"&amp;G1658&amp;"-"&amp;H1658</f>
        <v>X-2-f-1-22.5</v>
      </c>
      <c r="P1658" t="str">
        <f>I1658&amp;"-"&amp;J1658&amp;"-"&amp;K1658&amp;"-"&amp;L1658&amp;"-"&amp;M1658</f>
        <v>X-2-f-0-21.5</v>
      </c>
      <c r="Q1658">
        <f>A1658+R1658</f>
        <v>3092.183219</v>
      </c>
      <c r="R1658">
        <f>_xlfn.IFNA(VLOOKUP(P1658,PGOPHER!A$2:G$181,7,FALSE),_xlfn.IFNA(VLOOKUP(P1658,en!A$2:I$768,7,FALSE),-10000))</f>
        <v>1802.9362189999999</v>
      </c>
      <c r="S1658">
        <f>IF(O1658=O1657,Q1657+S1657,Q1658)</f>
        <v>3092.183219</v>
      </c>
      <c r="T1658">
        <f>IF(O1658=O1657,T1657+1,1)</f>
        <v>1</v>
      </c>
      <c r="U1658" t="str">
        <f>IF(O1658=O1659,"",S1658/T1658)</f>
        <v/>
      </c>
      <c r="V1658" t="str">
        <f>IF(U1658="","",IF(ABS(Q1658-U1658)&gt;V$1,"error",""))</f>
        <v/>
      </c>
    </row>
    <row r="1659" spans="1:22" x14ac:dyDescent="0.55000000000000004">
      <c r="A1659">
        <v>1289.24695</v>
      </c>
      <c r="B1659" s="1">
        <v>1E-3</v>
      </c>
      <c r="C1659" s="1">
        <v>1E-3</v>
      </c>
      <c r="D1659" s="2" t="s">
        <v>0</v>
      </c>
      <c r="E1659">
        <v>2</v>
      </c>
      <c r="F1659" s="2" t="s">
        <v>1</v>
      </c>
      <c r="G1659">
        <v>1</v>
      </c>
      <c r="H1659">
        <v>22.5</v>
      </c>
      <c r="I1659" s="2" t="s">
        <v>0</v>
      </c>
      <c r="J1659">
        <v>2</v>
      </c>
      <c r="K1659" s="2" t="s">
        <v>1</v>
      </c>
      <c r="L1659">
        <v>0</v>
      </c>
      <c r="M1659">
        <v>21.5</v>
      </c>
      <c r="N1659" s="2" t="s">
        <v>313</v>
      </c>
      <c r="O1659" t="str">
        <f>D1659&amp;"-"&amp;E1659&amp;"-"&amp;F1659&amp;"-"&amp;G1659&amp;"-"&amp;H1659</f>
        <v>X-2-f-1-22.5</v>
      </c>
      <c r="P1659" t="str">
        <f>I1659&amp;"-"&amp;J1659&amp;"-"&amp;K1659&amp;"-"&amp;L1659&amp;"-"&amp;M1659</f>
        <v>X-2-f-0-21.5</v>
      </c>
      <c r="Q1659">
        <f>A1659+R1659</f>
        <v>3092.1831689999999</v>
      </c>
      <c r="R1659">
        <f>_xlfn.IFNA(VLOOKUP(P1659,PGOPHER!A$2:G$181,7,FALSE),_xlfn.IFNA(VLOOKUP(P1659,en!A$2:I$768,7,FALSE),-10000))</f>
        <v>1802.9362189999999</v>
      </c>
      <c r="S1659">
        <f>IF(O1659=O1658,Q1658+S1658,Q1659)</f>
        <v>6184.366438</v>
      </c>
      <c r="T1659">
        <f>IF(O1659=O1658,T1658+1,1)</f>
        <v>2</v>
      </c>
      <c r="U1659" t="str">
        <f>IF(O1659=O1660,"",S1659/T1659)</f>
        <v/>
      </c>
      <c r="V1659" t="str">
        <f>IF(U1659="","",IF(ABS(Q1659-U1659)&gt;V$1,"error",""))</f>
        <v/>
      </c>
    </row>
    <row r="1660" spans="1:22" x14ac:dyDescent="0.55000000000000004">
      <c r="A1660">
        <v>961.57960000000003</v>
      </c>
      <c r="B1660" s="1">
        <v>6.0099999999999997E-3</v>
      </c>
      <c r="C1660" s="1">
        <v>6.0099999999999997E-3</v>
      </c>
      <c r="D1660" s="2" t="s">
        <v>0</v>
      </c>
      <c r="E1660">
        <v>2</v>
      </c>
      <c r="F1660" s="2" t="s">
        <v>1</v>
      </c>
      <c r="G1660">
        <v>1</v>
      </c>
      <c r="H1660">
        <v>22.5</v>
      </c>
      <c r="I1660" s="2" t="s">
        <v>0</v>
      </c>
      <c r="J1660">
        <v>2</v>
      </c>
      <c r="K1660" s="2" t="s">
        <v>1</v>
      </c>
      <c r="L1660">
        <v>0</v>
      </c>
      <c r="M1660">
        <v>23.5</v>
      </c>
      <c r="N1660" s="2" t="s">
        <v>310</v>
      </c>
      <c r="O1660" t="str">
        <f>D1660&amp;"-"&amp;E1660&amp;"-"&amp;F1660&amp;"-"&amp;G1660&amp;"-"&amp;H1660</f>
        <v>X-2-f-1-22.5</v>
      </c>
      <c r="P1660" t="str">
        <f>I1660&amp;"-"&amp;J1660&amp;"-"&amp;K1660&amp;"-"&amp;L1660&amp;"-"&amp;M1660</f>
        <v>X-2-f-0-23.5</v>
      </c>
      <c r="Q1660">
        <f>A1660+R1660</f>
        <v>3092.1846530000003</v>
      </c>
      <c r="R1660">
        <f>_xlfn.IFNA(VLOOKUP(P1660,PGOPHER!A$2:G$181,7,FALSE),_xlfn.IFNA(VLOOKUP(P1660,en!A$2:I$768,7,FALSE),-10000))</f>
        <v>2130.6050530000002</v>
      </c>
      <c r="S1660">
        <f>IF(O1660=O1659,Q1659+S1659,Q1660)</f>
        <v>9276.5496070000008</v>
      </c>
      <c r="T1660">
        <f>IF(O1660=O1659,T1659+1,1)</f>
        <v>3</v>
      </c>
      <c r="U1660" t="str">
        <f>IF(O1660=O1661,"",S1660/T1660)</f>
        <v/>
      </c>
      <c r="V1660" t="str">
        <f>IF(U1660="","",IF(ABS(Q1660-U1660)&gt;V$1,"error",""))</f>
        <v/>
      </c>
    </row>
    <row r="1661" spans="1:22" x14ac:dyDescent="0.55000000000000004">
      <c r="A1661">
        <v>961.57955000000004</v>
      </c>
      <c r="B1661" s="1">
        <v>1.539E-3</v>
      </c>
      <c r="C1661" s="1">
        <v>1.539E-3</v>
      </c>
      <c r="D1661" s="2" t="s">
        <v>0</v>
      </c>
      <c r="E1661">
        <v>2</v>
      </c>
      <c r="F1661" s="2" t="s">
        <v>1</v>
      </c>
      <c r="G1661">
        <v>1</v>
      </c>
      <c r="H1661">
        <v>22.5</v>
      </c>
      <c r="I1661" s="2" t="s">
        <v>0</v>
      </c>
      <c r="J1661">
        <v>2</v>
      </c>
      <c r="K1661" s="2" t="s">
        <v>1</v>
      </c>
      <c r="L1661">
        <v>0</v>
      </c>
      <c r="M1661">
        <v>23.5</v>
      </c>
      <c r="N1661" s="2" t="s">
        <v>314</v>
      </c>
      <c r="O1661" t="str">
        <f>D1661&amp;"-"&amp;E1661&amp;"-"&amp;F1661&amp;"-"&amp;G1661&amp;"-"&amp;H1661</f>
        <v>X-2-f-1-22.5</v>
      </c>
      <c r="P1661" t="str">
        <f>I1661&amp;"-"&amp;J1661&amp;"-"&amp;K1661&amp;"-"&amp;L1661&amp;"-"&amp;M1661</f>
        <v>X-2-f-0-23.5</v>
      </c>
      <c r="Q1661">
        <f>A1661+R1661</f>
        <v>3092.1846030000002</v>
      </c>
      <c r="R1661">
        <f>_xlfn.IFNA(VLOOKUP(P1661,PGOPHER!A$2:G$181,7,FALSE),_xlfn.IFNA(VLOOKUP(P1661,en!A$2:I$768,7,FALSE),-10000))</f>
        <v>2130.6050530000002</v>
      </c>
      <c r="S1661">
        <f>IF(O1661=O1660,Q1660+S1660,Q1661)</f>
        <v>12368.734260000001</v>
      </c>
      <c r="T1661">
        <f>IF(O1661=O1660,T1660+1,1)</f>
        <v>4</v>
      </c>
      <c r="U1661">
        <f>IF(O1661=O1662,"",S1661/T1661)</f>
        <v>3092.1835650000003</v>
      </c>
      <c r="V1661" t="str">
        <f>IF(U1661="","",IF(ABS(Q1661-U1661)&gt;V$1,"error",""))</f>
        <v/>
      </c>
    </row>
    <row r="1662" spans="1:22" x14ac:dyDescent="0.55000000000000004">
      <c r="A1662">
        <v>931.05889999999999</v>
      </c>
      <c r="B1662" s="1">
        <v>3.04E-2</v>
      </c>
      <c r="C1662" s="1">
        <v>3.04E-2</v>
      </c>
      <c r="D1662" s="2" t="s">
        <v>0</v>
      </c>
      <c r="E1662">
        <v>2</v>
      </c>
      <c r="F1662" s="2" t="s">
        <v>1</v>
      </c>
      <c r="G1662">
        <v>2</v>
      </c>
      <c r="H1662">
        <v>22.5</v>
      </c>
      <c r="I1662" s="2" t="s">
        <v>0</v>
      </c>
      <c r="J1662">
        <v>2</v>
      </c>
      <c r="K1662" s="2" t="s">
        <v>1</v>
      </c>
      <c r="L1662">
        <v>1</v>
      </c>
      <c r="M1662">
        <v>23.5</v>
      </c>
      <c r="N1662" s="2" t="s">
        <v>494</v>
      </c>
      <c r="O1662" t="str">
        <f>D1662&amp;"-"&amp;E1662&amp;"-"&amp;F1662&amp;"-"&amp;G1662&amp;"-"&amp;H1662</f>
        <v>X-2-f-2-22.5</v>
      </c>
      <c r="P1662" t="str">
        <f>I1662&amp;"-"&amp;J1662&amp;"-"&amp;K1662&amp;"-"&amp;L1662&amp;"-"&amp;M1662</f>
        <v>X-2-f-1-23.5</v>
      </c>
      <c r="Q1662">
        <f>A1662+R1662</f>
        <v>4186.4463799999994</v>
      </c>
      <c r="R1662">
        <f>_xlfn.IFNA(VLOOKUP(P1662,PGOPHER!A$2:G$181,7,FALSE),_xlfn.IFNA(VLOOKUP(P1662,en!A$2:I$768,7,FALSE),-10000))</f>
        <v>3255.3874799999999</v>
      </c>
      <c r="S1662">
        <f>IF(O1662=O1661,Q1661+S1661,Q1662)</f>
        <v>4186.4463799999994</v>
      </c>
      <c r="T1662">
        <f>IF(O1662=O1661,T1661+1,1)</f>
        <v>1</v>
      </c>
      <c r="U1662" t="str">
        <f>IF(O1662=O1663,"",S1662/T1662)</f>
        <v/>
      </c>
      <c r="V1662" t="str">
        <f>IF(U1662="","",IF(ABS(Q1662-U1662)&gt;V$1,"error",""))</f>
        <v/>
      </c>
    </row>
    <row r="1663" spans="1:22" x14ac:dyDescent="0.55000000000000004">
      <c r="A1663">
        <v>1251.21</v>
      </c>
      <c r="B1663" s="1">
        <v>3.04E-2</v>
      </c>
      <c r="C1663" s="1">
        <v>3.04E-2</v>
      </c>
      <c r="D1663" s="2" t="s">
        <v>0</v>
      </c>
      <c r="E1663">
        <v>2</v>
      </c>
      <c r="F1663" s="2" t="s">
        <v>1</v>
      </c>
      <c r="G1663">
        <v>2</v>
      </c>
      <c r="H1663">
        <v>22.5</v>
      </c>
      <c r="I1663" s="2" t="s">
        <v>0</v>
      </c>
      <c r="J1663">
        <v>2</v>
      </c>
      <c r="K1663" s="2" t="s">
        <v>1</v>
      </c>
      <c r="L1663">
        <v>1</v>
      </c>
      <c r="M1663">
        <v>21.5</v>
      </c>
      <c r="N1663" s="2" t="s">
        <v>492</v>
      </c>
      <c r="O1663" t="str">
        <f>D1663&amp;"-"&amp;E1663&amp;"-"&amp;F1663&amp;"-"&amp;G1663&amp;"-"&amp;H1663</f>
        <v>X-2-f-2-22.5</v>
      </c>
      <c r="P1663" t="str">
        <f>I1663&amp;"-"&amp;J1663&amp;"-"&amp;K1663&amp;"-"&amp;L1663&amp;"-"&amp;M1663</f>
        <v>X-2-f-1-21.5</v>
      </c>
      <c r="Q1663">
        <f>A1663+R1663</f>
        <v>4186.445283</v>
      </c>
      <c r="R1663">
        <f>_xlfn.IFNA(VLOOKUP(P1663,PGOPHER!A$2:G$181,7,FALSE),_xlfn.IFNA(VLOOKUP(P1663,en!A$2:I$768,7,FALSE),-10000))</f>
        <v>2935.235283</v>
      </c>
      <c r="S1663">
        <f>IF(O1663=O1662,Q1662+S1662,Q1663)</f>
        <v>8372.8927599999988</v>
      </c>
      <c r="T1663">
        <f>IF(O1663=O1662,T1662+1,1)</f>
        <v>2</v>
      </c>
      <c r="U1663">
        <f>IF(O1663=O1664,"",S1663/T1663)</f>
        <v>4186.4463799999994</v>
      </c>
      <c r="V1663" t="str">
        <f>IF(U1663="","",IF(ABS(Q1663-U1663)&gt;V$1,"error",""))</f>
        <v/>
      </c>
    </row>
    <row r="1664" spans="1:22" x14ac:dyDescent="0.55000000000000004">
      <c r="A1664">
        <v>1212.9382000000001</v>
      </c>
      <c r="B1664" s="1">
        <v>1E-3</v>
      </c>
      <c r="C1664" s="1">
        <v>1E-3</v>
      </c>
      <c r="D1664" s="2" t="s">
        <v>0</v>
      </c>
      <c r="E1664">
        <v>2</v>
      </c>
      <c r="F1664" s="2" t="s">
        <v>1</v>
      </c>
      <c r="G1664">
        <v>3</v>
      </c>
      <c r="H1664">
        <v>22.5</v>
      </c>
      <c r="I1664" s="2" t="s">
        <v>0</v>
      </c>
      <c r="J1664">
        <v>2</v>
      </c>
      <c r="K1664" s="2" t="s">
        <v>1</v>
      </c>
      <c r="L1664">
        <v>2</v>
      </c>
      <c r="M1664">
        <v>21.5</v>
      </c>
      <c r="N1664" s="2" t="s">
        <v>616</v>
      </c>
      <c r="O1664" t="str">
        <f>D1664&amp;"-"&amp;E1664&amp;"-"&amp;F1664&amp;"-"&amp;G1664&amp;"-"&amp;H1664</f>
        <v>X-2-f-3-22.5</v>
      </c>
      <c r="P1664" t="str">
        <f>I1664&amp;"-"&amp;J1664&amp;"-"&amp;K1664&amp;"-"&amp;L1664&amp;"-"&amp;M1664</f>
        <v>X-2-f-2-21.5</v>
      </c>
      <c r="Q1664">
        <f>A1664+R1664</f>
        <v>5246.1231820000003</v>
      </c>
      <c r="R1664">
        <f>_xlfn.IFNA(VLOOKUP(P1664,PGOPHER!A$2:G$181,7,FALSE),_xlfn.IFNA(VLOOKUP(P1664,en!A$2:I$768,7,FALSE),-10000))</f>
        <v>4033.1849820000002</v>
      </c>
      <c r="S1664">
        <f>IF(O1664=O1663,Q1663+S1663,Q1664)</f>
        <v>5246.1231820000003</v>
      </c>
      <c r="T1664">
        <f>IF(O1664=O1663,T1663+1,1)</f>
        <v>1</v>
      </c>
      <c r="U1664">
        <f>IF(O1664=O1665,"",S1664/T1664)</f>
        <v>5246.1231820000003</v>
      </c>
      <c r="V1664" t="str">
        <f>IF(U1664="","",IF(ABS(Q1664-U1664)&gt;V$1,"error",""))</f>
        <v/>
      </c>
    </row>
    <row r="1665" spans="1:22" x14ac:dyDescent="0.55000000000000004">
      <c r="A1665">
        <v>1174.1989000000001</v>
      </c>
      <c r="B1665" s="1">
        <v>1E-3</v>
      </c>
      <c r="C1665" s="1">
        <v>1E-3</v>
      </c>
      <c r="D1665" s="2" t="s">
        <v>0</v>
      </c>
      <c r="E1665">
        <v>2</v>
      </c>
      <c r="F1665" s="2" t="s">
        <v>1</v>
      </c>
      <c r="G1665">
        <v>4</v>
      </c>
      <c r="H1665">
        <v>22.5</v>
      </c>
      <c r="I1665" s="2" t="s">
        <v>0</v>
      </c>
      <c r="J1665">
        <v>2</v>
      </c>
      <c r="K1665" s="2" t="s">
        <v>1</v>
      </c>
      <c r="L1665">
        <v>3</v>
      </c>
      <c r="M1665">
        <v>21.5</v>
      </c>
      <c r="N1665" s="2" t="s">
        <v>677</v>
      </c>
      <c r="O1665" t="str">
        <f>D1665&amp;"-"&amp;E1665&amp;"-"&amp;F1665&amp;"-"&amp;G1665&amp;"-"&amp;H1665</f>
        <v>X-2-f-4-22.5</v>
      </c>
      <c r="P1665" t="str">
        <f>I1665&amp;"-"&amp;J1665&amp;"-"&amp;K1665&amp;"-"&amp;L1665&amp;"-"&amp;M1665</f>
        <v>X-2-f-3-21.5</v>
      </c>
      <c r="Q1665">
        <f>A1665+R1665</f>
        <v>-8825.8011000000006</v>
      </c>
      <c r="R1665">
        <f>_xlfn.IFNA(VLOOKUP(P1665,PGOPHER!A$2:G$181,7,FALSE),_xlfn.IFNA(VLOOKUP(P1665,en!A$2:I$768,7,FALSE),-10000))</f>
        <v>-10000</v>
      </c>
      <c r="S1665">
        <f>IF(O1665=O1664,Q1664+S1664,Q1665)</f>
        <v>-8825.8011000000006</v>
      </c>
      <c r="T1665">
        <f>IF(O1665=O1664,T1664+1,1)</f>
        <v>1</v>
      </c>
      <c r="U1665">
        <f>IF(O1665=O1666,"",S1665/T1665)</f>
        <v>-8825.8011000000006</v>
      </c>
      <c r="V1665" t="str">
        <f>IF(U1665="","",IF(ABS(Q1665-U1665)&gt;V$1,"error",""))</f>
        <v/>
      </c>
    </row>
    <row r="1666" spans="1:22" x14ac:dyDescent="0.55000000000000004">
      <c r="A1666">
        <v>961.37892999999997</v>
      </c>
      <c r="B1666" s="1">
        <v>1E-3</v>
      </c>
      <c r="C1666" s="1">
        <v>1E-3</v>
      </c>
      <c r="D1666" s="2" t="s">
        <v>0</v>
      </c>
      <c r="E1666">
        <v>1</v>
      </c>
      <c r="F1666" s="2" t="s">
        <v>2</v>
      </c>
      <c r="G1666">
        <v>1</v>
      </c>
      <c r="H1666">
        <v>23.5</v>
      </c>
      <c r="I1666" s="2" t="s">
        <v>0</v>
      </c>
      <c r="J1666">
        <v>1</v>
      </c>
      <c r="K1666" s="2" t="s">
        <v>2</v>
      </c>
      <c r="L1666">
        <v>0</v>
      </c>
      <c r="M1666">
        <v>24.5</v>
      </c>
      <c r="N1666" s="2" t="s">
        <v>320</v>
      </c>
      <c r="O1666" t="str">
        <f>D1666&amp;"-"&amp;E1666&amp;"-"&amp;F1666&amp;"-"&amp;G1666&amp;"-"&amp;H1666</f>
        <v>X-1-e-1-23.5</v>
      </c>
      <c r="P1666" t="str">
        <f>I1666&amp;"-"&amp;J1666&amp;"-"&amp;K1666&amp;"-"&amp;L1666&amp;"-"&amp;M1666</f>
        <v>X-1-e-0-24.5</v>
      </c>
      <c r="Q1666">
        <f>A1666+R1666</f>
        <v>3094.848962</v>
      </c>
      <c r="R1666">
        <f>_xlfn.IFNA(VLOOKUP(P1666,PGOPHER!A$2:G$181,7,FALSE),_xlfn.IFNA(VLOOKUP(P1666,en!A$2:I$768,7,FALSE),-10000))</f>
        <v>2133.4700320000002</v>
      </c>
      <c r="S1666">
        <f>IF(O1666=O1665,Q1665+S1665,Q1666)</f>
        <v>3094.848962</v>
      </c>
      <c r="T1666">
        <f>IF(O1666=O1665,T1665+1,1)</f>
        <v>1</v>
      </c>
      <c r="U1666" t="str">
        <f>IF(O1666=O1667,"",S1666/T1666)</f>
        <v/>
      </c>
      <c r="V1666" t="str">
        <f>IF(U1666="","",IF(ABS(Q1666-U1666)&gt;V$1,"error",""))</f>
        <v/>
      </c>
    </row>
    <row r="1667" spans="1:22" x14ac:dyDescent="0.55000000000000004">
      <c r="A1667">
        <v>1289.25532</v>
      </c>
      <c r="B1667" s="1">
        <v>2E-3</v>
      </c>
      <c r="C1667" s="1">
        <v>2E-3</v>
      </c>
      <c r="D1667" s="2" t="s">
        <v>0</v>
      </c>
      <c r="E1667">
        <v>1</v>
      </c>
      <c r="F1667" s="2" t="s">
        <v>2</v>
      </c>
      <c r="G1667">
        <v>1</v>
      </c>
      <c r="H1667">
        <v>23.5</v>
      </c>
      <c r="I1667" s="2" t="s">
        <v>0</v>
      </c>
      <c r="J1667">
        <v>1</v>
      </c>
      <c r="K1667" s="2" t="s">
        <v>2</v>
      </c>
      <c r="L1667">
        <v>0</v>
      </c>
      <c r="M1667">
        <v>22.5</v>
      </c>
      <c r="N1667" s="2" t="s">
        <v>319</v>
      </c>
      <c r="O1667" t="str">
        <f>D1667&amp;"-"&amp;E1667&amp;"-"&amp;F1667&amp;"-"&amp;G1667&amp;"-"&amp;H1667</f>
        <v>X-1-e-1-23.5</v>
      </c>
      <c r="P1667" t="str">
        <f>I1667&amp;"-"&amp;J1667&amp;"-"&amp;K1667&amp;"-"&amp;L1667&amp;"-"&amp;M1667</f>
        <v>X-1-e-0-22.5</v>
      </c>
      <c r="Q1667">
        <f>A1667+R1667</f>
        <v>3094.848872</v>
      </c>
      <c r="R1667">
        <f>_xlfn.IFNA(VLOOKUP(P1667,PGOPHER!A$2:G$181,7,FALSE),_xlfn.IFNA(VLOOKUP(P1667,en!A$2:I$768,7,FALSE),-10000))</f>
        <v>1805.593552</v>
      </c>
      <c r="S1667">
        <f>IF(O1667=O1666,Q1666+S1666,Q1667)</f>
        <v>6189.6979240000001</v>
      </c>
      <c r="T1667">
        <f>IF(O1667=O1666,T1666+1,1)</f>
        <v>2</v>
      </c>
      <c r="U1667" t="str">
        <f>IF(O1667=O1668,"",S1667/T1667)</f>
        <v/>
      </c>
      <c r="V1667" t="str">
        <f>IF(U1667="","",IF(ABS(Q1667-U1667)&gt;V$1,"error",""))</f>
        <v/>
      </c>
    </row>
    <row r="1668" spans="1:22" x14ac:dyDescent="0.55000000000000004">
      <c r="A1668">
        <v>961.37890000000004</v>
      </c>
      <c r="B1668" s="1">
        <v>7.3899999999999999E-3</v>
      </c>
      <c r="C1668" s="1">
        <v>7.3899999999999999E-3</v>
      </c>
      <c r="D1668" s="2" t="s">
        <v>0</v>
      </c>
      <c r="E1668">
        <v>1</v>
      </c>
      <c r="F1668" s="2" t="s">
        <v>2</v>
      </c>
      <c r="G1668">
        <v>1</v>
      </c>
      <c r="H1668">
        <v>23.5</v>
      </c>
      <c r="I1668" s="2" t="s">
        <v>0</v>
      </c>
      <c r="J1668">
        <v>1</v>
      </c>
      <c r="K1668" s="2" t="s">
        <v>2</v>
      </c>
      <c r="L1668">
        <v>0</v>
      </c>
      <c r="M1668">
        <v>24.5</v>
      </c>
      <c r="N1668" s="2" t="s">
        <v>317</v>
      </c>
      <c r="O1668" t="str">
        <f>D1668&amp;"-"&amp;E1668&amp;"-"&amp;F1668&amp;"-"&amp;G1668&amp;"-"&amp;H1668</f>
        <v>X-1-e-1-23.5</v>
      </c>
      <c r="P1668" t="str">
        <f>I1668&amp;"-"&amp;J1668&amp;"-"&amp;K1668&amp;"-"&amp;L1668&amp;"-"&amp;M1668</f>
        <v>X-1-e-0-24.5</v>
      </c>
      <c r="Q1668">
        <f>A1668+R1668</f>
        <v>3094.8489320000003</v>
      </c>
      <c r="R1668">
        <f>_xlfn.IFNA(VLOOKUP(P1668,PGOPHER!A$2:G$181,7,FALSE),_xlfn.IFNA(VLOOKUP(P1668,en!A$2:I$768,7,FALSE),-10000))</f>
        <v>2133.4700320000002</v>
      </c>
      <c r="S1668">
        <f>IF(O1668=O1667,Q1667+S1667,Q1668)</f>
        <v>9284.5467960000005</v>
      </c>
      <c r="T1668">
        <f>IF(O1668=O1667,T1667+1,1)</f>
        <v>3</v>
      </c>
      <c r="U1668" t="str">
        <f>IF(O1668=O1669,"",S1668/T1668)</f>
        <v/>
      </c>
      <c r="V1668" t="str">
        <f>IF(U1668="","",IF(ABS(Q1668-U1668)&gt;V$1,"error",""))</f>
        <v/>
      </c>
    </row>
    <row r="1669" spans="1:22" x14ac:dyDescent="0.55000000000000004">
      <c r="A1669">
        <v>1289.2553</v>
      </c>
      <c r="B1669" s="1">
        <v>1E-3</v>
      </c>
      <c r="C1669" s="1">
        <v>1E-3</v>
      </c>
      <c r="D1669" s="2" t="s">
        <v>0</v>
      </c>
      <c r="E1669">
        <v>1</v>
      </c>
      <c r="F1669" s="2" t="s">
        <v>2</v>
      </c>
      <c r="G1669">
        <v>1</v>
      </c>
      <c r="H1669">
        <v>23.5</v>
      </c>
      <c r="I1669" s="2" t="s">
        <v>0</v>
      </c>
      <c r="J1669">
        <v>1</v>
      </c>
      <c r="K1669" s="2" t="s">
        <v>2</v>
      </c>
      <c r="L1669">
        <v>0</v>
      </c>
      <c r="M1669">
        <v>22.5</v>
      </c>
      <c r="N1669" s="2" t="s">
        <v>315</v>
      </c>
      <c r="O1669" t="str">
        <f>D1669&amp;"-"&amp;E1669&amp;"-"&amp;F1669&amp;"-"&amp;G1669&amp;"-"&amp;H1669</f>
        <v>X-1-e-1-23.5</v>
      </c>
      <c r="P1669" t="str">
        <f>I1669&amp;"-"&amp;J1669&amp;"-"&amp;K1669&amp;"-"&amp;L1669&amp;"-"&amp;M1669</f>
        <v>X-1-e-0-22.5</v>
      </c>
      <c r="Q1669">
        <f>A1669+R1669</f>
        <v>3094.8488520000001</v>
      </c>
      <c r="R1669">
        <f>_xlfn.IFNA(VLOOKUP(P1669,PGOPHER!A$2:G$181,7,FALSE),_xlfn.IFNA(VLOOKUP(P1669,en!A$2:I$768,7,FALSE),-10000))</f>
        <v>1805.593552</v>
      </c>
      <c r="S1669">
        <f>IF(O1669=O1668,Q1668+S1668,Q1669)</f>
        <v>12379.395728000001</v>
      </c>
      <c r="T1669">
        <f>IF(O1669=O1668,T1668+1,1)</f>
        <v>4</v>
      </c>
      <c r="U1669">
        <f>IF(O1669=O1670,"",S1669/T1669)</f>
        <v>3094.8489320000003</v>
      </c>
      <c r="V1669" t="str">
        <f>IF(U1669="","",IF(ABS(Q1669-U1669)&gt;V$1,"error",""))</f>
        <v/>
      </c>
    </row>
    <row r="1670" spans="1:22" x14ac:dyDescent="0.55000000000000004">
      <c r="A1670">
        <v>930.86379999999997</v>
      </c>
      <c r="B1670" s="1">
        <v>3.6700000000000003E-2</v>
      </c>
      <c r="C1670" s="1">
        <v>3.6700000000000003E-2</v>
      </c>
      <c r="D1670" s="2" t="s">
        <v>0</v>
      </c>
      <c r="E1670">
        <v>1</v>
      </c>
      <c r="F1670" s="2" t="s">
        <v>2</v>
      </c>
      <c r="G1670">
        <v>2</v>
      </c>
      <c r="H1670">
        <v>23.5</v>
      </c>
      <c r="I1670" s="2" t="s">
        <v>0</v>
      </c>
      <c r="J1670">
        <v>1</v>
      </c>
      <c r="K1670" s="2" t="s">
        <v>2</v>
      </c>
      <c r="L1670">
        <v>1</v>
      </c>
      <c r="M1670">
        <v>24.5</v>
      </c>
      <c r="N1670" s="2" t="s">
        <v>497</v>
      </c>
      <c r="O1670" t="str">
        <f>D1670&amp;"-"&amp;E1670&amp;"-"&amp;F1670&amp;"-"&amp;G1670&amp;"-"&amp;H1670</f>
        <v>X-1-e-2-23.5</v>
      </c>
      <c r="P1670" t="str">
        <f>I1670&amp;"-"&amp;J1670&amp;"-"&amp;K1670&amp;"-"&amp;L1670&amp;"-"&amp;M1670</f>
        <v>X-1-e-1-24.5</v>
      </c>
      <c r="Q1670">
        <f>A1670+R1670</f>
        <v>4189.0102369999995</v>
      </c>
      <c r="R1670">
        <f>_xlfn.IFNA(VLOOKUP(P1670,PGOPHER!A$2:G$181,7,FALSE),_xlfn.IFNA(VLOOKUP(P1670,en!A$2:I$768,7,FALSE),-10000))</f>
        <v>3258.1464369999999</v>
      </c>
      <c r="S1670">
        <f>IF(O1670=O1669,Q1669+S1669,Q1670)</f>
        <v>4189.0102369999995</v>
      </c>
      <c r="T1670">
        <f>IF(O1670=O1669,T1669+1,1)</f>
        <v>1</v>
      </c>
      <c r="U1670" t="str">
        <f>IF(O1670=O1671,"",S1670/T1670)</f>
        <v/>
      </c>
      <c r="V1670" t="str">
        <f>IF(U1670="","",IF(ABS(Q1670-U1670)&gt;V$1,"error",""))</f>
        <v/>
      </c>
    </row>
    <row r="1671" spans="1:22" x14ac:dyDescent="0.55000000000000004">
      <c r="A1671">
        <v>1251.21</v>
      </c>
      <c r="B1671" s="1">
        <v>3.6700000000000003E-2</v>
      </c>
      <c r="C1671" s="1">
        <v>3.6700000000000003E-2</v>
      </c>
      <c r="D1671" s="2" t="s">
        <v>0</v>
      </c>
      <c r="E1671">
        <v>1</v>
      </c>
      <c r="F1671" s="2" t="s">
        <v>2</v>
      </c>
      <c r="G1671">
        <v>2</v>
      </c>
      <c r="H1671">
        <v>23.5</v>
      </c>
      <c r="I1671" s="2" t="s">
        <v>0</v>
      </c>
      <c r="J1671">
        <v>1</v>
      </c>
      <c r="K1671" s="2" t="s">
        <v>2</v>
      </c>
      <c r="L1671">
        <v>1</v>
      </c>
      <c r="M1671">
        <v>22.5</v>
      </c>
      <c r="N1671" s="2" t="s">
        <v>495</v>
      </c>
      <c r="O1671" t="str">
        <f>D1671&amp;"-"&amp;E1671&amp;"-"&amp;F1671&amp;"-"&amp;G1671&amp;"-"&amp;H1671</f>
        <v>X-1-e-2-23.5</v>
      </c>
      <c r="P1671" t="str">
        <f>I1671&amp;"-"&amp;J1671&amp;"-"&amp;K1671&amp;"-"&amp;L1671&amp;"-"&amp;M1671</f>
        <v>X-1-e-1-22.5</v>
      </c>
      <c r="Q1671">
        <f>A1671+R1671</f>
        <v>4189.0084139999999</v>
      </c>
      <c r="R1671">
        <f>_xlfn.IFNA(VLOOKUP(P1671,PGOPHER!A$2:G$181,7,FALSE),_xlfn.IFNA(VLOOKUP(P1671,en!A$2:I$768,7,FALSE),-10000))</f>
        <v>2937.7984139999999</v>
      </c>
      <c r="S1671">
        <f>IF(O1671=O1670,Q1670+S1670,Q1671)</f>
        <v>8378.020473999999</v>
      </c>
      <c r="T1671">
        <f>IF(O1671=O1670,T1670+1,1)</f>
        <v>2</v>
      </c>
      <c r="U1671">
        <f>IF(O1671=O1672,"",S1671/T1671)</f>
        <v>4189.0102369999995</v>
      </c>
      <c r="V1671" t="str">
        <f>IF(U1671="","",IF(ABS(Q1671-U1671)&gt;V$1,"error",""))</f>
        <v/>
      </c>
    </row>
    <row r="1672" spans="1:22" x14ac:dyDescent="0.55000000000000004">
      <c r="A1672">
        <v>1212.9382000000001</v>
      </c>
      <c r="B1672" s="1">
        <v>1E-3</v>
      </c>
      <c r="C1672" s="1">
        <v>1E-3</v>
      </c>
      <c r="D1672" s="2" t="s">
        <v>0</v>
      </c>
      <c r="E1672">
        <v>1</v>
      </c>
      <c r="F1672" s="2" t="s">
        <v>2</v>
      </c>
      <c r="G1672">
        <v>3</v>
      </c>
      <c r="H1672">
        <v>23.5</v>
      </c>
      <c r="I1672" s="2" t="s">
        <v>0</v>
      </c>
      <c r="J1672">
        <v>1</v>
      </c>
      <c r="K1672" s="2" t="s">
        <v>2</v>
      </c>
      <c r="L1672">
        <v>2</v>
      </c>
      <c r="M1672">
        <v>22.5</v>
      </c>
      <c r="N1672" s="2" t="s">
        <v>617</v>
      </c>
      <c r="O1672" t="str">
        <f>D1672&amp;"-"&amp;E1672&amp;"-"&amp;F1672&amp;"-"&amp;G1672&amp;"-"&amp;H1672</f>
        <v>X-1-e-3-23.5</v>
      </c>
      <c r="P1672" t="str">
        <f>I1672&amp;"-"&amp;J1672&amp;"-"&amp;K1672&amp;"-"&amp;L1672&amp;"-"&amp;M1672</f>
        <v>X-1-e-2-22.5</v>
      </c>
      <c r="Q1672">
        <f>A1672+R1672</f>
        <v>5248.5985230000006</v>
      </c>
      <c r="R1672">
        <f>_xlfn.IFNA(VLOOKUP(P1672,PGOPHER!A$2:G$181,7,FALSE),_xlfn.IFNA(VLOOKUP(P1672,en!A$2:I$768,7,FALSE),-10000))</f>
        <v>4035.6603230000001</v>
      </c>
      <c r="S1672">
        <f>IF(O1672=O1671,Q1671+S1671,Q1672)</f>
        <v>5248.5985230000006</v>
      </c>
      <c r="T1672">
        <f>IF(O1672=O1671,T1671+1,1)</f>
        <v>1</v>
      </c>
      <c r="U1672">
        <f>IF(O1672=O1673,"",S1672/T1672)</f>
        <v>5248.5985230000006</v>
      </c>
      <c r="V1672" t="str">
        <f>IF(U1672="","",IF(ABS(Q1672-U1672)&gt;V$1,"error",""))</f>
        <v/>
      </c>
    </row>
    <row r="1673" spans="1:22" x14ac:dyDescent="0.55000000000000004">
      <c r="A1673">
        <v>1291.8126999999999</v>
      </c>
      <c r="B1673" s="1">
        <v>2.23E-2</v>
      </c>
      <c r="C1673" s="1">
        <v>2.23E-2</v>
      </c>
      <c r="D1673" s="2" t="s">
        <v>0</v>
      </c>
      <c r="E1673">
        <v>2</v>
      </c>
      <c r="F1673" s="2" t="s">
        <v>1</v>
      </c>
      <c r="G1673">
        <v>1</v>
      </c>
      <c r="H1673">
        <v>23.5</v>
      </c>
      <c r="I1673" s="2" t="s">
        <v>0</v>
      </c>
      <c r="J1673">
        <v>2</v>
      </c>
      <c r="K1673" s="2" t="s">
        <v>1</v>
      </c>
      <c r="L1673">
        <v>0</v>
      </c>
      <c r="M1673">
        <v>22.5</v>
      </c>
      <c r="N1673" s="2" t="s">
        <v>316</v>
      </c>
      <c r="O1673" t="str">
        <f>D1673&amp;"-"&amp;E1673&amp;"-"&amp;F1673&amp;"-"&amp;G1673&amp;"-"&amp;H1673</f>
        <v>X-2-f-1-23.5</v>
      </c>
      <c r="P1673" t="str">
        <f>I1673&amp;"-"&amp;J1673&amp;"-"&amp;K1673&amp;"-"&amp;L1673&amp;"-"&amp;M1673</f>
        <v>X-2-f-0-22.5</v>
      </c>
      <c r="Q1673">
        <f>A1673+R1673</f>
        <v>3255.3867019999998</v>
      </c>
      <c r="R1673">
        <f>_xlfn.IFNA(VLOOKUP(P1673,PGOPHER!A$2:G$181,7,FALSE),_xlfn.IFNA(VLOOKUP(P1673,en!A$2:I$768,7,FALSE),-10000))</f>
        <v>1963.5740020000001</v>
      </c>
      <c r="S1673">
        <f>IF(O1673=O1672,Q1672+S1672,Q1673)</f>
        <v>3255.3867019999998</v>
      </c>
      <c r="T1673">
        <f>IF(O1673=O1672,T1672+1,1)</f>
        <v>1</v>
      </c>
      <c r="U1673" t="str">
        <f>IF(O1673=O1674,"",S1673/T1673)</f>
        <v/>
      </c>
      <c r="V1673" t="str">
        <f>IF(U1673="","",IF(ABS(Q1673-U1673)&gt;V$1,"error",""))</f>
        <v/>
      </c>
    </row>
    <row r="1674" spans="1:22" x14ac:dyDescent="0.55000000000000004">
      <c r="A1674">
        <v>1291.8126500000001</v>
      </c>
      <c r="B1674" s="1">
        <v>2.9880000000000002E-3</v>
      </c>
      <c r="C1674" s="1">
        <v>2.9880000000000002E-3</v>
      </c>
      <c r="D1674" s="2" t="s">
        <v>0</v>
      </c>
      <c r="E1674">
        <v>2</v>
      </c>
      <c r="F1674" s="2" t="s">
        <v>1</v>
      </c>
      <c r="G1674">
        <v>1</v>
      </c>
      <c r="H1674">
        <v>23.5</v>
      </c>
      <c r="I1674" s="2" t="s">
        <v>0</v>
      </c>
      <c r="J1674">
        <v>2</v>
      </c>
      <c r="K1674" s="2" t="s">
        <v>1</v>
      </c>
      <c r="L1674">
        <v>0</v>
      </c>
      <c r="M1674">
        <v>22.5</v>
      </c>
      <c r="N1674" s="2" t="s">
        <v>321</v>
      </c>
      <c r="O1674" t="str">
        <f>D1674&amp;"-"&amp;E1674&amp;"-"&amp;F1674&amp;"-"&amp;G1674&amp;"-"&amp;H1674</f>
        <v>X-2-f-1-23.5</v>
      </c>
      <c r="P1674" t="str">
        <f>I1674&amp;"-"&amp;J1674&amp;"-"&amp;K1674&amp;"-"&amp;L1674&amp;"-"&amp;M1674</f>
        <v>X-2-f-0-22.5</v>
      </c>
      <c r="Q1674">
        <f>A1674+R1674</f>
        <v>3255.3866520000001</v>
      </c>
      <c r="R1674">
        <f>_xlfn.IFNA(VLOOKUP(P1674,PGOPHER!A$2:G$181,7,FALSE),_xlfn.IFNA(VLOOKUP(P1674,en!A$2:I$768,7,FALSE),-10000))</f>
        <v>1963.5740020000001</v>
      </c>
      <c r="S1674">
        <f>IF(O1674=O1673,Q1673+S1673,Q1674)</f>
        <v>6510.7734039999996</v>
      </c>
      <c r="T1674">
        <f>IF(O1674=O1673,T1673+1,1)</f>
        <v>2</v>
      </c>
      <c r="U1674" t="str">
        <f>IF(O1674=O1675,"",S1674/T1674)</f>
        <v/>
      </c>
      <c r="V1674" t="str">
        <f>IF(U1674="","",IF(ABS(Q1674-U1674)&gt;V$1,"error",""))</f>
        <v/>
      </c>
    </row>
    <row r="1675" spans="1:22" x14ac:dyDescent="0.55000000000000004">
      <c r="A1675">
        <v>951.40859999999998</v>
      </c>
      <c r="B1675" s="1">
        <v>3.8899999999999997E-2</v>
      </c>
      <c r="C1675" s="1">
        <v>3.8899999999999997E-2</v>
      </c>
      <c r="D1675" s="2" t="s">
        <v>0</v>
      </c>
      <c r="E1675">
        <v>2</v>
      </c>
      <c r="F1675" s="2" t="s">
        <v>1</v>
      </c>
      <c r="G1675">
        <v>1</v>
      </c>
      <c r="H1675">
        <v>23.5</v>
      </c>
      <c r="I1675" s="2" t="s">
        <v>0</v>
      </c>
      <c r="J1675">
        <v>2</v>
      </c>
      <c r="K1675" s="2" t="s">
        <v>1</v>
      </c>
      <c r="L1675">
        <v>0</v>
      </c>
      <c r="M1675">
        <v>24.5</v>
      </c>
      <c r="N1675" s="2" t="s">
        <v>318</v>
      </c>
      <c r="O1675" t="str">
        <f>D1675&amp;"-"&amp;E1675&amp;"-"&amp;F1675&amp;"-"&amp;G1675&amp;"-"&amp;H1675</f>
        <v>X-2-f-1-23.5</v>
      </c>
      <c r="P1675" t="str">
        <f>I1675&amp;"-"&amp;J1675&amp;"-"&amp;K1675&amp;"-"&amp;L1675&amp;"-"&amp;M1675</f>
        <v>X-2-f-0-24.5</v>
      </c>
      <c r="Q1675">
        <f>A1675+R1675</f>
        <v>3255.3875820000003</v>
      </c>
      <c r="R1675">
        <f>_xlfn.IFNA(VLOOKUP(P1675,PGOPHER!A$2:G$181,7,FALSE),_xlfn.IFNA(VLOOKUP(P1675,en!A$2:I$768,7,FALSE),-10000))</f>
        <v>2303.9789820000001</v>
      </c>
      <c r="S1675">
        <f>IF(O1675=O1674,Q1674+S1674,Q1675)</f>
        <v>9766.1600560000006</v>
      </c>
      <c r="T1675">
        <f>IF(O1675=O1674,T1674+1,1)</f>
        <v>3</v>
      </c>
      <c r="U1675" t="str">
        <f>IF(O1675=O1676,"",S1675/T1675)</f>
        <v/>
      </c>
      <c r="V1675" t="str">
        <f>IF(U1675="","",IF(ABS(Q1675-U1675)&gt;V$1,"error",""))</f>
        <v/>
      </c>
    </row>
    <row r="1676" spans="1:22" x14ac:dyDescent="0.55000000000000004">
      <c r="A1676">
        <v>951.40859</v>
      </c>
      <c r="B1676" s="1">
        <v>1E-3</v>
      </c>
      <c r="C1676" s="1">
        <v>1E-3</v>
      </c>
      <c r="D1676" s="2" t="s">
        <v>0</v>
      </c>
      <c r="E1676">
        <v>2</v>
      </c>
      <c r="F1676" s="2" t="s">
        <v>1</v>
      </c>
      <c r="G1676">
        <v>1</v>
      </c>
      <c r="H1676">
        <v>23.5</v>
      </c>
      <c r="I1676" s="2" t="s">
        <v>0</v>
      </c>
      <c r="J1676">
        <v>2</v>
      </c>
      <c r="K1676" s="2" t="s">
        <v>1</v>
      </c>
      <c r="L1676">
        <v>0</v>
      </c>
      <c r="M1676">
        <v>24.5</v>
      </c>
      <c r="N1676" s="2" t="s">
        <v>322</v>
      </c>
      <c r="O1676" t="str">
        <f>D1676&amp;"-"&amp;E1676&amp;"-"&amp;F1676&amp;"-"&amp;G1676&amp;"-"&amp;H1676</f>
        <v>X-2-f-1-23.5</v>
      </c>
      <c r="P1676" t="str">
        <f>I1676&amp;"-"&amp;J1676&amp;"-"&amp;K1676&amp;"-"&amp;L1676&amp;"-"&amp;M1676</f>
        <v>X-2-f-0-24.5</v>
      </c>
      <c r="Q1676">
        <f>A1676+R1676</f>
        <v>3255.3875720000001</v>
      </c>
      <c r="R1676">
        <f>_xlfn.IFNA(VLOOKUP(P1676,PGOPHER!A$2:G$181,7,FALSE),_xlfn.IFNA(VLOOKUP(P1676,en!A$2:I$768,7,FALSE),-10000))</f>
        <v>2303.9789820000001</v>
      </c>
      <c r="S1676">
        <f>IF(O1676=O1675,Q1675+S1675,Q1676)</f>
        <v>13021.547638</v>
      </c>
      <c r="T1676">
        <f>IF(O1676=O1675,T1675+1,1)</f>
        <v>4</v>
      </c>
      <c r="U1676">
        <f>IF(O1676=O1677,"",S1676/T1676)</f>
        <v>3255.3869095</v>
      </c>
      <c r="V1676" t="str">
        <f>IF(U1676="","",IF(ABS(Q1676-U1676)&gt;V$1,"error",""))</f>
        <v/>
      </c>
    </row>
    <row r="1677" spans="1:22" x14ac:dyDescent="0.55000000000000004">
      <c r="A1677">
        <v>921.02530000000002</v>
      </c>
      <c r="B1677" s="1">
        <v>1E-3</v>
      </c>
      <c r="C1677" s="1">
        <v>1E-3</v>
      </c>
      <c r="D1677" s="2" t="s">
        <v>0</v>
      </c>
      <c r="E1677">
        <v>2</v>
      </c>
      <c r="F1677" s="2" t="s">
        <v>1</v>
      </c>
      <c r="G1677">
        <v>2</v>
      </c>
      <c r="H1677">
        <v>23.5</v>
      </c>
      <c r="I1677" s="2" t="s">
        <v>0</v>
      </c>
      <c r="J1677">
        <v>2</v>
      </c>
      <c r="K1677" s="2" t="s">
        <v>1</v>
      </c>
      <c r="L1677">
        <v>1</v>
      </c>
      <c r="M1677">
        <v>24.5</v>
      </c>
      <c r="N1677" s="2" t="s">
        <v>498</v>
      </c>
      <c r="O1677" t="str">
        <f>D1677&amp;"-"&amp;E1677&amp;"-"&amp;F1677&amp;"-"&amp;G1677&amp;"-"&amp;H1677</f>
        <v>X-2-f-2-23.5</v>
      </c>
      <c r="P1677" t="str">
        <f>I1677&amp;"-"&amp;J1677&amp;"-"&amp;K1677&amp;"-"&amp;L1677&amp;"-"&amp;M1677</f>
        <v>X-2-f-1-24.5</v>
      </c>
      <c r="Q1677">
        <f>A1677+R1677</f>
        <v>4345.7735389999998</v>
      </c>
      <c r="R1677">
        <f>_xlfn.IFNA(VLOOKUP(P1677,PGOPHER!A$2:G$181,7,FALSE),_xlfn.IFNA(VLOOKUP(P1677,en!A$2:I$768,7,FALSE),-10000))</f>
        <v>3424.748239</v>
      </c>
      <c r="S1677">
        <f>IF(O1677=O1676,Q1676+S1676,Q1677)</f>
        <v>4345.7735389999998</v>
      </c>
      <c r="T1677">
        <f>IF(O1677=O1676,T1676+1,1)</f>
        <v>1</v>
      </c>
      <c r="U1677" t="str">
        <f>IF(O1677=O1678,"",S1677/T1677)</f>
        <v/>
      </c>
      <c r="V1677" t="str">
        <f>IF(U1677="","",IF(ABS(Q1677-U1677)&gt;V$1,"error",""))</f>
        <v/>
      </c>
    </row>
    <row r="1678" spans="1:22" x14ac:dyDescent="0.55000000000000004">
      <c r="A1678">
        <v>1253.5912000000001</v>
      </c>
      <c r="B1678" s="1">
        <v>1E-3</v>
      </c>
      <c r="C1678" s="1">
        <v>1E-3</v>
      </c>
      <c r="D1678" s="2" t="s">
        <v>0</v>
      </c>
      <c r="E1678">
        <v>2</v>
      </c>
      <c r="F1678" s="2" t="s">
        <v>1</v>
      </c>
      <c r="G1678">
        <v>2</v>
      </c>
      <c r="H1678">
        <v>23.5</v>
      </c>
      <c r="I1678" s="2" t="s">
        <v>0</v>
      </c>
      <c r="J1678">
        <v>2</v>
      </c>
      <c r="K1678" s="2" t="s">
        <v>1</v>
      </c>
      <c r="L1678">
        <v>1</v>
      </c>
      <c r="M1678">
        <v>22.5</v>
      </c>
      <c r="N1678" s="2" t="s">
        <v>496</v>
      </c>
      <c r="O1678" t="str">
        <f>D1678&amp;"-"&amp;E1678&amp;"-"&amp;F1678&amp;"-"&amp;G1678&amp;"-"&amp;H1678</f>
        <v>X-2-f-2-23.5</v>
      </c>
      <c r="P1678" t="str">
        <f>I1678&amp;"-"&amp;J1678&amp;"-"&amp;K1678&amp;"-"&amp;L1678&amp;"-"&amp;M1678</f>
        <v>X-2-f-1-22.5</v>
      </c>
      <c r="Q1678">
        <f>A1678+R1678</f>
        <v>4345.7744570000004</v>
      </c>
      <c r="R1678">
        <f>_xlfn.IFNA(VLOOKUP(P1678,PGOPHER!A$2:G$181,7,FALSE),_xlfn.IFNA(VLOOKUP(P1678,en!A$2:I$768,7,FALSE),-10000))</f>
        <v>3092.1832570000001</v>
      </c>
      <c r="S1678">
        <f>IF(O1678=O1677,Q1677+S1677,Q1678)</f>
        <v>8691.5470779999996</v>
      </c>
      <c r="T1678">
        <f>IF(O1678=O1677,T1677+1,1)</f>
        <v>2</v>
      </c>
      <c r="U1678">
        <f>IF(O1678=O1679,"",S1678/T1678)</f>
        <v>4345.7735389999998</v>
      </c>
      <c r="V1678" t="str">
        <f>IF(U1678="","",IF(ABS(Q1678-U1678)&gt;V$1,"error",""))</f>
        <v/>
      </c>
    </row>
    <row r="1679" spans="1:22" x14ac:dyDescent="0.55000000000000004">
      <c r="A1679">
        <v>1291.8126999999999</v>
      </c>
      <c r="B1679" s="1">
        <v>4.82E-2</v>
      </c>
      <c r="C1679" s="1">
        <v>4.82E-2</v>
      </c>
      <c r="D1679" s="2" t="s">
        <v>0</v>
      </c>
      <c r="E1679">
        <v>1</v>
      </c>
      <c r="F1679" s="2" t="s">
        <v>2</v>
      </c>
      <c r="G1679">
        <v>1</v>
      </c>
      <c r="H1679">
        <v>24.5</v>
      </c>
      <c r="I1679" s="2" t="s">
        <v>0</v>
      </c>
      <c r="J1679">
        <v>1</v>
      </c>
      <c r="K1679" s="2" t="s">
        <v>2</v>
      </c>
      <c r="L1679">
        <v>0</v>
      </c>
      <c r="M1679">
        <v>23.5</v>
      </c>
      <c r="N1679" s="2" t="s">
        <v>323</v>
      </c>
      <c r="O1679" t="str">
        <f>D1679&amp;"-"&amp;E1679&amp;"-"&amp;F1679&amp;"-"&amp;G1679&amp;"-"&amp;H1679</f>
        <v>X-1-e-1-24.5</v>
      </c>
      <c r="P1679" t="str">
        <f>I1679&amp;"-"&amp;J1679&amp;"-"&amp;K1679&amp;"-"&amp;L1679&amp;"-"&amp;M1679</f>
        <v>X-1-e-0-23.5</v>
      </c>
      <c r="Q1679">
        <f>A1679+R1679</f>
        <v>3258.146448</v>
      </c>
      <c r="R1679">
        <f>_xlfn.IFNA(VLOOKUP(P1679,PGOPHER!A$2:G$181,7,FALSE),_xlfn.IFNA(VLOOKUP(P1679,en!A$2:I$768,7,FALSE),-10000))</f>
        <v>1966.333748</v>
      </c>
      <c r="S1679">
        <f>IF(O1679=O1678,Q1678+S1678,Q1679)</f>
        <v>3258.146448</v>
      </c>
      <c r="T1679">
        <f>IF(O1679=O1678,T1678+1,1)</f>
        <v>1</v>
      </c>
      <c r="U1679" t="str">
        <f>IF(O1679=O1680,"",S1679/T1679)</f>
        <v/>
      </c>
      <c r="V1679" t="str">
        <f>IF(U1679="","",IF(ABS(Q1679-U1679)&gt;V$1,"error",""))</f>
        <v/>
      </c>
    </row>
    <row r="1680" spans="1:22" x14ac:dyDescent="0.55000000000000004">
      <c r="A1680">
        <v>1291.8126500000001</v>
      </c>
      <c r="B1680" s="1">
        <v>2.5709999999999999E-3</v>
      </c>
      <c r="C1680" s="1">
        <v>2.5709999999999999E-3</v>
      </c>
      <c r="D1680" s="2" t="s">
        <v>0</v>
      </c>
      <c r="E1680">
        <v>1</v>
      </c>
      <c r="F1680" s="2" t="s">
        <v>2</v>
      </c>
      <c r="G1680">
        <v>1</v>
      </c>
      <c r="H1680">
        <v>24.5</v>
      </c>
      <c r="I1680" s="2" t="s">
        <v>0</v>
      </c>
      <c r="J1680">
        <v>1</v>
      </c>
      <c r="K1680" s="2" t="s">
        <v>2</v>
      </c>
      <c r="L1680">
        <v>0</v>
      </c>
      <c r="M1680">
        <v>23.5</v>
      </c>
      <c r="N1680" s="2" t="s">
        <v>327</v>
      </c>
      <c r="O1680" t="str">
        <f>D1680&amp;"-"&amp;E1680&amp;"-"&amp;F1680&amp;"-"&amp;G1680&amp;"-"&amp;H1680</f>
        <v>X-1-e-1-24.5</v>
      </c>
      <c r="P1680" t="str">
        <f>I1680&amp;"-"&amp;J1680&amp;"-"&amp;K1680&amp;"-"&amp;L1680&amp;"-"&amp;M1680</f>
        <v>X-1-e-0-23.5</v>
      </c>
      <c r="Q1680">
        <f>A1680+R1680</f>
        <v>3258.1463979999999</v>
      </c>
      <c r="R1680">
        <f>_xlfn.IFNA(VLOOKUP(P1680,PGOPHER!A$2:G$181,7,FALSE),_xlfn.IFNA(VLOOKUP(P1680,en!A$2:I$768,7,FALSE),-10000))</f>
        <v>1966.333748</v>
      </c>
      <c r="S1680">
        <f>IF(O1680=O1679,Q1679+S1679,Q1680)</f>
        <v>6516.2928959999999</v>
      </c>
      <c r="T1680">
        <f>IF(O1680=O1679,T1679+1,1)</f>
        <v>2</v>
      </c>
      <c r="U1680" t="str">
        <f>IF(O1680=O1681,"",S1680/T1680)</f>
        <v/>
      </c>
      <c r="V1680" t="str">
        <f>IF(U1680="","",IF(ABS(Q1680-U1680)&gt;V$1,"error",""))</f>
        <v/>
      </c>
    </row>
    <row r="1681" spans="1:22" x14ac:dyDescent="0.55000000000000004">
      <c r="A1681">
        <v>951.20550000000003</v>
      </c>
      <c r="B1681" s="1">
        <v>6.1699999999999998E-2</v>
      </c>
      <c r="C1681" s="1">
        <v>6.1699999999999998E-2</v>
      </c>
      <c r="D1681" s="2" t="s">
        <v>0</v>
      </c>
      <c r="E1681">
        <v>1</v>
      </c>
      <c r="F1681" s="2" t="s">
        <v>2</v>
      </c>
      <c r="G1681">
        <v>1</v>
      </c>
      <c r="H1681">
        <v>24.5</v>
      </c>
      <c r="I1681" s="2" t="s">
        <v>0</v>
      </c>
      <c r="J1681">
        <v>1</v>
      </c>
      <c r="K1681" s="2" t="s">
        <v>2</v>
      </c>
      <c r="L1681">
        <v>0</v>
      </c>
      <c r="M1681">
        <v>25.5</v>
      </c>
      <c r="N1681" s="2" t="s">
        <v>325</v>
      </c>
      <c r="O1681" t="str">
        <f>D1681&amp;"-"&amp;E1681&amp;"-"&amp;F1681&amp;"-"&amp;G1681&amp;"-"&amp;H1681</f>
        <v>X-1-e-1-24.5</v>
      </c>
      <c r="P1681" t="str">
        <f>I1681&amp;"-"&amp;J1681&amp;"-"&amp;K1681&amp;"-"&amp;L1681&amp;"-"&amp;M1681</f>
        <v>X-1-e-0-25.5</v>
      </c>
      <c r="Q1681">
        <f>A1681+R1681</f>
        <v>3258.1464019999999</v>
      </c>
      <c r="R1681">
        <f>_xlfn.IFNA(VLOOKUP(P1681,PGOPHER!A$2:G$181,7,FALSE),_xlfn.IFNA(VLOOKUP(P1681,en!A$2:I$768,7,FALSE),-10000))</f>
        <v>2306.9409019999998</v>
      </c>
      <c r="S1681">
        <f>IF(O1681=O1680,Q1680+S1680,Q1681)</f>
        <v>9774.4392939999998</v>
      </c>
      <c r="T1681">
        <f>IF(O1681=O1680,T1680+1,1)</f>
        <v>3</v>
      </c>
      <c r="U1681" t="str">
        <f>IF(O1681=O1682,"",S1681/T1681)</f>
        <v/>
      </c>
      <c r="V1681" t="str">
        <f>IF(U1681="","",IF(ABS(Q1681-U1681)&gt;V$1,"error",""))</f>
        <v/>
      </c>
    </row>
    <row r="1682" spans="1:22" x14ac:dyDescent="0.55000000000000004">
      <c r="A1682">
        <v>951.20547999999997</v>
      </c>
      <c r="B1682" s="1">
        <v>1E-3</v>
      </c>
      <c r="C1682" s="1">
        <v>1E-3</v>
      </c>
      <c r="D1682" s="2" t="s">
        <v>0</v>
      </c>
      <c r="E1682">
        <v>1</v>
      </c>
      <c r="F1682" s="2" t="s">
        <v>2</v>
      </c>
      <c r="G1682">
        <v>1</v>
      </c>
      <c r="H1682">
        <v>24.5</v>
      </c>
      <c r="I1682" s="2" t="s">
        <v>0</v>
      </c>
      <c r="J1682">
        <v>1</v>
      </c>
      <c r="K1682" s="2" t="s">
        <v>2</v>
      </c>
      <c r="L1682">
        <v>0</v>
      </c>
      <c r="M1682">
        <v>25.5</v>
      </c>
      <c r="N1682" s="2" t="s">
        <v>328</v>
      </c>
      <c r="O1682" t="str">
        <f>D1682&amp;"-"&amp;E1682&amp;"-"&amp;F1682&amp;"-"&amp;G1682&amp;"-"&amp;H1682</f>
        <v>X-1-e-1-24.5</v>
      </c>
      <c r="P1682" t="str">
        <f>I1682&amp;"-"&amp;J1682&amp;"-"&amp;K1682&amp;"-"&amp;L1682&amp;"-"&amp;M1682</f>
        <v>X-1-e-0-25.5</v>
      </c>
      <c r="Q1682">
        <f>A1682+R1682</f>
        <v>3258.1463819999999</v>
      </c>
      <c r="R1682">
        <f>_xlfn.IFNA(VLOOKUP(P1682,PGOPHER!A$2:G$181,7,FALSE),_xlfn.IFNA(VLOOKUP(P1682,en!A$2:I$768,7,FALSE),-10000))</f>
        <v>2306.9409019999998</v>
      </c>
      <c r="S1682">
        <f>IF(O1682=O1681,Q1681+S1681,Q1682)</f>
        <v>13032.585696</v>
      </c>
      <c r="T1682">
        <f>IF(O1682=O1681,T1681+1,1)</f>
        <v>4</v>
      </c>
      <c r="U1682">
        <f>IF(O1682=O1683,"",S1682/T1682)</f>
        <v>3258.146424</v>
      </c>
      <c r="V1682" t="str">
        <f>IF(U1682="","",IF(ABS(Q1682-U1682)&gt;V$1,"error",""))</f>
        <v/>
      </c>
    </row>
    <row r="1683" spans="1:22" x14ac:dyDescent="0.55000000000000004">
      <c r="A1683">
        <v>920.83280000000002</v>
      </c>
      <c r="B1683" s="1">
        <v>7.2500000000000004E-3</v>
      </c>
      <c r="C1683" s="1">
        <v>7.2500000000000004E-3</v>
      </c>
      <c r="D1683" s="2" t="s">
        <v>0</v>
      </c>
      <c r="E1683">
        <v>1</v>
      </c>
      <c r="F1683" s="2" t="s">
        <v>2</v>
      </c>
      <c r="G1683">
        <v>2</v>
      </c>
      <c r="H1683">
        <v>24.5</v>
      </c>
      <c r="I1683" s="2" t="s">
        <v>0</v>
      </c>
      <c r="J1683">
        <v>1</v>
      </c>
      <c r="K1683" s="2" t="s">
        <v>2</v>
      </c>
      <c r="L1683">
        <v>1</v>
      </c>
      <c r="M1683">
        <v>25.5</v>
      </c>
      <c r="N1683" s="2" t="s">
        <v>501</v>
      </c>
      <c r="O1683" t="str">
        <f>D1683&amp;"-"&amp;E1683&amp;"-"&amp;F1683&amp;"-"&amp;G1683&amp;"-"&amp;H1683</f>
        <v>X-1-e-2-24.5</v>
      </c>
      <c r="P1683" t="str">
        <f>I1683&amp;"-"&amp;J1683&amp;"-"&amp;K1683&amp;"-"&amp;L1683&amp;"-"&amp;M1683</f>
        <v>X-1-e-1-25.5</v>
      </c>
      <c r="Q1683">
        <f>A1683+R1683</f>
        <v>4348.4455989999997</v>
      </c>
      <c r="R1683">
        <f>_xlfn.IFNA(VLOOKUP(P1683,PGOPHER!A$2:G$181,7,FALSE),_xlfn.IFNA(VLOOKUP(P1683,en!A$2:I$768,7,FALSE),-10000))</f>
        <v>3427.612799</v>
      </c>
      <c r="S1683">
        <f>IF(O1683=O1682,Q1682+S1682,Q1683)</f>
        <v>4348.4455989999997</v>
      </c>
      <c r="T1683">
        <f>IF(O1683=O1682,T1682+1,1)</f>
        <v>1</v>
      </c>
      <c r="U1683" t="str">
        <f>IF(O1683=O1684,"",S1683/T1683)</f>
        <v/>
      </c>
      <c r="V1683" t="str">
        <f>IF(U1683="","",IF(ABS(Q1683-U1683)&gt;V$1,"error",""))</f>
        <v/>
      </c>
    </row>
    <row r="1684" spans="1:22" x14ac:dyDescent="0.55000000000000004">
      <c r="A1684">
        <v>1253.5912000000001</v>
      </c>
      <c r="B1684" s="1">
        <v>7.26E-3</v>
      </c>
      <c r="C1684" s="1">
        <v>7.26E-3</v>
      </c>
      <c r="D1684" s="2" t="s">
        <v>0</v>
      </c>
      <c r="E1684">
        <v>1</v>
      </c>
      <c r="F1684" s="2" t="s">
        <v>2</v>
      </c>
      <c r="G1684">
        <v>2</v>
      </c>
      <c r="H1684">
        <v>24.5</v>
      </c>
      <c r="I1684" s="2" t="s">
        <v>0</v>
      </c>
      <c r="J1684">
        <v>1</v>
      </c>
      <c r="K1684" s="2" t="s">
        <v>2</v>
      </c>
      <c r="L1684">
        <v>1</v>
      </c>
      <c r="M1684">
        <v>23.5</v>
      </c>
      <c r="N1684" s="2" t="s">
        <v>499</v>
      </c>
      <c r="O1684" t="str">
        <f>D1684&amp;"-"&amp;E1684&amp;"-"&amp;F1684&amp;"-"&amp;G1684&amp;"-"&amp;H1684</f>
        <v>X-1-e-2-24.5</v>
      </c>
      <c r="P1684" t="str">
        <f>I1684&amp;"-"&amp;J1684&amp;"-"&amp;K1684&amp;"-"&amp;L1684&amp;"-"&amp;M1684</f>
        <v>X-1-e-1-23.5</v>
      </c>
      <c r="Q1684">
        <f>A1684+R1684</f>
        <v>4348.4401429999998</v>
      </c>
      <c r="R1684">
        <f>_xlfn.IFNA(VLOOKUP(P1684,PGOPHER!A$2:G$181,7,FALSE),_xlfn.IFNA(VLOOKUP(P1684,en!A$2:I$768,7,FALSE),-10000))</f>
        <v>3094.848943</v>
      </c>
      <c r="S1684">
        <f>IF(O1684=O1683,Q1683+S1683,Q1684)</f>
        <v>8696.8911979999993</v>
      </c>
      <c r="T1684">
        <f>IF(O1684=O1683,T1683+1,1)</f>
        <v>2</v>
      </c>
      <c r="U1684">
        <f>IF(O1684=O1685,"",S1684/T1684)</f>
        <v>4348.4455989999997</v>
      </c>
      <c r="V1684" t="str">
        <f>IF(U1684="","",IF(ABS(Q1684-U1684)&gt;V$1,"error",""))</f>
        <v/>
      </c>
    </row>
    <row r="1685" spans="1:22" x14ac:dyDescent="0.55000000000000004">
      <c r="A1685">
        <v>1215.1206</v>
      </c>
      <c r="B1685" s="1">
        <v>1E-3</v>
      </c>
      <c r="C1685" s="1">
        <v>1E-3</v>
      </c>
      <c r="D1685" s="2" t="s">
        <v>0</v>
      </c>
      <c r="E1685">
        <v>1</v>
      </c>
      <c r="F1685" s="2" t="s">
        <v>2</v>
      </c>
      <c r="G1685">
        <v>3</v>
      </c>
      <c r="H1685">
        <v>24.5</v>
      </c>
      <c r="I1685" s="2" t="s">
        <v>0</v>
      </c>
      <c r="J1685">
        <v>1</v>
      </c>
      <c r="K1685" s="2" t="s">
        <v>2</v>
      </c>
      <c r="L1685">
        <v>2</v>
      </c>
      <c r="M1685">
        <v>23.5</v>
      </c>
      <c r="N1685" s="2" t="s">
        <v>618</v>
      </c>
      <c r="O1685" t="str">
        <f>D1685&amp;"-"&amp;E1685&amp;"-"&amp;F1685&amp;"-"&amp;G1685&amp;"-"&amp;H1685</f>
        <v>X-1-e-3-24.5</v>
      </c>
      <c r="P1685" t="str">
        <f>I1685&amp;"-"&amp;J1685&amp;"-"&amp;K1685&amp;"-"&amp;L1685&amp;"-"&amp;M1685</f>
        <v>X-1-e-2-23.5</v>
      </c>
      <c r="Q1685">
        <f>A1685+R1685</f>
        <v>5404.1299260000005</v>
      </c>
      <c r="R1685">
        <f>_xlfn.IFNA(VLOOKUP(P1685,PGOPHER!A$2:G$181,7,FALSE),_xlfn.IFNA(VLOOKUP(P1685,en!A$2:I$768,7,FALSE),-10000))</f>
        <v>4189.0093260000003</v>
      </c>
      <c r="S1685">
        <f>IF(O1685=O1684,Q1684+S1684,Q1685)</f>
        <v>5404.1299260000005</v>
      </c>
      <c r="T1685">
        <f>IF(O1685=O1684,T1684+1,1)</f>
        <v>1</v>
      </c>
      <c r="U1685">
        <f>IF(O1685=O1686,"",S1685/T1685)</f>
        <v>5404.1299260000005</v>
      </c>
      <c r="V1685" t="str">
        <f>IF(U1685="","",IF(ABS(Q1685-U1685)&gt;V$1,"error",""))</f>
        <v/>
      </c>
    </row>
    <row r="1686" spans="1:22" x14ac:dyDescent="0.55000000000000004">
      <c r="A1686">
        <v>941.15413999999998</v>
      </c>
      <c r="B1686" s="1">
        <v>1E-3</v>
      </c>
      <c r="C1686" s="1">
        <v>1E-3</v>
      </c>
      <c r="D1686" s="2" t="s">
        <v>0</v>
      </c>
      <c r="E1686">
        <v>2</v>
      </c>
      <c r="F1686" s="2" t="s">
        <v>1</v>
      </c>
      <c r="G1686">
        <v>1</v>
      </c>
      <c r="H1686">
        <v>24.5</v>
      </c>
      <c r="I1686" s="2" t="s">
        <v>0</v>
      </c>
      <c r="J1686">
        <v>2</v>
      </c>
      <c r="K1686" s="2" t="s">
        <v>1</v>
      </c>
      <c r="L1686">
        <v>0</v>
      </c>
      <c r="M1686">
        <v>25.5</v>
      </c>
      <c r="N1686" s="2" t="s">
        <v>330</v>
      </c>
      <c r="O1686" t="str">
        <f>D1686&amp;"-"&amp;E1686&amp;"-"&amp;F1686&amp;"-"&amp;G1686&amp;"-"&amp;H1686</f>
        <v>X-2-f-1-24.5</v>
      </c>
      <c r="P1686" t="str">
        <f>I1686&amp;"-"&amp;J1686&amp;"-"&amp;K1686&amp;"-"&amp;L1686&amp;"-"&amp;M1686</f>
        <v>X-2-f-0-25.5</v>
      </c>
      <c r="Q1686">
        <f>A1686+R1686</f>
        <v>3424.7482680000003</v>
      </c>
      <c r="R1686">
        <f>_xlfn.IFNA(VLOOKUP(P1686,PGOPHER!A$2:G$181,7,FALSE),_xlfn.IFNA(VLOOKUP(P1686,en!A$2:I$768,7,FALSE),-10000))</f>
        <v>2483.5941280000002</v>
      </c>
      <c r="S1686">
        <f>IF(O1686=O1685,Q1685+S1685,Q1686)</f>
        <v>3424.7482680000003</v>
      </c>
      <c r="T1686">
        <f>IF(O1686=O1685,T1685+1,1)</f>
        <v>1</v>
      </c>
      <c r="U1686" t="str">
        <f>IF(O1686=O1687,"",S1686/T1686)</f>
        <v/>
      </c>
      <c r="V1686" t="str">
        <f>IF(U1686="","",IF(ABS(Q1686-U1686)&gt;V$1,"error",""))</f>
        <v/>
      </c>
    </row>
    <row r="1687" spans="1:22" x14ac:dyDescent="0.55000000000000004">
      <c r="A1687">
        <v>1294.14282</v>
      </c>
      <c r="B1687" s="1">
        <v>2E-3</v>
      </c>
      <c r="C1687" s="1">
        <v>2E-3</v>
      </c>
      <c r="D1687" s="2" t="s">
        <v>0</v>
      </c>
      <c r="E1687">
        <v>2</v>
      </c>
      <c r="F1687" s="2" t="s">
        <v>1</v>
      </c>
      <c r="G1687">
        <v>1</v>
      </c>
      <c r="H1687">
        <v>24.5</v>
      </c>
      <c r="I1687" s="2" t="s">
        <v>0</v>
      </c>
      <c r="J1687">
        <v>2</v>
      </c>
      <c r="K1687" s="2" t="s">
        <v>1</v>
      </c>
      <c r="L1687">
        <v>0</v>
      </c>
      <c r="M1687">
        <v>23.5</v>
      </c>
      <c r="N1687" s="2" t="s">
        <v>329</v>
      </c>
      <c r="O1687" t="str">
        <f>D1687&amp;"-"&amp;E1687&amp;"-"&amp;F1687&amp;"-"&amp;G1687&amp;"-"&amp;H1687</f>
        <v>X-2-f-1-24.5</v>
      </c>
      <c r="P1687" t="str">
        <f>I1687&amp;"-"&amp;J1687&amp;"-"&amp;K1687&amp;"-"&amp;L1687&amp;"-"&amp;M1687</f>
        <v>X-2-f-0-23.5</v>
      </c>
      <c r="Q1687">
        <f>A1687+R1687</f>
        <v>3424.7478730000003</v>
      </c>
      <c r="R1687">
        <f>_xlfn.IFNA(VLOOKUP(P1687,PGOPHER!A$2:G$181,7,FALSE),_xlfn.IFNA(VLOOKUP(P1687,en!A$2:I$768,7,FALSE),-10000))</f>
        <v>2130.6050530000002</v>
      </c>
      <c r="S1687">
        <f>IF(O1687=O1686,Q1686+S1686,Q1687)</f>
        <v>6849.4965360000006</v>
      </c>
      <c r="T1687">
        <f>IF(O1687=O1686,T1686+1,1)</f>
        <v>2</v>
      </c>
      <c r="U1687" t="str">
        <f>IF(O1687=O1688,"",S1687/T1687)</f>
        <v/>
      </c>
      <c r="V1687" t="str">
        <f>IF(U1687="","",IF(ABS(Q1687-U1687)&gt;V$1,"error",""))</f>
        <v/>
      </c>
    </row>
    <row r="1688" spans="1:22" x14ac:dyDescent="0.55000000000000004">
      <c r="A1688">
        <v>941.15409999999997</v>
      </c>
      <c r="B1688" s="1">
        <v>1E-3</v>
      </c>
      <c r="C1688" s="1">
        <v>1E-3</v>
      </c>
      <c r="D1688" s="2" t="s">
        <v>0</v>
      </c>
      <c r="E1688">
        <v>2</v>
      </c>
      <c r="F1688" s="2" t="s">
        <v>1</v>
      </c>
      <c r="G1688">
        <v>1</v>
      </c>
      <c r="H1688">
        <v>24.5</v>
      </c>
      <c r="I1688" s="2" t="s">
        <v>0</v>
      </c>
      <c r="J1688">
        <v>2</v>
      </c>
      <c r="K1688" s="2" t="s">
        <v>1</v>
      </c>
      <c r="L1688">
        <v>0</v>
      </c>
      <c r="M1688">
        <v>25.5</v>
      </c>
      <c r="N1688" s="2" t="s">
        <v>326</v>
      </c>
      <c r="O1688" t="str">
        <f>D1688&amp;"-"&amp;E1688&amp;"-"&amp;F1688&amp;"-"&amp;G1688&amp;"-"&amp;H1688</f>
        <v>X-2-f-1-24.5</v>
      </c>
      <c r="P1688" t="str">
        <f>I1688&amp;"-"&amp;J1688&amp;"-"&amp;K1688&amp;"-"&amp;L1688&amp;"-"&amp;M1688</f>
        <v>X-2-f-0-25.5</v>
      </c>
      <c r="Q1688">
        <f>A1688+R1688</f>
        <v>3424.7482280000004</v>
      </c>
      <c r="R1688">
        <f>_xlfn.IFNA(VLOOKUP(P1688,PGOPHER!A$2:G$181,7,FALSE),_xlfn.IFNA(VLOOKUP(P1688,en!A$2:I$768,7,FALSE),-10000))</f>
        <v>2483.5941280000002</v>
      </c>
      <c r="S1688">
        <f>IF(O1688=O1687,Q1687+S1687,Q1688)</f>
        <v>10274.244409000001</v>
      </c>
      <c r="T1688">
        <f>IF(O1688=O1687,T1687+1,1)</f>
        <v>3</v>
      </c>
      <c r="U1688" t="str">
        <f>IF(O1688=O1689,"",S1688/T1688)</f>
        <v/>
      </c>
      <c r="V1688" t="str">
        <f>IF(U1688="","",IF(ABS(Q1688-U1688)&gt;V$1,"error",""))</f>
        <v/>
      </c>
    </row>
    <row r="1689" spans="1:22" x14ac:dyDescent="0.55000000000000004">
      <c r="A1689">
        <v>1294.1428000000001</v>
      </c>
      <c r="B1689" s="1">
        <v>1E-3</v>
      </c>
      <c r="C1689" s="1">
        <v>1E-3</v>
      </c>
      <c r="D1689" s="2" t="s">
        <v>0</v>
      </c>
      <c r="E1689">
        <v>2</v>
      </c>
      <c r="F1689" s="2" t="s">
        <v>1</v>
      </c>
      <c r="G1689">
        <v>1</v>
      </c>
      <c r="H1689">
        <v>24.5</v>
      </c>
      <c r="I1689" s="2" t="s">
        <v>0</v>
      </c>
      <c r="J1689">
        <v>2</v>
      </c>
      <c r="K1689" s="2" t="s">
        <v>1</v>
      </c>
      <c r="L1689">
        <v>0</v>
      </c>
      <c r="M1689">
        <v>23.5</v>
      </c>
      <c r="N1689" s="2" t="s">
        <v>324</v>
      </c>
      <c r="O1689" t="str">
        <f>D1689&amp;"-"&amp;E1689&amp;"-"&amp;F1689&amp;"-"&amp;G1689&amp;"-"&amp;H1689</f>
        <v>X-2-f-1-24.5</v>
      </c>
      <c r="P1689" t="str">
        <f>I1689&amp;"-"&amp;J1689&amp;"-"&amp;K1689&amp;"-"&amp;L1689&amp;"-"&amp;M1689</f>
        <v>X-2-f-0-23.5</v>
      </c>
      <c r="Q1689">
        <f>A1689+R1689</f>
        <v>3424.7478530000003</v>
      </c>
      <c r="R1689">
        <f>_xlfn.IFNA(VLOOKUP(P1689,PGOPHER!A$2:G$181,7,FALSE),_xlfn.IFNA(VLOOKUP(P1689,en!A$2:I$768,7,FALSE),-10000))</f>
        <v>2130.6050530000002</v>
      </c>
      <c r="S1689">
        <f>IF(O1689=O1688,Q1688+S1688,Q1689)</f>
        <v>13698.992637000001</v>
      </c>
      <c r="T1689">
        <f>IF(O1689=O1688,T1688+1,1)</f>
        <v>4</v>
      </c>
      <c r="U1689">
        <f>IF(O1689=O1690,"",S1689/T1689)</f>
        <v>3424.7481592500003</v>
      </c>
      <c r="V1689" t="str">
        <f>IF(U1689="","",IF(ABS(Q1689-U1689)&gt;V$1,"error",""))</f>
        <v/>
      </c>
    </row>
    <row r="1690" spans="1:22" x14ac:dyDescent="0.55000000000000004">
      <c r="A1690">
        <v>910.90890000000002</v>
      </c>
      <c r="B1690" s="1">
        <v>1.38E-2</v>
      </c>
      <c r="C1690" s="1">
        <v>1.38E-2</v>
      </c>
      <c r="D1690" s="2" t="s">
        <v>0</v>
      </c>
      <c r="E1690">
        <v>2</v>
      </c>
      <c r="F1690" s="2" t="s">
        <v>1</v>
      </c>
      <c r="G1690">
        <v>2</v>
      </c>
      <c r="H1690">
        <v>24.5</v>
      </c>
      <c r="I1690" s="2" t="s">
        <v>0</v>
      </c>
      <c r="J1690">
        <v>2</v>
      </c>
      <c r="K1690" s="2" t="s">
        <v>1</v>
      </c>
      <c r="L1690">
        <v>1</v>
      </c>
      <c r="M1690">
        <v>25.5</v>
      </c>
      <c r="N1690" s="2" t="s">
        <v>502</v>
      </c>
      <c r="O1690" t="str">
        <f>D1690&amp;"-"&amp;E1690&amp;"-"&amp;F1690&amp;"-"&amp;G1690&amp;"-"&amp;H1690</f>
        <v>X-2-f-2-24.5</v>
      </c>
      <c r="P1690" t="str">
        <f>I1690&amp;"-"&amp;J1690&amp;"-"&amp;K1690&amp;"-"&amp;L1690&amp;"-"&amp;M1690</f>
        <v>X-2-f-1-25.5</v>
      </c>
      <c r="Q1690">
        <f>A1690+R1690</f>
        <v>4511.1274069999999</v>
      </c>
      <c r="R1690">
        <f>_xlfn.IFNA(VLOOKUP(P1690,PGOPHER!A$2:G$181,7,FALSE),_xlfn.IFNA(VLOOKUP(P1690,en!A$2:I$768,7,FALSE),-10000))</f>
        <v>3600.218507</v>
      </c>
      <c r="S1690">
        <f>IF(O1690=O1689,Q1689+S1689,Q1690)</f>
        <v>4511.1274069999999</v>
      </c>
      <c r="T1690">
        <f>IF(O1690=O1689,T1689+1,1)</f>
        <v>1</v>
      </c>
      <c r="U1690" t="str">
        <f>IF(O1690=O1691,"",S1690/T1690)</f>
        <v/>
      </c>
      <c r="V1690" t="str">
        <f>IF(U1690="","",IF(ABS(Q1690-U1690)&gt;V$1,"error",""))</f>
        <v/>
      </c>
    </row>
    <row r="1691" spans="1:22" x14ac:dyDescent="0.55000000000000004">
      <c r="A1691">
        <v>1255.7388000000001</v>
      </c>
      <c r="B1691" s="1">
        <v>1.38E-2</v>
      </c>
      <c r="C1691" s="1">
        <v>1.38E-2</v>
      </c>
      <c r="D1691" s="2" t="s">
        <v>0</v>
      </c>
      <c r="E1691">
        <v>2</v>
      </c>
      <c r="F1691" s="2" t="s">
        <v>1</v>
      </c>
      <c r="G1691">
        <v>2</v>
      </c>
      <c r="H1691">
        <v>24.5</v>
      </c>
      <c r="I1691" s="2" t="s">
        <v>0</v>
      </c>
      <c r="J1691">
        <v>2</v>
      </c>
      <c r="K1691" s="2" t="s">
        <v>1</v>
      </c>
      <c r="L1691">
        <v>1</v>
      </c>
      <c r="M1691">
        <v>23.5</v>
      </c>
      <c r="N1691" s="2" t="s">
        <v>500</v>
      </c>
      <c r="O1691" t="str">
        <f>D1691&amp;"-"&amp;E1691&amp;"-"&amp;F1691&amp;"-"&amp;G1691&amp;"-"&amp;H1691</f>
        <v>X-2-f-2-24.5</v>
      </c>
      <c r="P1691" t="str">
        <f>I1691&amp;"-"&amp;J1691&amp;"-"&amp;K1691&amp;"-"&amp;L1691&amp;"-"&amp;M1691</f>
        <v>X-2-f-1-23.5</v>
      </c>
      <c r="Q1691">
        <f>A1691+R1691</f>
        <v>4511.1262800000004</v>
      </c>
      <c r="R1691">
        <f>_xlfn.IFNA(VLOOKUP(P1691,PGOPHER!A$2:G$181,7,FALSE),_xlfn.IFNA(VLOOKUP(P1691,en!A$2:I$768,7,FALSE),-10000))</f>
        <v>3255.3874799999999</v>
      </c>
      <c r="S1691">
        <f>IF(O1691=O1690,Q1690+S1690,Q1691)</f>
        <v>9022.2548139999999</v>
      </c>
      <c r="T1691">
        <f>IF(O1691=O1690,T1690+1,1)</f>
        <v>2</v>
      </c>
      <c r="U1691">
        <f>IF(O1691=O1692,"",S1691/T1691)</f>
        <v>4511.1274069999999</v>
      </c>
      <c r="V1691" t="str">
        <f>IF(U1691="","",IF(ABS(Q1691-U1691)&gt;V$1,"error",""))</f>
        <v/>
      </c>
    </row>
    <row r="1692" spans="1:22" x14ac:dyDescent="0.55000000000000004">
      <c r="A1692">
        <v>1177.8902</v>
      </c>
      <c r="B1692" s="1">
        <v>1E-3</v>
      </c>
      <c r="C1692" s="1">
        <v>1E-3</v>
      </c>
      <c r="D1692" s="2" t="s">
        <v>0</v>
      </c>
      <c r="E1692">
        <v>2</v>
      </c>
      <c r="F1692" s="2" t="s">
        <v>1</v>
      </c>
      <c r="G1692">
        <v>4</v>
      </c>
      <c r="H1692">
        <v>24.5</v>
      </c>
      <c r="I1692" s="2" t="s">
        <v>0</v>
      </c>
      <c r="J1692">
        <v>2</v>
      </c>
      <c r="K1692" s="2" t="s">
        <v>1</v>
      </c>
      <c r="L1692">
        <v>3</v>
      </c>
      <c r="M1692">
        <v>23.5</v>
      </c>
      <c r="N1692" s="2" t="s">
        <v>678</v>
      </c>
      <c r="O1692" t="str">
        <f>D1692&amp;"-"&amp;E1692&amp;"-"&amp;F1692&amp;"-"&amp;G1692&amp;"-"&amp;H1692</f>
        <v>X-2-f-4-24.5</v>
      </c>
      <c r="P1692" t="str">
        <f>I1692&amp;"-"&amp;J1692&amp;"-"&amp;K1692&amp;"-"&amp;L1692&amp;"-"&amp;M1692</f>
        <v>X-2-f-3-23.5</v>
      </c>
      <c r="Q1692">
        <f>A1692+R1692</f>
        <v>-8822.1098000000002</v>
      </c>
      <c r="R1692">
        <f>_xlfn.IFNA(VLOOKUP(P1692,PGOPHER!A$2:G$181,7,FALSE),_xlfn.IFNA(VLOOKUP(P1692,en!A$2:I$768,7,FALSE),-10000))</f>
        <v>-10000</v>
      </c>
      <c r="S1692">
        <f>IF(O1692=O1691,Q1691+S1691,Q1692)</f>
        <v>-8822.1098000000002</v>
      </c>
      <c r="T1692">
        <f>IF(O1692=O1691,T1691+1,1)</f>
        <v>1</v>
      </c>
      <c r="U1692">
        <f>IF(O1692=O1693,"",S1692/T1692)</f>
        <v>-8822.1098000000002</v>
      </c>
      <c r="V1692" t="str">
        <f>IF(U1692="","",IF(ABS(Q1692-U1692)&gt;V$1,"error",""))</f>
        <v/>
      </c>
    </row>
    <row r="1693" spans="1:22" x14ac:dyDescent="0.55000000000000004">
      <c r="A1693">
        <v>940.94880000000001</v>
      </c>
      <c r="B1693" s="1">
        <v>1E-3</v>
      </c>
      <c r="C1693" s="1">
        <v>1E-3</v>
      </c>
      <c r="D1693" s="2" t="s">
        <v>0</v>
      </c>
      <c r="E1693">
        <v>1</v>
      </c>
      <c r="F1693" s="2" t="s">
        <v>2</v>
      </c>
      <c r="G1693">
        <v>1</v>
      </c>
      <c r="H1693">
        <v>25.5</v>
      </c>
      <c r="I1693" s="2" t="s">
        <v>0</v>
      </c>
      <c r="J1693">
        <v>1</v>
      </c>
      <c r="K1693" s="2" t="s">
        <v>2</v>
      </c>
      <c r="L1693">
        <v>0</v>
      </c>
      <c r="M1693">
        <v>26.5</v>
      </c>
      <c r="N1693" s="2" t="s">
        <v>334</v>
      </c>
      <c r="O1693" t="str">
        <f>D1693&amp;"-"&amp;E1693&amp;"-"&amp;F1693&amp;"-"&amp;G1693&amp;"-"&amp;H1693</f>
        <v>X-1-e-1-25.5</v>
      </c>
      <c r="P1693" t="str">
        <f>I1693&amp;"-"&amp;J1693&amp;"-"&amp;K1693&amp;"-"&amp;L1693&amp;"-"&amp;M1693</f>
        <v>X-1-e-0-26.5</v>
      </c>
      <c r="Q1693">
        <f>A1693+R1693</f>
        <v>3427.6130149999999</v>
      </c>
      <c r="R1693">
        <f>_xlfn.IFNA(VLOOKUP(P1693,PGOPHER!A$2:G$181,7,FALSE),_xlfn.IFNA(VLOOKUP(P1693,en!A$2:I$768,7,FALSE),-10000))</f>
        <v>2486.6642149999998</v>
      </c>
      <c r="S1693">
        <f>IF(O1693=O1692,Q1692+S1692,Q1693)</f>
        <v>3427.6130149999999</v>
      </c>
      <c r="T1693">
        <f>IF(O1693=O1692,T1692+1,1)</f>
        <v>1</v>
      </c>
      <c r="U1693" t="str">
        <f>IF(O1693=O1694,"",S1693/T1693)</f>
        <v/>
      </c>
      <c r="V1693" t="str">
        <f>IF(U1693="","",IF(ABS(Q1693-U1693)&gt;V$1,"error",""))</f>
        <v/>
      </c>
    </row>
    <row r="1694" spans="1:22" x14ac:dyDescent="0.55000000000000004">
      <c r="A1694">
        <v>1294.14282</v>
      </c>
      <c r="B1694" s="1">
        <v>2E-3</v>
      </c>
      <c r="C1694" s="1">
        <v>2E-3</v>
      </c>
      <c r="D1694" s="2" t="s">
        <v>0</v>
      </c>
      <c r="E1694">
        <v>1</v>
      </c>
      <c r="F1694" s="2" t="s">
        <v>2</v>
      </c>
      <c r="G1694">
        <v>1</v>
      </c>
      <c r="H1694">
        <v>25.5</v>
      </c>
      <c r="I1694" s="2" t="s">
        <v>0</v>
      </c>
      <c r="J1694">
        <v>1</v>
      </c>
      <c r="K1694" s="2" t="s">
        <v>2</v>
      </c>
      <c r="L1694">
        <v>0</v>
      </c>
      <c r="M1694">
        <v>24.5</v>
      </c>
      <c r="N1694" s="2" t="s">
        <v>335</v>
      </c>
      <c r="O1694" t="str">
        <f>D1694&amp;"-"&amp;E1694&amp;"-"&amp;F1694&amp;"-"&amp;G1694&amp;"-"&amp;H1694</f>
        <v>X-1-e-1-25.5</v>
      </c>
      <c r="P1694" t="str">
        <f>I1694&amp;"-"&amp;J1694&amp;"-"&amp;K1694&amp;"-"&amp;L1694&amp;"-"&amp;M1694</f>
        <v>X-1-e-0-24.5</v>
      </c>
      <c r="Q1694">
        <f>A1694+R1694</f>
        <v>3427.6128520000002</v>
      </c>
      <c r="R1694">
        <f>_xlfn.IFNA(VLOOKUP(P1694,PGOPHER!A$2:G$181,7,FALSE),_xlfn.IFNA(VLOOKUP(P1694,en!A$2:I$768,7,FALSE),-10000))</f>
        <v>2133.4700320000002</v>
      </c>
      <c r="S1694">
        <f>IF(O1694=O1693,Q1693+S1693,Q1694)</f>
        <v>6855.2260299999998</v>
      </c>
      <c r="T1694">
        <f>IF(O1694=O1693,T1693+1,1)</f>
        <v>2</v>
      </c>
      <c r="U1694" t="str">
        <f>IF(O1694=O1695,"",S1694/T1694)</f>
        <v/>
      </c>
      <c r="V1694" t="str">
        <f>IF(U1694="","",IF(ABS(Q1694-U1694)&gt;V$1,"error",""))</f>
        <v/>
      </c>
    </row>
    <row r="1695" spans="1:22" x14ac:dyDescent="0.55000000000000004">
      <c r="A1695">
        <v>940.94880999999998</v>
      </c>
      <c r="B1695" s="1">
        <v>1E-3</v>
      </c>
      <c r="C1695" s="1">
        <v>1E-3</v>
      </c>
      <c r="D1695" s="2" t="s">
        <v>0</v>
      </c>
      <c r="E1695">
        <v>1</v>
      </c>
      <c r="F1695" s="2" t="s">
        <v>2</v>
      </c>
      <c r="G1695">
        <v>1</v>
      </c>
      <c r="H1695">
        <v>25.5</v>
      </c>
      <c r="I1695" s="2" t="s">
        <v>0</v>
      </c>
      <c r="J1695">
        <v>1</v>
      </c>
      <c r="K1695" s="2" t="s">
        <v>2</v>
      </c>
      <c r="L1695">
        <v>0</v>
      </c>
      <c r="M1695">
        <v>26.5</v>
      </c>
      <c r="N1695" s="2" t="s">
        <v>336</v>
      </c>
      <c r="O1695" t="str">
        <f>D1695&amp;"-"&amp;E1695&amp;"-"&amp;F1695&amp;"-"&amp;G1695&amp;"-"&amp;H1695</f>
        <v>X-1-e-1-25.5</v>
      </c>
      <c r="P1695" t="str">
        <f>I1695&amp;"-"&amp;J1695&amp;"-"&amp;K1695&amp;"-"&amp;L1695&amp;"-"&amp;M1695</f>
        <v>X-1-e-0-26.5</v>
      </c>
      <c r="Q1695">
        <f>A1695+R1695</f>
        <v>3427.6130249999997</v>
      </c>
      <c r="R1695">
        <f>_xlfn.IFNA(VLOOKUP(P1695,PGOPHER!A$2:G$181,7,FALSE),_xlfn.IFNA(VLOOKUP(P1695,en!A$2:I$768,7,FALSE),-10000))</f>
        <v>2486.6642149999998</v>
      </c>
      <c r="S1695">
        <f>IF(O1695=O1694,Q1694+S1694,Q1695)</f>
        <v>10282.838882</v>
      </c>
      <c r="T1695">
        <f>IF(O1695=O1694,T1694+1,1)</f>
        <v>3</v>
      </c>
      <c r="U1695" t="str">
        <f>IF(O1695=O1696,"",S1695/T1695)</f>
        <v/>
      </c>
      <c r="V1695" t="str">
        <f>IF(U1695="","",IF(ABS(Q1695-U1695)&gt;V$1,"error",""))</f>
        <v/>
      </c>
    </row>
    <row r="1696" spans="1:22" x14ac:dyDescent="0.55000000000000004">
      <c r="A1696">
        <v>1294.1428000000001</v>
      </c>
      <c r="B1696" s="1">
        <v>1.5100000000000001E-3</v>
      </c>
      <c r="C1696" s="1">
        <v>1.5100000000000001E-3</v>
      </c>
      <c r="D1696" s="2" t="s">
        <v>0</v>
      </c>
      <c r="E1696">
        <v>1</v>
      </c>
      <c r="F1696" s="2" t="s">
        <v>2</v>
      </c>
      <c r="G1696">
        <v>1</v>
      </c>
      <c r="H1696">
        <v>25.5</v>
      </c>
      <c r="I1696" s="2" t="s">
        <v>0</v>
      </c>
      <c r="J1696">
        <v>1</v>
      </c>
      <c r="K1696" s="2" t="s">
        <v>2</v>
      </c>
      <c r="L1696">
        <v>0</v>
      </c>
      <c r="M1696">
        <v>24.5</v>
      </c>
      <c r="N1696" s="2" t="s">
        <v>331</v>
      </c>
      <c r="O1696" t="str">
        <f>D1696&amp;"-"&amp;E1696&amp;"-"&amp;F1696&amp;"-"&amp;G1696&amp;"-"&amp;H1696</f>
        <v>X-1-e-1-25.5</v>
      </c>
      <c r="P1696" t="str">
        <f>I1696&amp;"-"&amp;J1696&amp;"-"&amp;K1696&amp;"-"&amp;L1696&amp;"-"&amp;M1696</f>
        <v>X-1-e-0-24.5</v>
      </c>
      <c r="Q1696">
        <f>A1696+R1696</f>
        <v>3427.6128320000003</v>
      </c>
      <c r="R1696">
        <f>_xlfn.IFNA(VLOOKUP(P1696,PGOPHER!A$2:G$181,7,FALSE),_xlfn.IFNA(VLOOKUP(P1696,en!A$2:I$768,7,FALSE),-10000))</f>
        <v>2133.4700320000002</v>
      </c>
      <c r="S1696">
        <f>IF(O1696=O1695,Q1695+S1695,Q1696)</f>
        <v>13710.451906999999</v>
      </c>
      <c r="T1696">
        <f>IF(O1696=O1695,T1695+1,1)</f>
        <v>4</v>
      </c>
      <c r="U1696">
        <f>IF(O1696=O1697,"",S1696/T1696)</f>
        <v>3427.6129767499997</v>
      </c>
      <c r="V1696" t="str">
        <f>IF(U1696="","",IF(ABS(Q1696-U1696)&gt;V$1,"error",""))</f>
        <v/>
      </c>
    </row>
    <row r="1697" spans="1:22" x14ac:dyDescent="0.55000000000000004">
      <c r="A1697">
        <v>910.70719999999994</v>
      </c>
      <c r="B1697" s="1">
        <v>2.3199999999999998E-2</v>
      </c>
      <c r="C1697" s="1">
        <v>2.3199999999999998E-2</v>
      </c>
      <c r="D1697" s="2" t="s">
        <v>0</v>
      </c>
      <c r="E1697">
        <v>1</v>
      </c>
      <c r="F1697" s="2" t="s">
        <v>2</v>
      </c>
      <c r="G1697">
        <v>2</v>
      </c>
      <c r="H1697">
        <v>25.5</v>
      </c>
      <c r="I1697" s="2" t="s">
        <v>0</v>
      </c>
      <c r="J1697">
        <v>1</v>
      </c>
      <c r="K1697" s="2" t="s">
        <v>2</v>
      </c>
      <c r="L1697">
        <v>1</v>
      </c>
      <c r="M1697">
        <v>26.5</v>
      </c>
      <c r="N1697" s="2" t="s">
        <v>504</v>
      </c>
      <c r="O1697" t="str">
        <f>D1697&amp;"-"&amp;E1697&amp;"-"&amp;F1697&amp;"-"&amp;G1697&amp;"-"&amp;H1697</f>
        <v>X-1-e-2-25.5</v>
      </c>
      <c r="P1697" t="str">
        <f>I1697&amp;"-"&amp;J1697&amp;"-"&amp;K1697&amp;"-"&amp;L1697&amp;"-"&amp;M1697</f>
        <v>X-1-e-1-26.5</v>
      </c>
      <c r="Q1697">
        <f>A1697+R1697</f>
        <v>4513.8864949999997</v>
      </c>
      <c r="R1697">
        <f>_xlfn.IFNA(VLOOKUP(P1697,PGOPHER!A$2:G$181,7,FALSE),_xlfn.IFNA(VLOOKUP(P1697,en!A$2:I$768,7,FALSE),-10000))</f>
        <v>3603.1792949999999</v>
      </c>
      <c r="S1697">
        <f>IF(O1697=O1696,Q1696+S1696,Q1697)</f>
        <v>4513.8864949999997</v>
      </c>
      <c r="T1697">
        <f>IF(O1697=O1696,T1696+1,1)</f>
        <v>1</v>
      </c>
      <c r="U1697" t="str">
        <f>IF(O1697=O1698,"",S1697/T1697)</f>
        <v/>
      </c>
      <c r="V1697" t="str">
        <f>IF(U1697="","",IF(ABS(Q1697-U1697)&gt;V$1,"error",""))</f>
        <v/>
      </c>
    </row>
    <row r="1698" spans="1:22" x14ac:dyDescent="0.55000000000000004">
      <c r="A1698">
        <v>1255.7388000000001</v>
      </c>
      <c r="B1698" s="1">
        <v>2.3199999999999998E-2</v>
      </c>
      <c r="C1698" s="1">
        <v>2.3199999999999998E-2</v>
      </c>
      <c r="D1698" s="2" t="s">
        <v>0</v>
      </c>
      <c r="E1698">
        <v>1</v>
      </c>
      <c r="F1698" s="2" t="s">
        <v>2</v>
      </c>
      <c r="G1698">
        <v>2</v>
      </c>
      <c r="H1698">
        <v>25.5</v>
      </c>
      <c r="I1698" s="2" t="s">
        <v>0</v>
      </c>
      <c r="J1698">
        <v>1</v>
      </c>
      <c r="K1698" s="2" t="s">
        <v>2</v>
      </c>
      <c r="L1698">
        <v>1</v>
      </c>
      <c r="M1698">
        <v>24.5</v>
      </c>
      <c r="N1698" s="2" t="s">
        <v>503</v>
      </c>
      <c r="O1698" t="str">
        <f>D1698&amp;"-"&amp;E1698&amp;"-"&amp;F1698&amp;"-"&amp;G1698&amp;"-"&amp;H1698</f>
        <v>X-1-e-2-25.5</v>
      </c>
      <c r="P1698" t="str">
        <f>I1698&amp;"-"&amp;J1698&amp;"-"&amp;K1698&amp;"-"&amp;L1698&amp;"-"&amp;M1698</f>
        <v>X-1-e-1-24.5</v>
      </c>
      <c r="Q1698">
        <f>A1698+R1698</f>
        <v>4513.8852370000004</v>
      </c>
      <c r="R1698">
        <f>_xlfn.IFNA(VLOOKUP(P1698,PGOPHER!A$2:G$181,7,FALSE),_xlfn.IFNA(VLOOKUP(P1698,en!A$2:I$768,7,FALSE),-10000))</f>
        <v>3258.1464369999999</v>
      </c>
      <c r="S1698">
        <f>IF(O1698=O1697,Q1697+S1697,Q1698)</f>
        <v>9027.7729899999995</v>
      </c>
      <c r="T1698">
        <f>IF(O1698=O1697,T1697+1,1)</f>
        <v>2</v>
      </c>
      <c r="U1698">
        <f>IF(O1698=O1699,"",S1698/T1698)</f>
        <v>4513.8864949999997</v>
      </c>
      <c r="V1698" t="str">
        <f>IF(U1698="","",IF(ABS(Q1698-U1698)&gt;V$1,"error",""))</f>
        <v/>
      </c>
    </row>
    <row r="1699" spans="1:22" x14ac:dyDescent="0.55000000000000004">
      <c r="A1699">
        <v>1217.0663</v>
      </c>
      <c r="B1699" s="1">
        <v>1E-3</v>
      </c>
      <c r="C1699" s="1">
        <v>1E-3</v>
      </c>
      <c r="D1699" s="2" t="s">
        <v>0</v>
      </c>
      <c r="E1699">
        <v>1</v>
      </c>
      <c r="F1699" s="2" t="s">
        <v>2</v>
      </c>
      <c r="G1699">
        <v>3</v>
      </c>
      <c r="H1699">
        <v>25.5</v>
      </c>
      <c r="I1699" s="2" t="s">
        <v>0</v>
      </c>
      <c r="J1699">
        <v>1</v>
      </c>
      <c r="K1699" s="2" t="s">
        <v>2</v>
      </c>
      <c r="L1699">
        <v>2</v>
      </c>
      <c r="M1699">
        <v>24.5</v>
      </c>
      <c r="N1699" s="2" t="s">
        <v>619</v>
      </c>
      <c r="O1699" t="str">
        <f>D1699&amp;"-"&amp;E1699&amp;"-"&amp;F1699&amp;"-"&amp;G1699&amp;"-"&amp;H1699</f>
        <v>X-1-e-3-25.5</v>
      </c>
      <c r="P1699" t="str">
        <f>I1699&amp;"-"&amp;J1699&amp;"-"&amp;K1699&amp;"-"&amp;L1699&amp;"-"&amp;M1699</f>
        <v>X-1-e-2-24.5</v>
      </c>
      <c r="Q1699">
        <f>A1699+R1699</f>
        <v>5565.5091749999992</v>
      </c>
      <c r="R1699">
        <f>_xlfn.IFNA(VLOOKUP(P1699,PGOPHER!A$2:G$181,7,FALSE),_xlfn.IFNA(VLOOKUP(P1699,en!A$2:I$768,7,FALSE),-10000))</f>
        <v>4348.4428749999997</v>
      </c>
      <c r="S1699">
        <f>IF(O1699=O1698,Q1698+S1698,Q1699)</f>
        <v>5565.5091749999992</v>
      </c>
      <c r="T1699">
        <f>IF(O1699=O1698,T1698+1,1)</f>
        <v>1</v>
      </c>
      <c r="U1699">
        <f>IF(O1699=O1700,"",S1699/T1699)</f>
        <v>5565.5091749999992</v>
      </c>
      <c r="V1699" t="str">
        <f>IF(U1699="","",IF(ABS(Q1699-U1699)&gt;V$1,"error",""))</f>
        <v/>
      </c>
    </row>
    <row r="1700" spans="1:22" x14ac:dyDescent="0.55000000000000004">
      <c r="A1700">
        <v>1177.8902</v>
      </c>
      <c r="B1700" s="1">
        <v>1E-3</v>
      </c>
      <c r="C1700" s="1">
        <v>1E-3</v>
      </c>
      <c r="D1700" s="2" t="s">
        <v>0</v>
      </c>
      <c r="E1700">
        <v>1</v>
      </c>
      <c r="F1700" s="2" t="s">
        <v>2</v>
      </c>
      <c r="G1700">
        <v>4</v>
      </c>
      <c r="H1700">
        <v>25.5</v>
      </c>
      <c r="I1700" s="2" t="s">
        <v>0</v>
      </c>
      <c r="J1700">
        <v>1</v>
      </c>
      <c r="K1700" s="2" t="s">
        <v>2</v>
      </c>
      <c r="L1700">
        <v>3</v>
      </c>
      <c r="M1700">
        <v>24.5</v>
      </c>
      <c r="N1700" s="2" t="s">
        <v>679</v>
      </c>
      <c r="O1700" t="str">
        <f>D1700&amp;"-"&amp;E1700&amp;"-"&amp;F1700&amp;"-"&amp;G1700&amp;"-"&amp;H1700</f>
        <v>X-1-e-4-25.5</v>
      </c>
      <c r="P1700" t="str">
        <f>I1700&amp;"-"&amp;J1700&amp;"-"&amp;K1700&amp;"-"&amp;L1700&amp;"-"&amp;M1700</f>
        <v>X-1-e-3-24.5</v>
      </c>
      <c r="Q1700">
        <f>A1700+R1700</f>
        <v>6582.0201259999994</v>
      </c>
      <c r="R1700">
        <f>_xlfn.IFNA(VLOOKUP(P1700,PGOPHER!A$2:G$181,7,FALSE),_xlfn.IFNA(VLOOKUP(P1700,en!A$2:I$768,7,FALSE),-10000))</f>
        <v>5404.1299259999996</v>
      </c>
      <c r="S1700">
        <f>IF(O1700=O1699,Q1699+S1699,Q1700)</f>
        <v>6582.0201259999994</v>
      </c>
      <c r="T1700">
        <f>IF(O1700=O1699,T1699+1,1)</f>
        <v>1</v>
      </c>
      <c r="U1700">
        <f>IF(O1700=O1701,"",S1700/T1700)</f>
        <v>6582.0201259999994</v>
      </c>
      <c r="V1700" t="str">
        <f>IF(U1700="","",IF(ABS(Q1700-U1700)&gt;V$1,"error",""))</f>
        <v/>
      </c>
    </row>
    <row r="1701" spans="1:22" x14ac:dyDescent="0.55000000000000004">
      <c r="A1701">
        <v>930.81690000000003</v>
      </c>
      <c r="B1701" s="1">
        <v>1E-3</v>
      </c>
      <c r="C1701" s="1">
        <v>1E-3</v>
      </c>
      <c r="D1701" s="2" t="s">
        <v>0</v>
      </c>
      <c r="E1701">
        <v>2</v>
      </c>
      <c r="F1701" s="2" t="s">
        <v>1</v>
      </c>
      <c r="G1701">
        <v>1</v>
      </c>
      <c r="H1701">
        <v>25.5</v>
      </c>
      <c r="I1701" s="2" t="s">
        <v>0</v>
      </c>
      <c r="J1701">
        <v>2</v>
      </c>
      <c r="K1701" s="2" t="s">
        <v>1</v>
      </c>
      <c r="L1701">
        <v>0</v>
      </c>
      <c r="M1701">
        <v>26.5</v>
      </c>
      <c r="N1701" s="2" t="s">
        <v>332</v>
      </c>
      <c r="O1701" t="str">
        <f>D1701&amp;"-"&amp;E1701&amp;"-"&amp;F1701&amp;"-"&amp;G1701&amp;"-"&amp;H1701</f>
        <v>X-2-f-1-25.5</v>
      </c>
      <c r="P1701" t="str">
        <f>I1701&amp;"-"&amp;J1701&amp;"-"&amp;K1701&amp;"-"&amp;L1701&amp;"-"&amp;M1701</f>
        <v>X-2-f-0-26.5</v>
      </c>
      <c r="Q1701">
        <f>A1701+R1701</f>
        <v>3600.218543</v>
      </c>
      <c r="R1701">
        <f>_xlfn.IFNA(VLOOKUP(P1701,PGOPHER!A$2:G$181,7,FALSE),_xlfn.IFNA(VLOOKUP(P1701,en!A$2:I$768,7,FALSE),-10000))</f>
        <v>2669.4016430000001</v>
      </c>
      <c r="S1701">
        <f>IF(O1701=O1700,Q1700+S1700,Q1701)</f>
        <v>3600.218543</v>
      </c>
      <c r="T1701">
        <f>IF(O1701=O1700,T1700+1,1)</f>
        <v>1</v>
      </c>
      <c r="U1701" t="str">
        <f>IF(O1701=O1702,"",S1701/T1701)</f>
        <v/>
      </c>
      <c r="V1701" t="str">
        <f>IF(U1701="","",IF(ABS(Q1701-U1701)&gt;V$1,"error",""))</f>
        <v/>
      </c>
    </row>
    <row r="1702" spans="1:22" x14ac:dyDescent="0.55000000000000004">
      <c r="A1702">
        <v>1296.23849</v>
      </c>
      <c r="B1702" s="1">
        <v>5.0000000000000001E-3</v>
      </c>
      <c r="C1702" s="1">
        <v>5.0000000000000001E-3</v>
      </c>
      <c r="D1702" s="2" t="s">
        <v>0</v>
      </c>
      <c r="E1702">
        <v>2</v>
      </c>
      <c r="F1702" s="2" t="s">
        <v>1</v>
      </c>
      <c r="G1702">
        <v>1</v>
      </c>
      <c r="H1702">
        <v>25.5</v>
      </c>
      <c r="I1702" s="2" t="s">
        <v>0</v>
      </c>
      <c r="J1702">
        <v>2</v>
      </c>
      <c r="K1702" s="2" t="s">
        <v>1</v>
      </c>
      <c r="L1702">
        <v>0</v>
      </c>
      <c r="M1702">
        <v>24.5</v>
      </c>
      <c r="N1702" s="2" t="s">
        <v>337</v>
      </c>
      <c r="O1702" t="str">
        <f>D1702&amp;"-"&amp;E1702&amp;"-"&amp;F1702&amp;"-"&amp;G1702&amp;"-"&amp;H1702</f>
        <v>X-2-f-1-25.5</v>
      </c>
      <c r="P1702" t="str">
        <f>I1702&amp;"-"&amp;J1702&amp;"-"&amp;K1702&amp;"-"&amp;L1702&amp;"-"&amp;M1702</f>
        <v>X-2-f-0-24.5</v>
      </c>
      <c r="Q1702">
        <f>A1702+R1702</f>
        <v>3600.2174720000003</v>
      </c>
      <c r="R1702">
        <f>_xlfn.IFNA(VLOOKUP(P1702,PGOPHER!A$2:G$181,7,FALSE),_xlfn.IFNA(VLOOKUP(P1702,en!A$2:I$768,7,FALSE),-10000))</f>
        <v>2303.9789820000001</v>
      </c>
      <c r="S1702">
        <f>IF(O1702=O1701,Q1701+S1701,Q1702)</f>
        <v>7200.4370859999999</v>
      </c>
      <c r="T1702">
        <f>IF(O1702=O1701,T1701+1,1)</f>
        <v>2</v>
      </c>
      <c r="U1702" t="str">
        <f>IF(O1702=O1703,"",S1702/T1702)</f>
        <v/>
      </c>
      <c r="V1702" t="str">
        <f>IF(U1702="","",IF(ABS(Q1702-U1702)&gt;V$1,"error",""))</f>
        <v/>
      </c>
    </row>
    <row r="1703" spans="1:22" x14ac:dyDescent="0.55000000000000004">
      <c r="A1703">
        <v>1296.2384999999999</v>
      </c>
      <c r="B1703" s="1">
        <v>1.12E-2</v>
      </c>
      <c r="C1703" s="1">
        <v>1.12E-2</v>
      </c>
      <c r="D1703" s="2" t="s">
        <v>0</v>
      </c>
      <c r="E1703">
        <v>2</v>
      </c>
      <c r="F1703" s="2" t="s">
        <v>1</v>
      </c>
      <c r="G1703">
        <v>1</v>
      </c>
      <c r="H1703">
        <v>25.5</v>
      </c>
      <c r="I1703" s="2" t="s">
        <v>0</v>
      </c>
      <c r="J1703">
        <v>2</v>
      </c>
      <c r="K1703" s="2" t="s">
        <v>1</v>
      </c>
      <c r="L1703">
        <v>0</v>
      </c>
      <c r="M1703">
        <v>24.5</v>
      </c>
      <c r="N1703" s="2" t="s">
        <v>333</v>
      </c>
      <c r="O1703" t="str">
        <f>D1703&amp;"-"&amp;E1703&amp;"-"&amp;F1703&amp;"-"&amp;G1703&amp;"-"&amp;H1703</f>
        <v>X-2-f-1-25.5</v>
      </c>
      <c r="P1703" t="str">
        <f>I1703&amp;"-"&amp;J1703&amp;"-"&amp;K1703&amp;"-"&amp;L1703&amp;"-"&amp;M1703</f>
        <v>X-2-f-0-24.5</v>
      </c>
      <c r="Q1703">
        <f>A1703+R1703</f>
        <v>3600.217482</v>
      </c>
      <c r="R1703">
        <f>_xlfn.IFNA(VLOOKUP(P1703,PGOPHER!A$2:G$181,7,FALSE),_xlfn.IFNA(VLOOKUP(P1703,en!A$2:I$768,7,FALSE),-10000))</f>
        <v>2303.9789820000001</v>
      </c>
      <c r="S1703">
        <f>IF(O1703=O1702,Q1702+S1702,Q1703)</f>
        <v>10800.654558</v>
      </c>
      <c r="T1703">
        <f>IF(O1703=O1702,T1702+1,1)</f>
        <v>3</v>
      </c>
      <c r="U1703" t="str">
        <f>IF(O1703=O1704,"",S1703/T1703)</f>
        <v/>
      </c>
      <c r="V1703" t="str">
        <f>IF(U1703="","",IF(ABS(Q1703-U1703)&gt;V$1,"error",""))</f>
        <v/>
      </c>
    </row>
    <row r="1704" spans="1:22" x14ac:dyDescent="0.55000000000000004">
      <c r="A1704">
        <v>930.81692999999996</v>
      </c>
      <c r="B1704" s="1">
        <v>2E-3</v>
      </c>
      <c r="C1704" s="1">
        <v>2E-3</v>
      </c>
      <c r="D1704" s="2" t="s">
        <v>0</v>
      </c>
      <c r="E1704">
        <v>2</v>
      </c>
      <c r="F1704" s="2" t="s">
        <v>1</v>
      </c>
      <c r="G1704">
        <v>1</v>
      </c>
      <c r="H1704">
        <v>25.5</v>
      </c>
      <c r="I1704" s="2" t="s">
        <v>0</v>
      </c>
      <c r="J1704">
        <v>2</v>
      </c>
      <c r="K1704" s="2" t="s">
        <v>1</v>
      </c>
      <c r="L1704">
        <v>0</v>
      </c>
      <c r="M1704">
        <v>26.5</v>
      </c>
      <c r="N1704" s="2" t="s">
        <v>338</v>
      </c>
      <c r="O1704" t="str">
        <f>D1704&amp;"-"&amp;E1704&amp;"-"&amp;F1704&amp;"-"&amp;G1704&amp;"-"&amp;H1704</f>
        <v>X-2-f-1-25.5</v>
      </c>
      <c r="P1704" t="str">
        <f>I1704&amp;"-"&amp;J1704&amp;"-"&amp;K1704&amp;"-"&amp;L1704&amp;"-"&amp;M1704</f>
        <v>X-2-f-0-26.5</v>
      </c>
      <c r="Q1704">
        <f>A1704+R1704</f>
        <v>3600.2185730000001</v>
      </c>
      <c r="R1704">
        <f>_xlfn.IFNA(VLOOKUP(P1704,PGOPHER!A$2:G$181,7,FALSE),_xlfn.IFNA(VLOOKUP(P1704,en!A$2:I$768,7,FALSE),-10000))</f>
        <v>2669.4016430000001</v>
      </c>
      <c r="S1704">
        <f>IF(O1704=O1703,Q1703+S1703,Q1704)</f>
        <v>14400.87204</v>
      </c>
      <c r="T1704">
        <f>IF(O1704=O1703,T1703+1,1)</f>
        <v>4</v>
      </c>
      <c r="U1704">
        <f>IF(O1704=O1705,"",S1704/T1704)</f>
        <v>3600.21801</v>
      </c>
      <c r="V1704" t="str">
        <f>IF(U1704="","",IF(ABS(Q1704-U1704)&gt;V$1,"error",""))</f>
        <v/>
      </c>
    </row>
    <row r="1705" spans="1:22" x14ac:dyDescent="0.55000000000000004">
      <c r="A1705">
        <v>900.7029</v>
      </c>
      <c r="B1705" s="1">
        <v>1E-3</v>
      </c>
      <c r="C1705" s="1">
        <v>1E-3</v>
      </c>
      <c r="D1705" s="2" t="s">
        <v>0</v>
      </c>
      <c r="E1705">
        <v>2</v>
      </c>
      <c r="F1705" s="2" t="s">
        <v>1</v>
      </c>
      <c r="G1705">
        <v>2</v>
      </c>
      <c r="H1705">
        <v>25.5</v>
      </c>
      <c r="I1705" s="2" t="s">
        <v>0</v>
      </c>
      <c r="J1705">
        <v>2</v>
      </c>
      <c r="K1705" s="2" t="s">
        <v>1</v>
      </c>
      <c r="L1705">
        <v>1</v>
      </c>
      <c r="M1705">
        <v>26.5</v>
      </c>
      <c r="N1705" s="2" t="s">
        <v>505</v>
      </c>
      <c r="O1705" t="str">
        <f>D1705&amp;"-"&amp;E1705&amp;"-"&amp;F1705&amp;"-"&amp;G1705&amp;"-"&amp;H1705</f>
        <v>X-2-f-2-25.5</v>
      </c>
      <c r="P1705" t="str">
        <f>I1705&amp;"-"&amp;J1705&amp;"-"&amp;K1705&amp;"-"&amp;L1705&amp;"-"&amp;M1705</f>
        <v>X-2-f-1-26.5</v>
      </c>
      <c r="Q1705">
        <f>A1705+R1705</f>
        <v>4682.4020410000003</v>
      </c>
      <c r="R1705">
        <f>_xlfn.IFNA(VLOOKUP(P1705,PGOPHER!A$2:G$181,7,FALSE),_xlfn.IFNA(VLOOKUP(P1705,en!A$2:I$768,7,FALSE),-10000))</f>
        <v>3781.6991410000001</v>
      </c>
      <c r="S1705">
        <f>IF(O1705=O1704,Q1704+S1704,Q1705)</f>
        <v>4682.4020410000003</v>
      </c>
      <c r="T1705">
        <f>IF(O1705=O1704,T1704+1,1)</f>
        <v>1</v>
      </c>
      <c r="U1705">
        <f>IF(O1705=O1706,"",S1705/T1705)</f>
        <v>4682.4020410000003</v>
      </c>
      <c r="V1705" t="str">
        <f>IF(U1705="","",IF(ABS(Q1705-U1705)&gt;V$1,"error",""))</f>
        <v/>
      </c>
    </row>
    <row r="1706" spans="1:22" x14ac:dyDescent="0.55000000000000004">
      <c r="A1706">
        <v>930.60940000000005</v>
      </c>
      <c r="B1706" s="1">
        <v>6.3E-3</v>
      </c>
      <c r="C1706" s="1">
        <v>6.3E-3</v>
      </c>
      <c r="D1706" s="2" t="s">
        <v>0</v>
      </c>
      <c r="E1706">
        <v>1</v>
      </c>
      <c r="F1706" s="2" t="s">
        <v>2</v>
      </c>
      <c r="G1706">
        <v>1</v>
      </c>
      <c r="H1706">
        <v>26.5</v>
      </c>
      <c r="I1706" s="2" t="s">
        <v>0</v>
      </c>
      <c r="J1706">
        <v>1</v>
      </c>
      <c r="K1706" s="2" t="s">
        <v>2</v>
      </c>
      <c r="L1706">
        <v>0</v>
      </c>
      <c r="M1706">
        <v>27.5</v>
      </c>
      <c r="N1706" s="2" t="s">
        <v>342</v>
      </c>
      <c r="O1706" t="str">
        <f>D1706&amp;"-"&amp;E1706&amp;"-"&amp;F1706&amp;"-"&amp;G1706&amp;"-"&amp;H1706</f>
        <v>X-1-e-1-26.5</v>
      </c>
      <c r="P1706" t="str">
        <f>I1706&amp;"-"&amp;J1706&amp;"-"&amp;K1706&amp;"-"&amp;L1706&amp;"-"&amp;M1706</f>
        <v>X-1-e-0-27.5</v>
      </c>
      <c r="Q1706">
        <f>A1706+R1706</f>
        <v>3603.1792940000005</v>
      </c>
      <c r="R1706">
        <f>_xlfn.IFNA(VLOOKUP(P1706,PGOPHER!A$2:G$181,7,FALSE),_xlfn.IFNA(VLOOKUP(P1706,en!A$2:I$768,7,FALSE),-10000))</f>
        <v>2672.5698940000002</v>
      </c>
      <c r="S1706">
        <f>IF(O1706=O1705,Q1705+S1705,Q1706)</f>
        <v>3603.1792940000005</v>
      </c>
      <c r="T1706">
        <f>IF(O1706=O1705,T1705+1,1)</f>
        <v>1</v>
      </c>
      <c r="U1706" t="str">
        <f>IF(O1706=O1707,"",S1706/T1706)</f>
        <v/>
      </c>
      <c r="V1706" t="str">
        <f>IF(U1706="","",IF(ABS(Q1706-U1706)&gt;V$1,"error",""))</f>
        <v/>
      </c>
    </row>
    <row r="1707" spans="1:22" x14ac:dyDescent="0.55000000000000004">
      <c r="A1707">
        <v>1296.23849</v>
      </c>
      <c r="B1707" s="1">
        <v>2E-3</v>
      </c>
      <c r="C1707" s="1">
        <v>2E-3</v>
      </c>
      <c r="D1707" s="2" t="s">
        <v>0</v>
      </c>
      <c r="E1707">
        <v>1</v>
      </c>
      <c r="F1707" s="2" t="s">
        <v>2</v>
      </c>
      <c r="G1707">
        <v>1</v>
      </c>
      <c r="H1707">
        <v>26.5</v>
      </c>
      <c r="I1707" s="2" t="s">
        <v>0</v>
      </c>
      <c r="J1707">
        <v>1</v>
      </c>
      <c r="K1707" s="2" t="s">
        <v>2</v>
      </c>
      <c r="L1707">
        <v>0</v>
      </c>
      <c r="M1707">
        <v>25.5</v>
      </c>
      <c r="N1707" s="2" t="s">
        <v>343</v>
      </c>
      <c r="O1707" t="str">
        <f>D1707&amp;"-"&amp;E1707&amp;"-"&amp;F1707&amp;"-"&amp;G1707&amp;"-"&amp;H1707</f>
        <v>X-1-e-1-26.5</v>
      </c>
      <c r="P1707" t="str">
        <f>I1707&amp;"-"&amp;J1707&amp;"-"&amp;K1707&amp;"-"&amp;L1707&amp;"-"&amp;M1707</f>
        <v>X-1-e-0-25.5</v>
      </c>
      <c r="Q1707">
        <f>A1707+R1707</f>
        <v>3603.179392</v>
      </c>
      <c r="R1707">
        <f>_xlfn.IFNA(VLOOKUP(P1707,PGOPHER!A$2:G$181,7,FALSE),_xlfn.IFNA(VLOOKUP(P1707,en!A$2:I$768,7,FALSE),-10000))</f>
        <v>2306.9409019999998</v>
      </c>
      <c r="S1707">
        <f>IF(O1707=O1706,Q1706+S1706,Q1707)</f>
        <v>7206.358588000001</v>
      </c>
      <c r="T1707">
        <f>IF(O1707=O1706,T1706+1,1)</f>
        <v>2</v>
      </c>
      <c r="U1707" t="str">
        <f>IF(O1707=O1708,"",S1707/T1707)</f>
        <v/>
      </c>
      <c r="V1707" t="str">
        <f>IF(U1707="","",IF(ABS(Q1707-U1707)&gt;V$1,"error",""))</f>
        <v/>
      </c>
    </row>
    <row r="1708" spans="1:22" x14ac:dyDescent="0.55000000000000004">
      <c r="A1708">
        <v>930.60937999999999</v>
      </c>
      <c r="B1708" s="1">
        <v>1E-3</v>
      </c>
      <c r="C1708" s="1">
        <v>1E-3</v>
      </c>
      <c r="D1708" s="2" t="s">
        <v>0</v>
      </c>
      <c r="E1708">
        <v>1</v>
      </c>
      <c r="F1708" s="2" t="s">
        <v>2</v>
      </c>
      <c r="G1708">
        <v>1</v>
      </c>
      <c r="H1708">
        <v>26.5</v>
      </c>
      <c r="I1708" s="2" t="s">
        <v>0</v>
      </c>
      <c r="J1708">
        <v>1</v>
      </c>
      <c r="K1708" s="2" t="s">
        <v>2</v>
      </c>
      <c r="L1708">
        <v>0</v>
      </c>
      <c r="M1708">
        <v>27.5</v>
      </c>
      <c r="N1708" s="2" t="s">
        <v>344</v>
      </c>
      <c r="O1708" t="str">
        <f>D1708&amp;"-"&amp;E1708&amp;"-"&amp;F1708&amp;"-"&amp;G1708&amp;"-"&amp;H1708</f>
        <v>X-1-e-1-26.5</v>
      </c>
      <c r="P1708" t="str">
        <f>I1708&amp;"-"&amp;J1708&amp;"-"&amp;K1708&amp;"-"&amp;L1708&amp;"-"&amp;M1708</f>
        <v>X-1-e-0-27.5</v>
      </c>
      <c r="Q1708">
        <f>A1708+R1708</f>
        <v>3603.1792740000001</v>
      </c>
      <c r="R1708">
        <f>_xlfn.IFNA(VLOOKUP(P1708,PGOPHER!A$2:G$181,7,FALSE),_xlfn.IFNA(VLOOKUP(P1708,en!A$2:I$768,7,FALSE),-10000))</f>
        <v>2672.5698940000002</v>
      </c>
      <c r="S1708">
        <f>IF(O1708=O1707,Q1707+S1707,Q1708)</f>
        <v>10809.537980000001</v>
      </c>
      <c r="T1708">
        <f>IF(O1708=O1707,T1707+1,1)</f>
        <v>3</v>
      </c>
      <c r="U1708" t="str">
        <f>IF(O1708=O1709,"",S1708/T1708)</f>
        <v/>
      </c>
      <c r="V1708" t="str">
        <f>IF(U1708="","",IF(ABS(Q1708-U1708)&gt;V$1,"error",""))</f>
        <v/>
      </c>
    </row>
    <row r="1709" spans="1:22" x14ac:dyDescent="0.55000000000000004">
      <c r="A1709">
        <v>1296.2384999999999</v>
      </c>
      <c r="B1709" s="1">
        <v>1.6899999999999998E-2</v>
      </c>
      <c r="C1709" s="1">
        <v>1.6899999999999998E-2</v>
      </c>
      <c r="D1709" s="2" t="s">
        <v>0</v>
      </c>
      <c r="E1709">
        <v>1</v>
      </c>
      <c r="F1709" s="2" t="s">
        <v>2</v>
      </c>
      <c r="G1709">
        <v>1</v>
      </c>
      <c r="H1709">
        <v>26.5</v>
      </c>
      <c r="I1709" s="2" t="s">
        <v>0</v>
      </c>
      <c r="J1709">
        <v>1</v>
      </c>
      <c r="K1709" s="2" t="s">
        <v>2</v>
      </c>
      <c r="L1709">
        <v>0</v>
      </c>
      <c r="M1709">
        <v>25.5</v>
      </c>
      <c r="N1709" s="2" t="s">
        <v>339</v>
      </c>
      <c r="O1709" t="str">
        <f>D1709&amp;"-"&amp;E1709&amp;"-"&amp;F1709&amp;"-"&amp;G1709&amp;"-"&amp;H1709</f>
        <v>X-1-e-1-26.5</v>
      </c>
      <c r="P1709" t="str">
        <f>I1709&amp;"-"&amp;J1709&amp;"-"&amp;K1709&amp;"-"&amp;L1709&amp;"-"&amp;M1709</f>
        <v>X-1-e-0-25.5</v>
      </c>
      <c r="Q1709">
        <f>A1709+R1709</f>
        <v>3603.1794019999998</v>
      </c>
      <c r="R1709">
        <f>_xlfn.IFNA(VLOOKUP(P1709,PGOPHER!A$2:G$181,7,FALSE),_xlfn.IFNA(VLOOKUP(P1709,en!A$2:I$768,7,FALSE),-10000))</f>
        <v>2306.9409019999998</v>
      </c>
      <c r="S1709">
        <f>IF(O1709=O1708,Q1708+S1708,Q1709)</f>
        <v>14412.717254000001</v>
      </c>
      <c r="T1709">
        <f>IF(O1709=O1708,T1708+1,1)</f>
        <v>4</v>
      </c>
      <c r="U1709">
        <f>IF(O1709=O1710,"",S1709/T1709)</f>
        <v>3603.1793135000003</v>
      </c>
      <c r="V1709" t="str">
        <f>IF(U1709="","",IF(ABS(Q1709-U1709)&gt;V$1,"error",""))</f>
        <v/>
      </c>
    </row>
    <row r="1710" spans="1:22" x14ac:dyDescent="0.55000000000000004">
      <c r="A1710">
        <v>900.50229999999999</v>
      </c>
      <c r="B1710" s="1">
        <v>1E-3</v>
      </c>
      <c r="C1710" s="1">
        <v>1E-3</v>
      </c>
      <c r="D1710" s="2" t="s">
        <v>0</v>
      </c>
      <c r="E1710">
        <v>1</v>
      </c>
      <c r="F1710" s="2" t="s">
        <v>2</v>
      </c>
      <c r="G1710">
        <v>2</v>
      </c>
      <c r="H1710">
        <v>26.5</v>
      </c>
      <c r="I1710" s="2" t="s">
        <v>0</v>
      </c>
      <c r="J1710">
        <v>1</v>
      </c>
      <c r="K1710" s="2" t="s">
        <v>2</v>
      </c>
      <c r="L1710">
        <v>1</v>
      </c>
      <c r="M1710">
        <v>27.5</v>
      </c>
      <c r="N1710" s="2" t="s">
        <v>508</v>
      </c>
      <c r="O1710" t="str">
        <f>D1710&amp;"-"&amp;E1710&amp;"-"&amp;F1710&amp;"-"&amp;G1710&amp;"-"&amp;H1710</f>
        <v>X-1-e-2-26.5</v>
      </c>
      <c r="P1710" t="str">
        <f>I1710&amp;"-"&amp;J1710&amp;"-"&amp;K1710&amp;"-"&amp;L1710&amp;"-"&amp;M1710</f>
        <v>X-1-e-1-27.5</v>
      </c>
      <c r="Q1710">
        <f>A1710+R1710</f>
        <v>4685.2621099999997</v>
      </c>
      <c r="R1710">
        <f>_xlfn.IFNA(VLOOKUP(P1710,PGOPHER!A$2:G$181,7,FALSE),_xlfn.IFNA(VLOOKUP(P1710,en!A$2:I$768,7,FALSE),-10000))</f>
        <v>3784.75981</v>
      </c>
      <c r="S1710">
        <f>IF(O1710=O1709,Q1709+S1709,Q1710)</f>
        <v>4685.2621099999997</v>
      </c>
      <c r="T1710">
        <f>IF(O1710=O1709,T1709+1,1)</f>
        <v>1</v>
      </c>
      <c r="U1710" t="str">
        <f>IF(O1710=O1711,"",S1710/T1710)</f>
        <v/>
      </c>
      <c r="V1710" t="str">
        <f>IF(U1710="","",IF(ABS(Q1710-U1710)&gt;V$1,"error",""))</f>
        <v/>
      </c>
    </row>
    <row r="1711" spans="1:22" x14ac:dyDescent="0.55000000000000004">
      <c r="A1711">
        <v>1257.6501000000001</v>
      </c>
      <c r="B1711" s="1">
        <v>1E-3</v>
      </c>
      <c r="C1711" s="1">
        <v>1E-3</v>
      </c>
      <c r="D1711" s="2" t="s">
        <v>0</v>
      </c>
      <c r="E1711">
        <v>1</v>
      </c>
      <c r="F1711" s="2" t="s">
        <v>2</v>
      </c>
      <c r="G1711">
        <v>2</v>
      </c>
      <c r="H1711">
        <v>26.5</v>
      </c>
      <c r="I1711" s="2" t="s">
        <v>0</v>
      </c>
      <c r="J1711">
        <v>1</v>
      </c>
      <c r="K1711" s="2" t="s">
        <v>2</v>
      </c>
      <c r="L1711">
        <v>1</v>
      </c>
      <c r="M1711">
        <v>25.5</v>
      </c>
      <c r="N1711" s="2" t="s">
        <v>506</v>
      </c>
      <c r="O1711" t="str">
        <f>D1711&amp;"-"&amp;E1711&amp;"-"&amp;F1711&amp;"-"&amp;G1711&amp;"-"&amp;H1711</f>
        <v>X-1-e-2-26.5</v>
      </c>
      <c r="P1711" t="str">
        <f>I1711&amp;"-"&amp;J1711&amp;"-"&amp;K1711&amp;"-"&amp;L1711&amp;"-"&amp;M1711</f>
        <v>X-1-e-1-25.5</v>
      </c>
      <c r="Q1711">
        <f>A1711+R1711</f>
        <v>4685.2628990000003</v>
      </c>
      <c r="R1711">
        <f>_xlfn.IFNA(VLOOKUP(P1711,PGOPHER!A$2:G$181,7,FALSE),_xlfn.IFNA(VLOOKUP(P1711,en!A$2:I$768,7,FALSE),-10000))</f>
        <v>3427.612799</v>
      </c>
      <c r="S1711">
        <f>IF(O1711=O1710,Q1710+S1710,Q1711)</f>
        <v>9370.5242199999993</v>
      </c>
      <c r="T1711">
        <f>IF(O1711=O1710,T1710+1,1)</f>
        <v>2</v>
      </c>
      <c r="U1711">
        <f>IF(O1711=O1712,"",S1711/T1711)</f>
        <v>4685.2621099999997</v>
      </c>
      <c r="V1711" t="str">
        <f>IF(U1711="","",IF(ABS(Q1711-U1711)&gt;V$1,"error",""))</f>
        <v/>
      </c>
    </row>
    <row r="1712" spans="1:22" x14ac:dyDescent="0.55000000000000004">
      <c r="A1712">
        <v>920.39800000000002</v>
      </c>
      <c r="B1712" s="1">
        <v>6.4799999999999996E-3</v>
      </c>
      <c r="C1712" s="1">
        <v>6.4799999999999996E-3</v>
      </c>
      <c r="D1712" s="2" t="s">
        <v>0</v>
      </c>
      <c r="E1712">
        <v>2</v>
      </c>
      <c r="F1712" s="2" t="s">
        <v>1</v>
      </c>
      <c r="G1712">
        <v>1</v>
      </c>
      <c r="H1712">
        <v>26.5</v>
      </c>
      <c r="I1712" s="2" t="s">
        <v>0</v>
      </c>
      <c r="J1712">
        <v>2</v>
      </c>
      <c r="K1712" s="2" t="s">
        <v>1</v>
      </c>
      <c r="L1712">
        <v>0</v>
      </c>
      <c r="M1712">
        <v>27.5</v>
      </c>
      <c r="N1712" s="2" t="s">
        <v>340</v>
      </c>
      <c r="O1712" t="str">
        <f>D1712&amp;"-"&amp;E1712&amp;"-"&amp;F1712&amp;"-"&amp;G1712&amp;"-"&amp;H1712</f>
        <v>X-2-f-1-26.5</v>
      </c>
      <c r="P1712" t="str">
        <f>I1712&amp;"-"&amp;J1712&amp;"-"&amp;K1712&amp;"-"&amp;L1712&amp;"-"&amp;M1712</f>
        <v>X-2-f-0-27.5</v>
      </c>
      <c r="Q1712">
        <f>A1712+R1712</f>
        <v>3781.6991640000001</v>
      </c>
      <c r="R1712">
        <f>_xlfn.IFNA(VLOOKUP(P1712,PGOPHER!A$2:G$181,7,FALSE),_xlfn.IFNA(VLOOKUP(P1712,en!A$2:I$768,7,FALSE),-10000))</f>
        <v>2861.301164</v>
      </c>
      <c r="S1712">
        <f>IF(O1712=O1711,Q1711+S1711,Q1712)</f>
        <v>3781.6991640000001</v>
      </c>
      <c r="T1712">
        <f>IF(O1712=O1711,T1711+1,1)</f>
        <v>1</v>
      </c>
      <c r="U1712" t="str">
        <f>IF(O1712=O1713,"",S1712/T1712)</f>
        <v/>
      </c>
      <c r="V1712" t="str">
        <f>IF(U1712="","",IF(ABS(Q1712-U1712)&gt;V$1,"error",""))</f>
        <v/>
      </c>
    </row>
    <row r="1713" spans="1:22" x14ac:dyDescent="0.55000000000000004">
      <c r="A1713">
        <v>1298.10502</v>
      </c>
      <c r="B1713" s="1">
        <v>1E-3</v>
      </c>
      <c r="C1713" s="1">
        <v>1E-3</v>
      </c>
      <c r="D1713" s="2" t="s">
        <v>0</v>
      </c>
      <c r="E1713">
        <v>2</v>
      </c>
      <c r="F1713" s="2" t="s">
        <v>1</v>
      </c>
      <c r="G1713">
        <v>1</v>
      </c>
      <c r="H1713">
        <v>26.5</v>
      </c>
      <c r="I1713" s="2" t="s">
        <v>0</v>
      </c>
      <c r="J1713">
        <v>2</v>
      </c>
      <c r="K1713" s="2" t="s">
        <v>1</v>
      </c>
      <c r="L1713">
        <v>0</v>
      </c>
      <c r="M1713">
        <v>25.5</v>
      </c>
      <c r="N1713" s="2" t="s">
        <v>345</v>
      </c>
      <c r="O1713" t="str">
        <f>D1713&amp;"-"&amp;E1713&amp;"-"&amp;F1713&amp;"-"&amp;G1713&amp;"-"&amp;H1713</f>
        <v>X-2-f-1-26.5</v>
      </c>
      <c r="P1713" t="str">
        <f>I1713&amp;"-"&amp;J1713&amp;"-"&amp;K1713&amp;"-"&amp;L1713&amp;"-"&amp;M1713</f>
        <v>X-2-f-0-25.5</v>
      </c>
      <c r="Q1713">
        <f>A1713+R1713</f>
        <v>3781.6991480000002</v>
      </c>
      <c r="R1713">
        <f>_xlfn.IFNA(VLOOKUP(P1713,PGOPHER!A$2:G$181,7,FALSE),_xlfn.IFNA(VLOOKUP(P1713,en!A$2:I$768,7,FALSE),-10000))</f>
        <v>2483.5941280000002</v>
      </c>
      <c r="S1713">
        <f>IF(O1713=O1712,Q1712+S1712,Q1713)</f>
        <v>7563.3983280000002</v>
      </c>
      <c r="T1713">
        <f>IF(O1713=O1712,T1712+1,1)</f>
        <v>2</v>
      </c>
      <c r="U1713" t="str">
        <f>IF(O1713=O1714,"",S1713/T1713)</f>
        <v/>
      </c>
      <c r="V1713" t="str">
        <f>IF(U1713="","",IF(ABS(Q1713-U1713)&gt;V$1,"error",""))</f>
        <v/>
      </c>
    </row>
    <row r="1714" spans="1:22" x14ac:dyDescent="0.55000000000000004">
      <c r="A1714">
        <v>1298.105</v>
      </c>
      <c r="B1714" s="1">
        <v>6.4799999999999996E-3</v>
      </c>
      <c r="C1714" s="1">
        <v>6.4799999999999996E-3</v>
      </c>
      <c r="D1714" s="2" t="s">
        <v>0</v>
      </c>
      <c r="E1714">
        <v>2</v>
      </c>
      <c r="F1714" s="2" t="s">
        <v>1</v>
      </c>
      <c r="G1714">
        <v>1</v>
      </c>
      <c r="H1714">
        <v>26.5</v>
      </c>
      <c r="I1714" s="2" t="s">
        <v>0</v>
      </c>
      <c r="J1714">
        <v>2</v>
      </c>
      <c r="K1714" s="2" t="s">
        <v>1</v>
      </c>
      <c r="L1714">
        <v>0</v>
      </c>
      <c r="M1714">
        <v>25.5</v>
      </c>
      <c r="N1714" s="2" t="s">
        <v>341</v>
      </c>
      <c r="O1714" t="str">
        <f>D1714&amp;"-"&amp;E1714&amp;"-"&amp;F1714&amp;"-"&amp;G1714&amp;"-"&amp;H1714</f>
        <v>X-2-f-1-26.5</v>
      </c>
      <c r="P1714" t="str">
        <f>I1714&amp;"-"&amp;J1714&amp;"-"&amp;K1714&amp;"-"&amp;L1714&amp;"-"&amp;M1714</f>
        <v>X-2-f-0-25.5</v>
      </c>
      <c r="Q1714">
        <f>A1714+R1714</f>
        <v>3781.6991280000002</v>
      </c>
      <c r="R1714">
        <f>_xlfn.IFNA(VLOOKUP(P1714,PGOPHER!A$2:G$181,7,FALSE),_xlfn.IFNA(VLOOKUP(P1714,en!A$2:I$768,7,FALSE),-10000))</f>
        <v>2483.5941280000002</v>
      </c>
      <c r="S1714">
        <f>IF(O1714=O1713,Q1713+S1713,Q1714)</f>
        <v>11345.097476000001</v>
      </c>
      <c r="T1714">
        <f>IF(O1714=O1713,T1713+1,1)</f>
        <v>3</v>
      </c>
      <c r="U1714" t="str">
        <f>IF(O1714=O1715,"",S1714/T1714)</f>
        <v/>
      </c>
      <c r="V1714" t="str">
        <f>IF(U1714="","",IF(ABS(Q1714-U1714)&gt;V$1,"error",""))</f>
        <v/>
      </c>
    </row>
    <row r="1715" spans="1:22" x14ac:dyDescent="0.55000000000000004">
      <c r="A1715">
        <v>920.39796999999999</v>
      </c>
      <c r="B1715" s="1">
        <v>1E-3</v>
      </c>
      <c r="C1715" s="1">
        <v>1E-3</v>
      </c>
      <c r="D1715" s="2" t="s">
        <v>0</v>
      </c>
      <c r="E1715">
        <v>2</v>
      </c>
      <c r="F1715" s="2" t="s">
        <v>1</v>
      </c>
      <c r="G1715">
        <v>1</v>
      </c>
      <c r="H1715">
        <v>26.5</v>
      </c>
      <c r="I1715" s="2" t="s">
        <v>0</v>
      </c>
      <c r="J1715">
        <v>2</v>
      </c>
      <c r="K1715" s="2" t="s">
        <v>1</v>
      </c>
      <c r="L1715">
        <v>0</v>
      </c>
      <c r="M1715">
        <v>27.5</v>
      </c>
      <c r="N1715" s="2" t="s">
        <v>346</v>
      </c>
      <c r="O1715" t="str">
        <f>D1715&amp;"-"&amp;E1715&amp;"-"&amp;F1715&amp;"-"&amp;G1715&amp;"-"&amp;H1715</f>
        <v>X-2-f-1-26.5</v>
      </c>
      <c r="P1715" t="str">
        <f>I1715&amp;"-"&amp;J1715&amp;"-"&amp;K1715&amp;"-"&amp;L1715&amp;"-"&amp;M1715</f>
        <v>X-2-f-0-27.5</v>
      </c>
      <c r="Q1715">
        <f>A1715+R1715</f>
        <v>3781.699134</v>
      </c>
      <c r="R1715">
        <f>_xlfn.IFNA(VLOOKUP(P1715,PGOPHER!A$2:G$181,7,FALSE),_xlfn.IFNA(VLOOKUP(P1715,en!A$2:I$768,7,FALSE),-10000))</f>
        <v>2861.301164</v>
      </c>
      <c r="S1715">
        <f>IF(O1715=O1714,Q1714+S1714,Q1715)</f>
        <v>15126.796604000001</v>
      </c>
      <c r="T1715">
        <f>IF(O1715=O1714,T1714+1,1)</f>
        <v>4</v>
      </c>
      <c r="U1715">
        <f>IF(O1715=O1716,"",S1715/T1715)</f>
        <v>3781.6991510000003</v>
      </c>
      <c r="V1715" t="str">
        <f>IF(U1715="","",IF(ABS(Q1715-U1715)&gt;V$1,"error",""))</f>
        <v/>
      </c>
    </row>
    <row r="1716" spans="1:22" x14ac:dyDescent="0.55000000000000004">
      <c r="A1716">
        <v>1259.3341</v>
      </c>
      <c r="B1716" s="1">
        <v>1E-3</v>
      </c>
      <c r="C1716" s="1">
        <v>1E-3</v>
      </c>
      <c r="D1716" s="2" t="s">
        <v>0</v>
      </c>
      <c r="E1716">
        <v>2</v>
      </c>
      <c r="F1716" s="2" t="s">
        <v>1</v>
      </c>
      <c r="G1716">
        <v>2</v>
      </c>
      <c r="H1716">
        <v>26.5</v>
      </c>
      <c r="I1716" s="2" t="s">
        <v>0</v>
      </c>
      <c r="J1716">
        <v>2</v>
      </c>
      <c r="K1716" s="2" t="s">
        <v>1</v>
      </c>
      <c r="L1716">
        <v>1</v>
      </c>
      <c r="M1716">
        <v>25.5</v>
      </c>
      <c r="N1716" s="2" t="s">
        <v>507</v>
      </c>
      <c r="O1716" t="str">
        <f>D1716&amp;"-"&amp;E1716&amp;"-"&amp;F1716&amp;"-"&amp;G1716&amp;"-"&amp;H1716</f>
        <v>X-2-f-2-26.5</v>
      </c>
      <c r="P1716" t="str">
        <f>I1716&amp;"-"&amp;J1716&amp;"-"&amp;K1716&amp;"-"&amp;L1716&amp;"-"&amp;M1716</f>
        <v>X-2-f-1-25.5</v>
      </c>
      <c r="Q1716">
        <f>A1716+R1716</f>
        <v>4859.5526069999996</v>
      </c>
      <c r="R1716">
        <f>_xlfn.IFNA(VLOOKUP(P1716,PGOPHER!A$2:G$181,7,FALSE),_xlfn.IFNA(VLOOKUP(P1716,en!A$2:I$768,7,FALSE),-10000))</f>
        <v>3600.218507</v>
      </c>
      <c r="S1716">
        <f>IF(O1716=O1715,Q1715+S1715,Q1716)</f>
        <v>4859.5526069999996</v>
      </c>
      <c r="T1716">
        <f>IF(O1716=O1715,T1715+1,1)</f>
        <v>1</v>
      </c>
      <c r="U1716">
        <f>IF(O1716=O1717,"",S1716/T1716)</f>
        <v>4859.5526069999996</v>
      </c>
      <c r="V1716" t="str">
        <f>IF(U1716="","",IF(ABS(Q1716-U1716)&gt;V$1,"error",""))</f>
        <v/>
      </c>
    </row>
    <row r="1717" spans="1:22" x14ac:dyDescent="0.55000000000000004">
      <c r="A1717">
        <v>920.19380000000001</v>
      </c>
      <c r="B1717" s="1">
        <v>9.3729999999999994E-3</v>
      </c>
      <c r="C1717" s="1">
        <v>9.3729999999999994E-3</v>
      </c>
      <c r="D1717" s="2" t="s">
        <v>0</v>
      </c>
      <c r="E1717">
        <v>1</v>
      </c>
      <c r="F1717" s="2" t="s">
        <v>2</v>
      </c>
      <c r="G1717">
        <v>1</v>
      </c>
      <c r="H1717">
        <v>27.5</v>
      </c>
      <c r="I1717" s="2" t="s">
        <v>0</v>
      </c>
      <c r="J1717">
        <v>1</v>
      </c>
      <c r="K1717" s="2" t="s">
        <v>2</v>
      </c>
      <c r="L1717">
        <v>0</v>
      </c>
      <c r="M1717">
        <v>28.5</v>
      </c>
      <c r="N1717" s="2" t="s">
        <v>349</v>
      </c>
      <c r="O1717" t="str">
        <f>D1717&amp;"-"&amp;E1717&amp;"-"&amp;F1717&amp;"-"&amp;G1717&amp;"-"&amp;H1717</f>
        <v>X-1-e-1-27.5</v>
      </c>
      <c r="P1717" t="str">
        <f>I1717&amp;"-"&amp;J1717&amp;"-"&amp;K1717&amp;"-"&amp;L1717&amp;"-"&amp;M1717</f>
        <v>X-1-e-0-28.5</v>
      </c>
      <c r="Q1717">
        <f>A1717+R1717</f>
        <v>3784.7679250000001</v>
      </c>
      <c r="R1717">
        <f>_xlfn.IFNA(VLOOKUP(P1717,PGOPHER!A$2:G$181,7,FALSE),_xlfn.IFNA(VLOOKUP(P1717,en!A$2:I$768,7,FALSE),-10000))</f>
        <v>2864.5741250000001</v>
      </c>
      <c r="S1717">
        <f>IF(O1717=O1716,Q1716+S1716,Q1717)</f>
        <v>3784.7679250000001</v>
      </c>
      <c r="T1717">
        <f>IF(O1717=O1716,T1716+1,1)</f>
        <v>1</v>
      </c>
      <c r="U1717" t="str">
        <f>IF(O1717=O1718,"",S1717/T1717)</f>
        <v/>
      </c>
      <c r="V1717" t="str">
        <f>IF(U1717="","",IF(ABS(Q1717-U1717)&gt;V$1,"error",""))</f>
        <v/>
      </c>
    </row>
    <row r="1718" spans="1:22" x14ac:dyDescent="0.55000000000000004">
      <c r="A1718">
        <v>1298.0953099999999</v>
      </c>
      <c r="B1718" s="1">
        <v>1E-3</v>
      </c>
      <c r="C1718" s="1">
        <v>1E-3</v>
      </c>
      <c r="D1718" s="2" t="s">
        <v>0</v>
      </c>
      <c r="E1718">
        <v>1</v>
      </c>
      <c r="F1718" s="2" t="s">
        <v>2</v>
      </c>
      <c r="G1718">
        <v>1</v>
      </c>
      <c r="H1718">
        <v>27.5</v>
      </c>
      <c r="I1718" s="2" t="s">
        <v>0</v>
      </c>
      <c r="J1718">
        <v>1</v>
      </c>
      <c r="K1718" s="2" t="s">
        <v>2</v>
      </c>
      <c r="L1718">
        <v>0</v>
      </c>
      <c r="M1718">
        <v>26.5</v>
      </c>
      <c r="N1718" s="2" t="s">
        <v>350</v>
      </c>
      <c r="O1718" t="str">
        <f>D1718&amp;"-"&amp;E1718&amp;"-"&amp;F1718&amp;"-"&amp;G1718&amp;"-"&amp;H1718</f>
        <v>X-1-e-1-27.5</v>
      </c>
      <c r="P1718" t="str">
        <f>I1718&amp;"-"&amp;J1718&amp;"-"&amp;K1718&amp;"-"&amp;L1718&amp;"-"&amp;M1718</f>
        <v>X-1-e-0-26.5</v>
      </c>
      <c r="Q1718">
        <f>A1718+R1718</f>
        <v>3784.7595249999995</v>
      </c>
      <c r="R1718">
        <f>_xlfn.IFNA(VLOOKUP(P1718,PGOPHER!A$2:G$181,7,FALSE),_xlfn.IFNA(VLOOKUP(P1718,en!A$2:I$768,7,FALSE),-10000))</f>
        <v>2486.6642149999998</v>
      </c>
      <c r="S1718">
        <f>IF(O1718=O1717,Q1717+S1717,Q1718)</f>
        <v>7569.5358500000002</v>
      </c>
      <c r="T1718">
        <f>IF(O1718=O1717,T1717+1,1)</f>
        <v>2</v>
      </c>
      <c r="U1718" t="str">
        <f>IF(O1718=O1719,"",S1718/T1718)</f>
        <v/>
      </c>
      <c r="V1718" t="str">
        <f>IF(U1718="","",IF(ABS(Q1718-U1718)&gt;V$1,"error",""))</f>
        <v/>
      </c>
    </row>
    <row r="1719" spans="1:22" x14ac:dyDescent="0.55000000000000004">
      <c r="A1719">
        <v>920.19376999999997</v>
      </c>
      <c r="B1719" s="1">
        <v>9.3399999999999993E-3</v>
      </c>
      <c r="C1719" s="1">
        <v>9.3399999999999993E-3</v>
      </c>
      <c r="D1719" s="2" t="s">
        <v>0</v>
      </c>
      <c r="E1719">
        <v>1</v>
      </c>
      <c r="F1719" s="2" t="s">
        <v>2</v>
      </c>
      <c r="G1719">
        <v>1</v>
      </c>
      <c r="H1719">
        <v>27.5</v>
      </c>
      <c r="I1719" s="2" t="s">
        <v>0</v>
      </c>
      <c r="J1719">
        <v>1</v>
      </c>
      <c r="K1719" s="2" t="s">
        <v>2</v>
      </c>
      <c r="L1719">
        <v>0</v>
      </c>
      <c r="M1719">
        <v>28.5</v>
      </c>
      <c r="N1719" s="2" t="s">
        <v>351</v>
      </c>
      <c r="O1719" t="str">
        <f>D1719&amp;"-"&amp;E1719&amp;"-"&amp;F1719&amp;"-"&amp;G1719&amp;"-"&amp;H1719</f>
        <v>X-1-e-1-27.5</v>
      </c>
      <c r="P1719" t="str">
        <f>I1719&amp;"-"&amp;J1719&amp;"-"&amp;K1719&amp;"-"&amp;L1719&amp;"-"&amp;M1719</f>
        <v>X-1-e-0-28.5</v>
      </c>
      <c r="Q1719">
        <f>A1719+R1719</f>
        <v>3784.767895</v>
      </c>
      <c r="R1719">
        <f>_xlfn.IFNA(VLOOKUP(P1719,PGOPHER!A$2:G$181,7,FALSE),_xlfn.IFNA(VLOOKUP(P1719,en!A$2:I$768,7,FALSE),-10000))</f>
        <v>2864.5741250000001</v>
      </c>
      <c r="S1719">
        <f>IF(O1719=O1718,Q1718+S1718,Q1719)</f>
        <v>11354.295375</v>
      </c>
      <c r="T1719">
        <f>IF(O1719=O1718,T1718+1,1)</f>
        <v>3</v>
      </c>
      <c r="U1719" t="str">
        <f>IF(O1719=O1720,"",S1719/T1719)</f>
        <v/>
      </c>
      <c r="V1719" t="str">
        <f>IF(U1719="","",IF(ABS(Q1719-U1719)&gt;V$1,"error",""))</f>
        <v/>
      </c>
    </row>
    <row r="1720" spans="1:22" x14ac:dyDescent="0.55000000000000004">
      <c r="A1720">
        <v>1298.0953</v>
      </c>
      <c r="B1720" s="1">
        <v>1E-3</v>
      </c>
      <c r="C1720" s="1">
        <v>1E-3</v>
      </c>
      <c r="D1720" s="2" t="s">
        <v>0</v>
      </c>
      <c r="E1720">
        <v>1</v>
      </c>
      <c r="F1720" s="2" t="s">
        <v>2</v>
      </c>
      <c r="G1720">
        <v>1</v>
      </c>
      <c r="H1720">
        <v>27.5</v>
      </c>
      <c r="I1720" s="2" t="s">
        <v>0</v>
      </c>
      <c r="J1720">
        <v>1</v>
      </c>
      <c r="K1720" s="2" t="s">
        <v>2</v>
      </c>
      <c r="L1720">
        <v>0</v>
      </c>
      <c r="M1720">
        <v>26.5</v>
      </c>
      <c r="N1720" s="2" t="s">
        <v>347</v>
      </c>
      <c r="O1720" t="str">
        <f>D1720&amp;"-"&amp;E1720&amp;"-"&amp;F1720&amp;"-"&amp;G1720&amp;"-"&amp;H1720</f>
        <v>X-1-e-1-27.5</v>
      </c>
      <c r="P1720" t="str">
        <f>I1720&amp;"-"&amp;J1720&amp;"-"&amp;K1720&amp;"-"&amp;L1720&amp;"-"&amp;M1720</f>
        <v>X-1-e-0-26.5</v>
      </c>
      <c r="Q1720">
        <f>A1720+R1720</f>
        <v>3784.7595149999997</v>
      </c>
      <c r="R1720">
        <f>_xlfn.IFNA(VLOOKUP(P1720,PGOPHER!A$2:G$181,7,FALSE),_xlfn.IFNA(VLOOKUP(P1720,en!A$2:I$768,7,FALSE),-10000))</f>
        <v>2486.6642149999998</v>
      </c>
      <c r="S1720">
        <f>IF(O1720=O1719,Q1719+S1719,Q1720)</f>
        <v>15139.063269999999</v>
      </c>
      <c r="T1720">
        <f>IF(O1720=O1719,T1719+1,1)</f>
        <v>4</v>
      </c>
      <c r="U1720">
        <f>IF(O1720=O1721,"",S1720/T1720)</f>
        <v>3784.7658174999997</v>
      </c>
      <c r="V1720" t="str">
        <f>IF(U1720="","",IF(ABS(Q1720-U1720)&gt;V$1,"error",""))</f>
        <v/>
      </c>
    </row>
    <row r="1721" spans="1:22" x14ac:dyDescent="0.55000000000000004">
      <c r="A1721">
        <v>1259.3197</v>
      </c>
      <c r="B1721" s="1">
        <v>1E-3</v>
      </c>
      <c r="C1721" s="1">
        <v>1E-3</v>
      </c>
      <c r="D1721" s="2" t="s">
        <v>0</v>
      </c>
      <c r="E1721">
        <v>1</v>
      </c>
      <c r="F1721" s="2" t="s">
        <v>2</v>
      </c>
      <c r="G1721">
        <v>2</v>
      </c>
      <c r="H1721">
        <v>27.5</v>
      </c>
      <c r="I1721" s="2" t="s">
        <v>0</v>
      </c>
      <c r="J1721">
        <v>1</v>
      </c>
      <c r="K1721" s="2" t="s">
        <v>2</v>
      </c>
      <c r="L1721">
        <v>1</v>
      </c>
      <c r="M1721">
        <v>26.5</v>
      </c>
      <c r="N1721" s="2" t="s">
        <v>509</v>
      </c>
      <c r="O1721" t="str">
        <f>D1721&amp;"-"&amp;E1721&amp;"-"&amp;F1721&amp;"-"&amp;G1721&amp;"-"&amp;H1721</f>
        <v>X-1-e-2-27.5</v>
      </c>
      <c r="P1721" t="str">
        <f>I1721&amp;"-"&amp;J1721&amp;"-"&amp;K1721&amp;"-"&amp;L1721&amp;"-"&amp;M1721</f>
        <v>X-1-e-1-26.5</v>
      </c>
      <c r="Q1721">
        <f>A1721+R1721</f>
        <v>4862.4989949999999</v>
      </c>
      <c r="R1721">
        <f>_xlfn.IFNA(VLOOKUP(P1721,PGOPHER!A$2:G$181,7,FALSE),_xlfn.IFNA(VLOOKUP(P1721,en!A$2:I$768,7,FALSE),-10000))</f>
        <v>3603.1792949999999</v>
      </c>
      <c r="S1721">
        <f>IF(O1721=O1720,Q1720+S1720,Q1721)</f>
        <v>4862.4989949999999</v>
      </c>
      <c r="T1721">
        <f>IF(O1721=O1720,T1720+1,1)</f>
        <v>1</v>
      </c>
      <c r="U1721">
        <f>IF(O1721=O1722,"",S1721/T1721)</f>
        <v>4862.4989949999999</v>
      </c>
      <c r="V1721" t="str">
        <f>IF(U1721="","",IF(ABS(Q1721-U1721)&gt;V$1,"error",""))</f>
        <v/>
      </c>
    </row>
    <row r="1722" spans="1:22" x14ac:dyDescent="0.55000000000000004">
      <c r="A1722">
        <v>1299.72939</v>
      </c>
      <c r="B1722" s="1">
        <v>1E-3</v>
      </c>
      <c r="C1722" s="1">
        <v>1E-3</v>
      </c>
      <c r="D1722" s="2" t="s">
        <v>0</v>
      </c>
      <c r="E1722">
        <v>2</v>
      </c>
      <c r="F1722" s="2" t="s">
        <v>1</v>
      </c>
      <c r="G1722">
        <v>1</v>
      </c>
      <c r="H1722">
        <v>27.5</v>
      </c>
      <c r="I1722" s="2" t="s">
        <v>0</v>
      </c>
      <c r="J1722">
        <v>2</v>
      </c>
      <c r="K1722" s="2" t="s">
        <v>1</v>
      </c>
      <c r="L1722">
        <v>0</v>
      </c>
      <c r="M1722">
        <v>26.5</v>
      </c>
      <c r="N1722" s="2" t="s">
        <v>352</v>
      </c>
      <c r="O1722" t="str">
        <f>D1722&amp;"-"&amp;E1722&amp;"-"&amp;F1722&amp;"-"&amp;G1722&amp;"-"&amp;H1722</f>
        <v>X-2-f-1-27.5</v>
      </c>
      <c r="P1722" t="str">
        <f>I1722&amp;"-"&amp;J1722&amp;"-"&amp;K1722&amp;"-"&amp;L1722&amp;"-"&amp;M1722</f>
        <v>X-2-f-0-26.5</v>
      </c>
      <c r="Q1722">
        <f>A1722+R1722</f>
        <v>3969.1310330000001</v>
      </c>
      <c r="R1722">
        <f>_xlfn.IFNA(VLOOKUP(P1722,PGOPHER!A$2:G$181,7,FALSE),_xlfn.IFNA(VLOOKUP(P1722,en!A$2:I$768,7,FALSE),-10000))</f>
        <v>2669.4016430000001</v>
      </c>
      <c r="S1722">
        <f>IF(O1722=O1721,Q1721+S1721,Q1722)</f>
        <v>3969.1310330000001</v>
      </c>
      <c r="T1722">
        <f>IF(O1722=O1721,T1721+1,1)</f>
        <v>1</v>
      </c>
      <c r="U1722" t="str">
        <f>IF(O1722=O1723,"",S1722/T1722)</f>
        <v/>
      </c>
      <c r="V1722" t="str">
        <f>IF(U1722="","",IF(ABS(Q1722-U1722)&gt;V$1,"error",""))</f>
        <v/>
      </c>
    </row>
    <row r="1723" spans="1:22" x14ac:dyDescent="0.55000000000000004">
      <c r="A1723">
        <v>1299.7293999999999</v>
      </c>
      <c r="B1723" s="1">
        <v>1E-3</v>
      </c>
      <c r="C1723" s="1">
        <v>1E-3</v>
      </c>
      <c r="D1723" s="2" t="s">
        <v>0</v>
      </c>
      <c r="E1723">
        <v>2</v>
      </c>
      <c r="F1723" s="2" t="s">
        <v>1</v>
      </c>
      <c r="G1723">
        <v>1</v>
      </c>
      <c r="H1723">
        <v>27.5</v>
      </c>
      <c r="I1723" s="2" t="s">
        <v>0</v>
      </c>
      <c r="J1723">
        <v>2</v>
      </c>
      <c r="K1723" s="2" t="s">
        <v>1</v>
      </c>
      <c r="L1723">
        <v>0</v>
      </c>
      <c r="M1723">
        <v>26.5</v>
      </c>
      <c r="N1723" s="2" t="s">
        <v>348</v>
      </c>
      <c r="O1723" t="str">
        <f>D1723&amp;"-"&amp;E1723&amp;"-"&amp;F1723&amp;"-"&amp;G1723&amp;"-"&amp;H1723</f>
        <v>X-2-f-1-27.5</v>
      </c>
      <c r="P1723" t="str">
        <f>I1723&amp;"-"&amp;J1723&amp;"-"&amp;K1723&amp;"-"&amp;L1723&amp;"-"&amp;M1723</f>
        <v>X-2-f-0-26.5</v>
      </c>
      <c r="Q1723">
        <f>A1723+R1723</f>
        <v>3969.1310430000003</v>
      </c>
      <c r="R1723">
        <f>_xlfn.IFNA(VLOOKUP(P1723,PGOPHER!A$2:G$181,7,FALSE),_xlfn.IFNA(VLOOKUP(P1723,en!A$2:I$768,7,FALSE),-10000))</f>
        <v>2669.4016430000001</v>
      </c>
      <c r="S1723">
        <f>IF(O1723=O1722,Q1722+S1722,Q1723)</f>
        <v>7938.2620660000002</v>
      </c>
      <c r="T1723">
        <f>IF(O1723=O1722,T1722+1,1)</f>
        <v>2</v>
      </c>
      <c r="U1723">
        <f>IF(O1723=O1724,"",S1723/T1723)</f>
        <v>3969.1310330000001</v>
      </c>
      <c r="V1723" t="str">
        <f>IF(U1723="","",IF(ABS(Q1723-U1723)&gt;V$1,"error",""))</f>
        <v/>
      </c>
    </row>
    <row r="1724" spans="1:22" x14ac:dyDescent="0.55000000000000004">
      <c r="A1724">
        <v>1260.7709</v>
      </c>
      <c r="B1724" s="1">
        <v>1E-3</v>
      </c>
      <c r="C1724" s="1">
        <v>1E-3</v>
      </c>
      <c r="D1724" s="2" t="s">
        <v>0</v>
      </c>
      <c r="E1724">
        <v>2</v>
      </c>
      <c r="F1724" s="2" t="s">
        <v>1</v>
      </c>
      <c r="G1724">
        <v>2</v>
      </c>
      <c r="H1724">
        <v>27.5</v>
      </c>
      <c r="I1724" s="2" t="s">
        <v>0</v>
      </c>
      <c r="J1724">
        <v>2</v>
      </c>
      <c r="K1724" s="2" t="s">
        <v>1</v>
      </c>
      <c r="L1724">
        <v>1</v>
      </c>
      <c r="M1724">
        <v>26.5</v>
      </c>
      <c r="N1724" s="2" t="s">
        <v>510</v>
      </c>
      <c r="O1724" t="str">
        <f>D1724&amp;"-"&amp;E1724&amp;"-"&amp;F1724&amp;"-"&amp;G1724&amp;"-"&amp;H1724</f>
        <v>X-2-f-2-27.5</v>
      </c>
      <c r="P1724" t="str">
        <f>I1724&amp;"-"&amp;J1724&amp;"-"&amp;K1724&amp;"-"&amp;L1724&amp;"-"&amp;M1724</f>
        <v>X-2-f-1-26.5</v>
      </c>
      <c r="Q1724">
        <f>A1724+R1724</f>
        <v>5042.4700410000005</v>
      </c>
      <c r="R1724">
        <f>_xlfn.IFNA(VLOOKUP(P1724,PGOPHER!A$2:G$181,7,FALSE),_xlfn.IFNA(VLOOKUP(P1724,en!A$2:I$768,7,FALSE),-10000))</f>
        <v>3781.6991410000001</v>
      </c>
      <c r="S1724">
        <f>IF(O1724=O1723,Q1723+S1723,Q1724)</f>
        <v>5042.4700410000005</v>
      </c>
      <c r="T1724">
        <f>IF(O1724=O1723,T1723+1,1)</f>
        <v>1</v>
      </c>
      <c r="U1724">
        <f>IF(O1724=O1725,"",S1724/T1724)</f>
        <v>5042.4700410000005</v>
      </c>
      <c r="V1724" t="str">
        <f>IF(U1724="","",IF(ABS(Q1724-U1724)&gt;V$1,"error",""))</f>
        <v/>
      </c>
    </row>
    <row r="1725" spans="1:22" x14ac:dyDescent="0.55000000000000004">
      <c r="A1725">
        <v>1299.7136599999999</v>
      </c>
      <c r="B1725" s="1">
        <v>1E-3</v>
      </c>
      <c r="C1725" s="1">
        <v>1E-3</v>
      </c>
      <c r="D1725" s="2" t="s">
        <v>0</v>
      </c>
      <c r="E1725">
        <v>1</v>
      </c>
      <c r="F1725" s="2" t="s">
        <v>2</v>
      </c>
      <c r="G1725">
        <v>1</v>
      </c>
      <c r="H1725">
        <v>28.5</v>
      </c>
      <c r="I1725" s="2" t="s">
        <v>0</v>
      </c>
      <c r="J1725">
        <v>1</v>
      </c>
      <c r="K1725" s="2" t="s">
        <v>2</v>
      </c>
      <c r="L1725">
        <v>0</v>
      </c>
      <c r="M1725">
        <v>27.5</v>
      </c>
      <c r="N1725" s="2" t="s">
        <v>356</v>
      </c>
      <c r="O1725" t="str">
        <f>D1725&amp;"-"&amp;E1725&amp;"-"&amp;F1725&amp;"-"&amp;G1725&amp;"-"&amp;H1725</f>
        <v>X-1-e-1-28.5</v>
      </c>
      <c r="P1725" t="str">
        <f>I1725&amp;"-"&amp;J1725&amp;"-"&amp;K1725&amp;"-"&amp;L1725&amp;"-"&amp;M1725</f>
        <v>X-1-e-0-27.5</v>
      </c>
      <c r="Q1725">
        <f>A1725+R1725</f>
        <v>3972.2835540000001</v>
      </c>
      <c r="R1725">
        <f>_xlfn.IFNA(VLOOKUP(P1725,PGOPHER!A$2:G$181,7,FALSE),_xlfn.IFNA(VLOOKUP(P1725,en!A$2:I$768,7,FALSE),-10000))</f>
        <v>2672.5698940000002</v>
      </c>
      <c r="S1725">
        <f>IF(O1725=O1724,Q1724+S1724,Q1725)</f>
        <v>3972.2835540000001</v>
      </c>
      <c r="T1725">
        <f>IF(O1725=O1724,T1724+1,1)</f>
        <v>1</v>
      </c>
      <c r="U1725" t="str">
        <f>IF(O1725=O1726,"",S1725/T1725)</f>
        <v/>
      </c>
      <c r="V1725" t="str">
        <f>IF(U1725="","",IF(ABS(Q1725-U1725)&gt;V$1,"error",""))</f>
        <v/>
      </c>
    </row>
    <row r="1726" spans="1:22" x14ac:dyDescent="0.55000000000000004">
      <c r="A1726">
        <v>1299.7137</v>
      </c>
      <c r="B1726" s="1">
        <v>1E-3</v>
      </c>
      <c r="C1726" s="1">
        <v>1E-3</v>
      </c>
      <c r="D1726" s="2" t="s">
        <v>0</v>
      </c>
      <c r="E1726">
        <v>1</v>
      </c>
      <c r="F1726" s="2" t="s">
        <v>2</v>
      </c>
      <c r="G1726">
        <v>1</v>
      </c>
      <c r="H1726">
        <v>28.5</v>
      </c>
      <c r="I1726" s="2" t="s">
        <v>0</v>
      </c>
      <c r="J1726">
        <v>1</v>
      </c>
      <c r="K1726" s="2" t="s">
        <v>2</v>
      </c>
      <c r="L1726">
        <v>0</v>
      </c>
      <c r="M1726">
        <v>27.5</v>
      </c>
      <c r="N1726" s="2" t="s">
        <v>353</v>
      </c>
      <c r="O1726" t="str">
        <f>D1726&amp;"-"&amp;E1726&amp;"-"&amp;F1726&amp;"-"&amp;G1726&amp;"-"&amp;H1726</f>
        <v>X-1-e-1-28.5</v>
      </c>
      <c r="P1726" t="str">
        <f>I1726&amp;"-"&amp;J1726&amp;"-"&amp;K1726&amp;"-"&amp;L1726&amp;"-"&amp;M1726</f>
        <v>X-1-e-0-27.5</v>
      </c>
      <c r="Q1726">
        <f>A1726+R1726</f>
        <v>3972.2835940000004</v>
      </c>
      <c r="R1726">
        <f>_xlfn.IFNA(VLOOKUP(P1726,PGOPHER!A$2:G$181,7,FALSE),_xlfn.IFNA(VLOOKUP(P1726,en!A$2:I$768,7,FALSE),-10000))</f>
        <v>2672.5698940000002</v>
      </c>
      <c r="S1726">
        <f>IF(O1726=O1725,Q1725+S1725,Q1726)</f>
        <v>7944.5671080000002</v>
      </c>
      <c r="T1726">
        <f>IF(O1726=O1725,T1725+1,1)</f>
        <v>2</v>
      </c>
      <c r="U1726">
        <f>IF(O1726=O1727,"",S1726/T1726)</f>
        <v>3972.2835540000001</v>
      </c>
      <c r="V1726" t="str">
        <f>IF(U1726="","",IF(ABS(Q1726-U1726)&gt;V$1,"error",""))</f>
        <v/>
      </c>
    </row>
    <row r="1727" spans="1:22" x14ac:dyDescent="0.55000000000000004">
      <c r="A1727">
        <v>1260.7474</v>
      </c>
      <c r="B1727" s="1">
        <v>1E-3</v>
      </c>
      <c r="C1727" s="1">
        <v>1E-3</v>
      </c>
      <c r="D1727" s="2" t="s">
        <v>0</v>
      </c>
      <c r="E1727">
        <v>1</v>
      </c>
      <c r="F1727" s="2" t="s">
        <v>2</v>
      </c>
      <c r="G1727">
        <v>2</v>
      </c>
      <c r="H1727">
        <v>28.5</v>
      </c>
      <c r="I1727" s="2" t="s">
        <v>0</v>
      </c>
      <c r="J1727">
        <v>1</v>
      </c>
      <c r="K1727" s="2" t="s">
        <v>2</v>
      </c>
      <c r="L1727">
        <v>1</v>
      </c>
      <c r="M1727">
        <v>27.5</v>
      </c>
      <c r="N1727" s="2" t="s">
        <v>511</v>
      </c>
      <c r="O1727" t="str">
        <f>D1727&amp;"-"&amp;E1727&amp;"-"&amp;F1727&amp;"-"&amp;G1727&amp;"-"&amp;H1727</f>
        <v>X-1-e-2-28.5</v>
      </c>
      <c r="P1727" t="str">
        <f>I1727&amp;"-"&amp;J1727&amp;"-"&amp;K1727&amp;"-"&amp;L1727&amp;"-"&amp;M1727</f>
        <v>X-1-e-1-27.5</v>
      </c>
      <c r="Q1727">
        <f>A1727+R1727</f>
        <v>5045.5072099999998</v>
      </c>
      <c r="R1727">
        <f>_xlfn.IFNA(VLOOKUP(P1727,PGOPHER!A$2:G$181,7,FALSE),_xlfn.IFNA(VLOOKUP(P1727,en!A$2:I$768,7,FALSE),-10000))</f>
        <v>3784.75981</v>
      </c>
      <c r="S1727">
        <f>IF(O1727=O1726,Q1726+S1726,Q1727)</f>
        <v>5045.5072099999998</v>
      </c>
      <c r="T1727">
        <f>IF(O1727=O1726,T1726+1,1)</f>
        <v>1</v>
      </c>
      <c r="U1727">
        <f>IF(O1727=O1728,"",S1727/T1727)</f>
        <v>5045.5072099999998</v>
      </c>
      <c r="V1727" t="str">
        <f>IF(U1727="","",IF(ABS(Q1727-U1727)&gt;V$1,"error",""))</f>
        <v/>
      </c>
    </row>
    <row r="1728" spans="1:22" x14ac:dyDescent="0.55000000000000004">
      <c r="A1728">
        <v>1301.1148000000001</v>
      </c>
      <c r="B1728" s="1">
        <v>1E-3</v>
      </c>
      <c r="C1728" s="1">
        <v>1E-3</v>
      </c>
      <c r="D1728" s="2" t="s">
        <v>0</v>
      </c>
      <c r="E1728">
        <v>2</v>
      </c>
      <c r="F1728" s="2" t="s">
        <v>1</v>
      </c>
      <c r="G1728">
        <v>1</v>
      </c>
      <c r="H1728">
        <v>28.5</v>
      </c>
      <c r="I1728" s="2" t="s">
        <v>0</v>
      </c>
      <c r="J1728">
        <v>2</v>
      </c>
      <c r="K1728" s="2" t="s">
        <v>1</v>
      </c>
      <c r="L1728">
        <v>0</v>
      </c>
      <c r="M1728">
        <v>27.5</v>
      </c>
      <c r="N1728" s="2" t="s">
        <v>354</v>
      </c>
      <c r="O1728" t="str">
        <f>D1728&amp;"-"&amp;E1728&amp;"-"&amp;F1728&amp;"-"&amp;G1728&amp;"-"&amp;H1728</f>
        <v>X-2-f-1-28.5</v>
      </c>
      <c r="P1728" t="str">
        <f>I1728&amp;"-"&amp;J1728&amp;"-"&amp;K1728&amp;"-"&amp;L1728&amp;"-"&amp;M1728</f>
        <v>X-2-f-0-27.5</v>
      </c>
      <c r="Q1728">
        <f>A1728+R1728</f>
        <v>4162.4159639999998</v>
      </c>
      <c r="R1728">
        <f>_xlfn.IFNA(VLOOKUP(P1728,PGOPHER!A$2:G$181,7,FALSE),_xlfn.IFNA(VLOOKUP(P1728,en!A$2:I$768,7,FALSE),-10000))</f>
        <v>2861.301164</v>
      </c>
      <c r="S1728">
        <f>IF(O1728=O1727,Q1727+S1727,Q1728)</f>
        <v>4162.4159639999998</v>
      </c>
      <c r="T1728">
        <f>IF(O1728=O1727,T1727+1,1)</f>
        <v>1</v>
      </c>
      <c r="U1728" t="str">
        <f>IF(O1728=O1729,"",S1728/T1728)</f>
        <v/>
      </c>
      <c r="V1728" t="str">
        <f>IF(U1728="","",IF(ABS(Q1728-U1728)&gt;V$1,"error",""))</f>
        <v/>
      </c>
    </row>
    <row r="1729" spans="1:22" x14ac:dyDescent="0.55000000000000004">
      <c r="A1729">
        <v>1301.1147800000001</v>
      </c>
      <c r="B1729" s="1">
        <v>1E-3</v>
      </c>
      <c r="C1729" s="1">
        <v>1E-3</v>
      </c>
      <c r="D1729" s="2" t="s">
        <v>0</v>
      </c>
      <c r="E1729">
        <v>2</v>
      </c>
      <c r="F1729" s="2" t="s">
        <v>1</v>
      </c>
      <c r="G1729">
        <v>1</v>
      </c>
      <c r="H1729">
        <v>28.5</v>
      </c>
      <c r="I1729" s="2" t="s">
        <v>0</v>
      </c>
      <c r="J1729">
        <v>2</v>
      </c>
      <c r="K1729" s="2" t="s">
        <v>1</v>
      </c>
      <c r="L1729">
        <v>0</v>
      </c>
      <c r="M1729">
        <v>27.5</v>
      </c>
      <c r="N1729" s="2" t="s">
        <v>357</v>
      </c>
      <c r="O1729" t="str">
        <f>D1729&amp;"-"&amp;E1729&amp;"-"&amp;F1729&amp;"-"&amp;G1729&amp;"-"&amp;H1729</f>
        <v>X-2-f-1-28.5</v>
      </c>
      <c r="P1729" t="str">
        <f>I1729&amp;"-"&amp;J1729&amp;"-"&amp;K1729&amp;"-"&amp;L1729&amp;"-"&amp;M1729</f>
        <v>X-2-f-0-27.5</v>
      </c>
      <c r="Q1729">
        <f>A1729+R1729</f>
        <v>4162.4159440000003</v>
      </c>
      <c r="R1729">
        <f>_xlfn.IFNA(VLOOKUP(P1729,PGOPHER!A$2:G$181,7,FALSE),_xlfn.IFNA(VLOOKUP(P1729,en!A$2:I$768,7,FALSE),-10000))</f>
        <v>2861.301164</v>
      </c>
      <c r="S1729">
        <f>IF(O1729=O1728,Q1728+S1728,Q1729)</f>
        <v>8324.8319279999996</v>
      </c>
      <c r="T1729">
        <f>IF(O1729=O1728,T1728+1,1)</f>
        <v>2</v>
      </c>
      <c r="U1729" t="str">
        <f>IF(O1729=O1730,"",S1729/T1729)</f>
        <v/>
      </c>
      <c r="V1729" t="str">
        <f>IF(U1729="","",IF(ABS(Q1729-U1729)&gt;V$1,"error",""))</f>
        <v/>
      </c>
    </row>
    <row r="1730" spans="1:22" x14ac:dyDescent="0.55000000000000004">
      <c r="A1730">
        <v>899.33154999999999</v>
      </c>
      <c r="B1730" s="1">
        <v>2E-3</v>
      </c>
      <c r="C1730" s="1">
        <v>2E-3</v>
      </c>
      <c r="D1730" s="2" t="s">
        <v>0</v>
      </c>
      <c r="E1730">
        <v>2</v>
      </c>
      <c r="F1730" s="2" t="s">
        <v>1</v>
      </c>
      <c r="G1730">
        <v>1</v>
      </c>
      <c r="H1730">
        <v>28.5</v>
      </c>
      <c r="I1730" s="2" t="s">
        <v>0</v>
      </c>
      <c r="J1730">
        <v>2</v>
      </c>
      <c r="K1730" s="2" t="s">
        <v>1</v>
      </c>
      <c r="L1730">
        <v>0</v>
      </c>
      <c r="M1730">
        <v>29.5</v>
      </c>
      <c r="N1730" s="2" t="s">
        <v>358</v>
      </c>
      <c r="O1730" t="str">
        <f>D1730&amp;"-"&amp;E1730&amp;"-"&amp;F1730&amp;"-"&amp;G1730&amp;"-"&amp;H1730</f>
        <v>X-2-f-1-28.5</v>
      </c>
      <c r="P1730" t="str">
        <f>I1730&amp;"-"&amp;J1730&amp;"-"&amp;K1730&amp;"-"&amp;L1730&amp;"-"&amp;M1730</f>
        <v>X-2-f-0-29.5</v>
      </c>
      <c r="Q1730">
        <f>A1730+R1730</f>
        <v>4162.4158480000006</v>
      </c>
      <c r="R1730">
        <f>_xlfn.IFNA(VLOOKUP(P1730,PGOPHER!A$2:G$181,7,FALSE),_xlfn.IFNA(VLOOKUP(P1730,en!A$2:I$768,7,FALSE),-10000))</f>
        <v>3263.0842980000002</v>
      </c>
      <c r="S1730">
        <f>IF(O1730=O1729,Q1729+S1729,Q1730)</f>
        <v>12487.247872</v>
      </c>
      <c r="T1730">
        <f>IF(O1730=O1729,T1729+1,1)</f>
        <v>3</v>
      </c>
      <c r="U1730" t="str">
        <f>IF(O1730=O1731,"",S1730/T1730)</f>
        <v/>
      </c>
      <c r="V1730" t="str">
        <f>IF(U1730="","",IF(ABS(Q1730-U1730)&gt;V$1,"error",""))</f>
        <v/>
      </c>
    </row>
    <row r="1731" spans="1:22" x14ac:dyDescent="0.55000000000000004">
      <c r="A1731">
        <v>899.33159999999998</v>
      </c>
      <c r="B1731" s="1">
        <v>1E-3</v>
      </c>
      <c r="C1731" s="1">
        <v>1E-3</v>
      </c>
      <c r="D1731" s="2" t="s">
        <v>0</v>
      </c>
      <c r="E1731">
        <v>2</v>
      </c>
      <c r="F1731" s="2" t="s">
        <v>1</v>
      </c>
      <c r="G1731">
        <v>1</v>
      </c>
      <c r="H1731">
        <v>28.5</v>
      </c>
      <c r="I1731" s="2" t="s">
        <v>0</v>
      </c>
      <c r="J1731">
        <v>2</v>
      </c>
      <c r="K1731" s="2" t="s">
        <v>1</v>
      </c>
      <c r="L1731">
        <v>0</v>
      </c>
      <c r="M1731">
        <v>29.5</v>
      </c>
      <c r="N1731" s="2" t="s">
        <v>355</v>
      </c>
      <c r="O1731" t="str">
        <f>D1731&amp;"-"&amp;E1731&amp;"-"&amp;F1731&amp;"-"&amp;G1731&amp;"-"&amp;H1731</f>
        <v>X-2-f-1-28.5</v>
      </c>
      <c r="P1731" t="str">
        <f>I1731&amp;"-"&amp;J1731&amp;"-"&amp;K1731&amp;"-"&amp;L1731&amp;"-"&amp;M1731</f>
        <v>X-2-f-0-29.5</v>
      </c>
      <c r="Q1731">
        <f>A1731+R1731</f>
        <v>4162.4158980000002</v>
      </c>
      <c r="R1731">
        <f>_xlfn.IFNA(VLOOKUP(P1731,PGOPHER!A$2:G$181,7,FALSE),_xlfn.IFNA(VLOOKUP(P1731,en!A$2:I$768,7,FALSE),-10000))</f>
        <v>3263.0842980000002</v>
      </c>
      <c r="S1731">
        <f>IF(O1731=O1730,Q1730+S1730,Q1731)</f>
        <v>16649.66372</v>
      </c>
      <c r="T1731">
        <f>IF(O1731=O1730,T1730+1,1)</f>
        <v>4</v>
      </c>
      <c r="U1731">
        <f>IF(O1731=O1732,"",S1731/T1731)</f>
        <v>4162.4159300000001</v>
      </c>
      <c r="V1731" t="str">
        <f>IF(U1731="","",IF(ABS(Q1731-U1731)&gt;V$1,"error",""))</f>
        <v/>
      </c>
    </row>
    <row r="1732" spans="1:22" x14ac:dyDescent="0.55000000000000004">
      <c r="A1732">
        <v>1261.9639</v>
      </c>
      <c r="B1732" s="1">
        <v>1E-3</v>
      </c>
      <c r="C1732" s="1">
        <v>1E-3</v>
      </c>
      <c r="D1732" s="2" t="s">
        <v>0</v>
      </c>
      <c r="E1732">
        <v>2</v>
      </c>
      <c r="F1732" s="2" t="s">
        <v>1</v>
      </c>
      <c r="G1732">
        <v>2</v>
      </c>
      <c r="H1732">
        <v>28.5</v>
      </c>
      <c r="I1732" s="2" t="s">
        <v>0</v>
      </c>
      <c r="J1732">
        <v>2</v>
      </c>
      <c r="K1732" s="2" t="s">
        <v>1</v>
      </c>
      <c r="L1732">
        <v>1</v>
      </c>
      <c r="M1732">
        <v>27.5</v>
      </c>
      <c r="N1732" s="2" t="s">
        <v>512</v>
      </c>
      <c r="O1732" t="str">
        <f>D1732&amp;"-"&amp;E1732&amp;"-"&amp;F1732&amp;"-"&amp;G1732&amp;"-"&amp;H1732</f>
        <v>X-2-f-2-28.5</v>
      </c>
      <c r="P1732" t="str">
        <f>I1732&amp;"-"&amp;J1732&amp;"-"&amp;K1732&amp;"-"&amp;L1732&amp;"-"&amp;M1732</f>
        <v>X-2-f-1-27.5</v>
      </c>
      <c r="Q1732">
        <f>A1732+R1732</f>
        <v>5231.0949380000002</v>
      </c>
      <c r="R1732">
        <f>_xlfn.IFNA(VLOOKUP(P1732,PGOPHER!A$2:G$181,7,FALSE),_xlfn.IFNA(VLOOKUP(P1732,en!A$2:I$768,7,FALSE),-10000))</f>
        <v>3969.131038</v>
      </c>
      <c r="S1732">
        <f>IF(O1732=O1731,Q1731+S1731,Q1732)</f>
        <v>5231.0949380000002</v>
      </c>
      <c r="T1732">
        <f>IF(O1732=O1731,T1731+1,1)</f>
        <v>1</v>
      </c>
      <c r="U1732">
        <f>IF(O1732=O1733,"",S1732/T1732)</f>
        <v>5231.0949380000002</v>
      </c>
      <c r="V1732" t="str">
        <f>IF(U1732="","",IF(ABS(Q1732-U1732)&gt;V$1,"error",""))</f>
        <v/>
      </c>
    </row>
    <row r="1733" spans="1:22" x14ac:dyDescent="0.55000000000000004">
      <c r="A1733">
        <v>1301.0921000000001</v>
      </c>
      <c r="B1733" s="1">
        <v>1E-3</v>
      </c>
      <c r="C1733" s="1">
        <v>1E-3</v>
      </c>
      <c r="D1733" s="2" t="s">
        <v>0</v>
      </c>
      <c r="E1733">
        <v>1</v>
      </c>
      <c r="F1733" s="2" t="s">
        <v>2</v>
      </c>
      <c r="G1733">
        <v>1</v>
      </c>
      <c r="H1733">
        <v>29.5</v>
      </c>
      <c r="I1733" s="2" t="s">
        <v>0</v>
      </c>
      <c r="J1733">
        <v>1</v>
      </c>
      <c r="K1733" s="2" t="s">
        <v>2</v>
      </c>
      <c r="L1733">
        <v>0</v>
      </c>
      <c r="M1733">
        <v>28.5</v>
      </c>
      <c r="N1733" s="2" t="s">
        <v>359</v>
      </c>
      <c r="O1733" t="str">
        <f>D1733&amp;"-"&amp;E1733&amp;"-"&amp;F1733&amp;"-"&amp;G1733&amp;"-"&amp;H1733</f>
        <v>X-1-e-1-29.5</v>
      </c>
      <c r="P1733" t="str">
        <f>I1733&amp;"-"&amp;J1733&amp;"-"&amp;K1733&amp;"-"&amp;L1733&amp;"-"&amp;M1733</f>
        <v>X-1-e-0-28.5</v>
      </c>
      <c r="Q1733">
        <f>A1733+R1733</f>
        <v>4165.6662249999999</v>
      </c>
      <c r="R1733">
        <f>_xlfn.IFNA(VLOOKUP(P1733,PGOPHER!A$2:G$181,7,FALSE),_xlfn.IFNA(VLOOKUP(P1733,en!A$2:I$768,7,FALSE),-10000))</f>
        <v>2864.5741250000001</v>
      </c>
      <c r="S1733">
        <f>IF(O1733=O1732,Q1732+S1732,Q1733)</f>
        <v>4165.6662249999999</v>
      </c>
      <c r="T1733">
        <f>IF(O1733=O1732,T1732+1,1)</f>
        <v>1</v>
      </c>
      <c r="U1733" t="str">
        <f>IF(O1733=O1734,"",S1733/T1733)</f>
        <v/>
      </c>
      <c r="V1733" t="str">
        <f>IF(U1733="","",IF(ABS(Q1733-U1733)&gt;V$1,"error",""))</f>
        <v/>
      </c>
    </row>
    <row r="1734" spans="1:22" x14ac:dyDescent="0.55000000000000004">
      <c r="A1734">
        <v>1301.0921000000001</v>
      </c>
      <c r="B1734" s="1">
        <v>1E-3</v>
      </c>
      <c r="C1734" s="1">
        <v>1E-3</v>
      </c>
      <c r="D1734" s="2" t="s">
        <v>0</v>
      </c>
      <c r="E1734">
        <v>1</v>
      </c>
      <c r="F1734" s="2" t="s">
        <v>2</v>
      </c>
      <c r="G1734">
        <v>1</v>
      </c>
      <c r="H1734">
        <v>29.5</v>
      </c>
      <c r="I1734" s="2" t="s">
        <v>0</v>
      </c>
      <c r="J1734">
        <v>1</v>
      </c>
      <c r="K1734" s="2" t="s">
        <v>2</v>
      </c>
      <c r="L1734">
        <v>0</v>
      </c>
      <c r="M1734">
        <v>28.5</v>
      </c>
      <c r="N1734" s="2" t="s">
        <v>361</v>
      </c>
      <c r="O1734" t="str">
        <f>D1734&amp;"-"&amp;E1734&amp;"-"&amp;F1734&amp;"-"&amp;G1734&amp;"-"&amp;H1734</f>
        <v>X-1-e-1-29.5</v>
      </c>
      <c r="P1734" t="str">
        <f>I1734&amp;"-"&amp;J1734&amp;"-"&amp;K1734&amp;"-"&amp;L1734&amp;"-"&amp;M1734</f>
        <v>X-1-e-0-28.5</v>
      </c>
      <c r="Q1734">
        <f>A1734+R1734</f>
        <v>4165.6662249999999</v>
      </c>
      <c r="R1734">
        <f>_xlfn.IFNA(VLOOKUP(P1734,PGOPHER!A$2:G$181,7,FALSE),_xlfn.IFNA(VLOOKUP(P1734,en!A$2:I$768,7,FALSE),-10000))</f>
        <v>2864.5741250000001</v>
      </c>
      <c r="S1734">
        <f>IF(O1734=O1733,Q1733+S1733,Q1734)</f>
        <v>8331.3324499999999</v>
      </c>
      <c r="T1734">
        <f>IF(O1734=O1733,T1733+1,1)</f>
        <v>2</v>
      </c>
      <c r="U1734">
        <f>IF(O1734=O1735,"",S1734/T1734)</f>
        <v>4165.6662249999999</v>
      </c>
      <c r="V1734" t="str">
        <f>IF(U1734="","",IF(ABS(Q1734-U1734)&gt;V$1,"error",""))</f>
        <v/>
      </c>
    </row>
    <row r="1735" spans="1:22" x14ac:dyDescent="0.55000000000000004">
      <c r="A1735">
        <v>1261.9373000000001</v>
      </c>
      <c r="B1735" s="1">
        <v>1E-3</v>
      </c>
      <c r="C1735" s="1">
        <v>1E-3</v>
      </c>
      <c r="D1735" s="2" t="s">
        <v>0</v>
      </c>
      <c r="E1735">
        <v>1</v>
      </c>
      <c r="F1735" s="2" t="s">
        <v>2</v>
      </c>
      <c r="G1735">
        <v>2</v>
      </c>
      <c r="H1735">
        <v>29.5</v>
      </c>
      <c r="I1735" s="2" t="s">
        <v>0</v>
      </c>
      <c r="J1735">
        <v>1</v>
      </c>
      <c r="K1735" s="2" t="s">
        <v>2</v>
      </c>
      <c r="L1735">
        <v>1</v>
      </c>
      <c r="M1735">
        <v>28.5</v>
      </c>
      <c r="N1735" s="2" t="s">
        <v>513</v>
      </c>
      <c r="O1735" t="str">
        <f>D1735&amp;"-"&amp;E1735&amp;"-"&amp;F1735&amp;"-"&amp;G1735&amp;"-"&amp;H1735</f>
        <v>X-1-e-2-29.5</v>
      </c>
      <c r="P1735" t="str">
        <f>I1735&amp;"-"&amp;J1735&amp;"-"&amp;K1735&amp;"-"&amp;L1735&amp;"-"&amp;M1735</f>
        <v>X-1-e-1-28.5</v>
      </c>
      <c r="Q1735">
        <f>A1735+R1735</f>
        <v>5234.2208740000005</v>
      </c>
      <c r="R1735">
        <f>_xlfn.IFNA(VLOOKUP(P1735,PGOPHER!A$2:G$181,7,FALSE),_xlfn.IFNA(VLOOKUP(P1735,en!A$2:I$768,7,FALSE),-10000))</f>
        <v>3972.283574</v>
      </c>
      <c r="S1735">
        <f>IF(O1735=O1734,Q1734+S1734,Q1735)</f>
        <v>5234.2208740000005</v>
      </c>
      <c r="T1735">
        <f>IF(O1735=O1734,T1734+1,1)</f>
        <v>1</v>
      </c>
      <c r="U1735">
        <f>IF(O1735=O1736,"",S1735/T1735)</f>
        <v>5234.2208740000005</v>
      </c>
      <c r="V1735" t="str">
        <f>IF(U1735="","",IF(ABS(Q1735-U1735)&gt;V$1,"error",""))</f>
        <v/>
      </c>
    </row>
    <row r="1736" spans="1:22" x14ac:dyDescent="0.55000000000000004">
      <c r="A1736">
        <v>1302.25577</v>
      </c>
      <c r="B1736" s="1">
        <v>1E-3</v>
      </c>
      <c r="C1736" s="1">
        <v>1E-3</v>
      </c>
      <c r="D1736" s="2" t="s">
        <v>0</v>
      </c>
      <c r="E1736">
        <v>2</v>
      </c>
      <c r="F1736" s="2" t="s">
        <v>1</v>
      </c>
      <c r="G1736">
        <v>1</v>
      </c>
      <c r="H1736">
        <v>29.5</v>
      </c>
      <c r="I1736" s="2" t="s">
        <v>0</v>
      </c>
      <c r="J1736">
        <v>2</v>
      </c>
      <c r="K1736" s="2" t="s">
        <v>1</v>
      </c>
      <c r="L1736">
        <v>0</v>
      </c>
      <c r="M1736">
        <v>28.5</v>
      </c>
      <c r="N1736" s="2" t="s">
        <v>362</v>
      </c>
      <c r="O1736" t="str">
        <f>D1736&amp;"-"&amp;E1736&amp;"-"&amp;F1736&amp;"-"&amp;G1736&amp;"-"&amp;H1736</f>
        <v>X-2-f-1-29.5</v>
      </c>
      <c r="P1736" t="str">
        <f>I1736&amp;"-"&amp;J1736&amp;"-"&amp;K1736&amp;"-"&amp;L1736&amp;"-"&amp;M1736</f>
        <v>X-2-f-0-28.5</v>
      </c>
      <c r="Q1736">
        <f>A1736+R1736</f>
        <v>4361.4935189999997</v>
      </c>
      <c r="R1736">
        <f>_xlfn.IFNA(VLOOKUP(P1736,PGOPHER!A$2:G$181,7,FALSE),_xlfn.IFNA(VLOOKUP(P1736,en!A$2:I$768,7,FALSE),-10000))</f>
        <v>3059.2377489999999</v>
      </c>
      <c r="S1736">
        <f>IF(O1736=O1735,Q1735+S1735,Q1736)</f>
        <v>4361.4935189999997</v>
      </c>
      <c r="T1736">
        <f>IF(O1736=O1735,T1735+1,1)</f>
        <v>1</v>
      </c>
      <c r="U1736" t="str">
        <f>IF(O1736=O1737,"",S1736/T1736)</f>
        <v/>
      </c>
      <c r="V1736" t="str">
        <f>IF(U1736="","",IF(ABS(Q1736-U1736)&gt;V$1,"error",""))</f>
        <v/>
      </c>
    </row>
    <row r="1737" spans="1:22" x14ac:dyDescent="0.55000000000000004">
      <c r="A1737">
        <v>1302.2557999999999</v>
      </c>
      <c r="B1737" s="1">
        <v>1E-3</v>
      </c>
      <c r="C1737" s="1">
        <v>1E-3</v>
      </c>
      <c r="D1737" s="2" t="s">
        <v>0</v>
      </c>
      <c r="E1737">
        <v>2</v>
      </c>
      <c r="F1737" s="2" t="s">
        <v>1</v>
      </c>
      <c r="G1737">
        <v>1</v>
      </c>
      <c r="H1737">
        <v>29.5</v>
      </c>
      <c r="I1737" s="2" t="s">
        <v>0</v>
      </c>
      <c r="J1737">
        <v>2</v>
      </c>
      <c r="K1737" s="2" t="s">
        <v>1</v>
      </c>
      <c r="L1737">
        <v>0</v>
      </c>
      <c r="M1737">
        <v>28.5</v>
      </c>
      <c r="N1737" s="2" t="s">
        <v>360</v>
      </c>
      <c r="O1737" t="str">
        <f>D1737&amp;"-"&amp;E1737&amp;"-"&amp;F1737&amp;"-"&amp;G1737&amp;"-"&amp;H1737</f>
        <v>X-2-f-1-29.5</v>
      </c>
      <c r="P1737" t="str">
        <f>I1737&amp;"-"&amp;J1737&amp;"-"&amp;K1737&amp;"-"&amp;L1737&amp;"-"&amp;M1737</f>
        <v>X-2-f-0-28.5</v>
      </c>
      <c r="Q1737">
        <f>A1737+R1737</f>
        <v>4361.4935489999998</v>
      </c>
      <c r="R1737">
        <f>_xlfn.IFNA(VLOOKUP(P1737,PGOPHER!A$2:G$181,7,FALSE),_xlfn.IFNA(VLOOKUP(P1737,en!A$2:I$768,7,FALSE),-10000))</f>
        <v>3059.2377489999999</v>
      </c>
      <c r="S1737">
        <f>IF(O1737=O1736,Q1736+S1736,Q1737)</f>
        <v>8722.9870379999993</v>
      </c>
      <c r="T1737">
        <f>IF(O1737=O1736,T1736+1,1)</f>
        <v>2</v>
      </c>
      <c r="U1737">
        <f>IF(O1737=O1738,"",S1737/T1737)</f>
        <v>4361.4935189999997</v>
      </c>
      <c r="V1737" t="str">
        <f>IF(U1737="","",IF(ABS(Q1737-U1737)&gt;V$1,"error",""))</f>
        <v/>
      </c>
    </row>
    <row r="1738" spans="1:22" x14ac:dyDescent="0.55000000000000004">
      <c r="A1738">
        <v>1262.9114999999999</v>
      </c>
      <c r="B1738" s="1">
        <v>1E-3</v>
      </c>
      <c r="C1738" s="1">
        <v>1E-3</v>
      </c>
      <c r="D1738" s="2" t="s">
        <v>0</v>
      </c>
      <c r="E1738">
        <v>2</v>
      </c>
      <c r="F1738" s="2" t="s">
        <v>1</v>
      </c>
      <c r="G1738">
        <v>2</v>
      </c>
      <c r="H1738">
        <v>29.5</v>
      </c>
      <c r="I1738" s="2" t="s">
        <v>0</v>
      </c>
      <c r="J1738">
        <v>2</v>
      </c>
      <c r="K1738" s="2" t="s">
        <v>1</v>
      </c>
      <c r="L1738">
        <v>1</v>
      </c>
      <c r="M1738">
        <v>28.5</v>
      </c>
      <c r="N1738" s="2" t="s">
        <v>514</v>
      </c>
      <c r="O1738" t="str">
        <f>D1738&amp;"-"&amp;E1738&amp;"-"&amp;F1738&amp;"-"&amp;G1738&amp;"-"&amp;H1738</f>
        <v>X-2-f-2-29.5</v>
      </c>
      <c r="P1738" t="str">
        <f>I1738&amp;"-"&amp;J1738&amp;"-"&amp;K1738&amp;"-"&amp;L1738&amp;"-"&amp;M1738</f>
        <v>X-2-f-1-28.5</v>
      </c>
      <c r="Q1738">
        <f>A1738+R1738</f>
        <v>5425.3274280000005</v>
      </c>
      <c r="R1738">
        <f>_xlfn.IFNA(VLOOKUP(P1738,PGOPHER!A$2:G$181,7,FALSE),_xlfn.IFNA(VLOOKUP(P1738,en!A$2:I$768,7,FALSE),-10000))</f>
        <v>4162.4159280000003</v>
      </c>
      <c r="S1738">
        <f>IF(O1738=O1737,Q1737+S1737,Q1738)</f>
        <v>5425.3274280000005</v>
      </c>
      <c r="T1738">
        <f>IF(O1738=O1737,T1737+1,1)</f>
        <v>1</v>
      </c>
      <c r="U1738">
        <f>IF(O1738=O1739,"",S1738/T1738)</f>
        <v>5425.3274280000005</v>
      </c>
      <c r="V1738" t="str">
        <f>IF(U1738="","",IF(ABS(Q1738-U1738)&gt;V$1,"error",""))</f>
        <v/>
      </c>
    </row>
    <row r="1739" spans="1:22" x14ac:dyDescent="0.55000000000000004">
      <c r="A1739">
        <v>1302.2273600000001</v>
      </c>
      <c r="B1739" s="1">
        <v>1E-3</v>
      </c>
      <c r="C1739" s="1">
        <v>1E-3</v>
      </c>
      <c r="D1739" s="2" t="s">
        <v>0</v>
      </c>
      <c r="E1739">
        <v>1</v>
      </c>
      <c r="F1739" s="2" t="s">
        <v>2</v>
      </c>
      <c r="G1739">
        <v>1</v>
      </c>
      <c r="H1739">
        <v>30.5</v>
      </c>
      <c r="I1739" s="2" t="s">
        <v>0</v>
      </c>
      <c r="J1739">
        <v>1</v>
      </c>
      <c r="K1739" s="2" t="s">
        <v>2</v>
      </c>
      <c r="L1739">
        <v>0</v>
      </c>
      <c r="M1739">
        <v>29.5</v>
      </c>
      <c r="N1739" s="2" t="s">
        <v>365</v>
      </c>
      <c r="O1739" t="str">
        <f>D1739&amp;"-"&amp;E1739&amp;"-"&amp;F1739&amp;"-"&amp;G1739&amp;"-"&amp;H1739</f>
        <v>X-1-e-1-30.5</v>
      </c>
      <c r="P1739" t="str">
        <f>I1739&amp;"-"&amp;J1739&amp;"-"&amp;K1739&amp;"-"&amp;L1739&amp;"-"&amp;M1739</f>
        <v>X-1-e-0-29.5</v>
      </c>
      <c r="Q1739">
        <f>A1739+R1739</f>
        <v>4364.8325599999998</v>
      </c>
      <c r="R1739">
        <f>_xlfn.IFNA(VLOOKUP(P1739,PGOPHER!A$2:G$181,7,FALSE),_xlfn.IFNA(VLOOKUP(P1739,en!A$2:I$768,7,FALSE),-10000))</f>
        <v>3062.6052</v>
      </c>
      <c r="S1739">
        <f>IF(O1739=O1738,Q1738+S1738,Q1739)</f>
        <v>4364.8325599999998</v>
      </c>
      <c r="T1739">
        <f>IF(O1739=O1738,T1738+1,1)</f>
        <v>1</v>
      </c>
      <c r="U1739" t="str">
        <f>IF(O1739=O1740,"",S1739/T1739)</f>
        <v/>
      </c>
      <c r="V1739" t="str">
        <f>IF(U1739="","",IF(ABS(Q1739-U1739)&gt;V$1,"error",""))</f>
        <v/>
      </c>
    </row>
    <row r="1740" spans="1:22" x14ac:dyDescent="0.55000000000000004">
      <c r="A1740">
        <v>1302.2274</v>
      </c>
      <c r="B1740" s="1">
        <v>1E-3</v>
      </c>
      <c r="C1740" s="1">
        <v>1E-3</v>
      </c>
      <c r="D1740" s="2" t="s">
        <v>0</v>
      </c>
      <c r="E1740">
        <v>1</v>
      </c>
      <c r="F1740" s="2" t="s">
        <v>2</v>
      </c>
      <c r="G1740">
        <v>1</v>
      </c>
      <c r="H1740">
        <v>30.5</v>
      </c>
      <c r="I1740" s="2" t="s">
        <v>0</v>
      </c>
      <c r="J1740">
        <v>1</v>
      </c>
      <c r="K1740" s="2" t="s">
        <v>2</v>
      </c>
      <c r="L1740">
        <v>0</v>
      </c>
      <c r="M1740">
        <v>29.5</v>
      </c>
      <c r="N1740" s="2" t="s">
        <v>363</v>
      </c>
      <c r="O1740" t="str">
        <f>D1740&amp;"-"&amp;E1740&amp;"-"&amp;F1740&amp;"-"&amp;G1740&amp;"-"&amp;H1740</f>
        <v>X-1-e-1-30.5</v>
      </c>
      <c r="P1740" t="str">
        <f>I1740&amp;"-"&amp;J1740&amp;"-"&amp;K1740&amp;"-"&amp;L1740&amp;"-"&amp;M1740</f>
        <v>X-1-e-0-29.5</v>
      </c>
      <c r="Q1740">
        <f>A1740+R1740</f>
        <v>4364.8325999999997</v>
      </c>
      <c r="R1740">
        <f>_xlfn.IFNA(VLOOKUP(P1740,PGOPHER!A$2:G$181,7,FALSE),_xlfn.IFNA(VLOOKUP(P1740,en!A$2:I$768,7,FALSE),-10000))</f>
        <v>3062.6052</v>
      </c>
      <c r="S1740">
        <f>IF(O1740=O1739,Q1739+S1739,Q1740)</f>
        <v>8729.6651199999997</v>
      </c>
      <c r="T1740">
        <f>IF(O1740=O1739,T1739+1,1)</f>
        <v>2</v>
      </c>
      <c r="U1740">
        <f>IF(O1740=O1741,"",S1740/T1740)</f>
        <v>4364.8325599999998</v>
      </c>
      <c r="V1740" t="str">
        <f>IF(U1740="","",IF(ABS(Q1740-U1740)&gt;V$1,"error",""))</f>
        <v/>
      </c>
    </row>
    <row r="1741" spans="1:22" x14ac:dyDescent="0.55000000000000004">
      <c r="A1741">
        <v>1262.8801000000001</v>
      </c>
      <c r="B1741" s="1">
        <v>1E-3</v>
      </c>
      <c r="C1741" s="1">
        <v>1E-3</v>
      </c>
      <c r="D1741" s="2" t="s">
        <v>0</v>
      </c>
      <c r="E1741">
        <v>1</v>
      </c>
      <c r="F1741" s="2" t="s">
        <v>2</v>
      </c>
      <c r="G1741">
        <v>2</v>
      </c>
      <c r="H1741">
        <v>30.5</v>
      </c>
      <c r="I1741" s="2" t="s">
        <v>0</v>
      </c>
      <c r="J1741">
        <v>1</v>
      </c>
      <c r="K1741" s="2" t="s">
        <v>2</v>
      </c>
      <c r="L1741">
        <v>1</v>
      </c>
      <c r="M1741">
        <v>29.5</v>
      </c>
      <c r="N1741" s="2" t="s">
        <v>515</v>
      </c>
      <c r="O1741" t="str">
        <f>D1741&amp;"-"&amp;E1741&amp;"-"&amp;F1741&amp;"-"&amp;G1741&amp;"-"&amp;H1741</f>
        <v>X-1-e-2-30.5</v>
      </c>
      <c r="P1741" t="str">
        <f>I1741&amp;"-"&amp;J1741&amp;"-"&amp;K1741&amp;"-"&amp;L1741&amp;"-"&amp;M1741</f>
        <v>X-1-e-1-29.5</v>
      </c>
      <c r="Q1741">
        <f>A1741+R1741</f>
        <v>5428.5463250000003</v>
      </c>
      <c r="R1741">
        <f>_xlfn.IFNA(VLOOKUP(P1741,PGOPHER!A$2:G$181,7,FALSE),_xlfn.IFNA(VLOOKUP(P1741,en!A$2:I$768,7,FALSE),-10000))</f>
        <v>4165.6662249999999</v>
      </c>
      <c r="S1741">
        <f>IF(O1741=O1740,Q1740+S1740,Q1741)</f>
        <v>5428.5463250000003</v>
      </c>
      <c r="T1741">
        <f>IF(O1741=O1740,T1740+1,1)</f>
        <v>1</v>
      </c>
      <c r="U1741">
        <f>IF(O1741=O1742,"",S1741/T1741)</f>
        <v>5428.5463250000003</v>
      </c>
      <c r="V1741" t="str">
        <f>IF(U1741="","",IF(ABS(Q1741-U1741)&gt;V$1,"error",""))</f>
        <v/>
      </c>
    </row>
    <row r="1742" spans="1:22" x14ac:dyDescent="0.55000000000000004">
      <c r="A1742">
        <v>1303.1528000000001</v>
      </c>
      <c r="B1742" s="1">
        <v>1E-3</v>
      </c>
      <c r="C1742" s="1">
        <v>1E-3</v>
      </c>
      <c r="D1742" s="2" t="s">
        <v>0</v>
      </c>
      <c r="E1742">
        <v>2</v>
      </c>
      <c r="F1742" s="2" t="s">
        <v>1</v>
      </c>
      <c r="G1742">
        <v>1</v>
      </c>
      <c r="H1742">
        <v>30.5</v>
      </c>
      <c r="I1742" s="2" t="s">
        <v>0</v>
      </c>
      <c r="J1742">
        <v>2</v>
      </c>
      <c r="K1742" s="2" t="s">
        <v>1</v>
      </c>
      <c r="L1742">
        <v>0</v>
      </c>
      <c r="M1742">
        <v>29.5</v>
      </c>
      <c r="N1742" s="2" t="s">
        <v>364</v>
      </c>
      <c r="O1742" t="str">
        <f>D1742&amp;"-"&amp;E1742&amp;"-"&amp;F1742&amp;"-"&amp;G1742&amp;"-"&amp;H1742</f>
        <v>X-2-f-1-30.5</v>
      </c>
      <c r="P1742" t="str">
        <f>I1742&amp;"-"&amp;J1742&amp;"-"&amp;K1742&amp;"-"&amp;L1742&amp;"-"&amp;M1742</f>
        <v>X-2-f-0-29.5</v>
      </c>
      <c r="Q1742">
        <f>A1742+R1742</f>
        <v>4566.2370980000005</v>
      </c>
      <c r="R1742">
        <f>_xlfn.IFNA(VLOOKUP(P1742,PGOPHER!A$2:G$181,7,FALSE),_xlfn.IFNA(VLOOKUP(P1742,en!A$2:I$768,7,FALSE),-10000))</f>
        <v>3263.0842980000002</v>
      </c>
      <c r="S1742">
        <f>IF(O1742=O1741,Q1741+S1741,Q1742)</f>
        <v>4566.2370980000005</v>
      </c>
      <c r="T1742">
        <f>IF(O1742=O1741,T1741+1,1)</f>
        <v>1</v>
      </c>
      <c r="U1742" t="str">
        <f>IF(O1742=O1743,"",S1742/T1742)</f>
        <v/>
      </c>
      <c r="V1742" t="str">
        <f>IF(U1742="","",IF(ABS(Q1742-U1742)&gt;V$1,"error",""))</f>
        <v/>
      </c>
    </row>
    <row r="1743" spans="1:22" x14ac:dyDescent="0.55000000000000004">
      <c r="A1743">
        <v>1303.15283</v>
      </c>
      <c r="B1743" s="1">
        <v>1E-3</v>
      </c>
      <c r="C1743" s="1">
        <v>1E-3</v>
      </c>
      <c r="D1743" s="2" t="s">
        <v>0</v>
      </c>
      <c r="E1743">
        <v>2</v>
      </c>
      <c r="F1743" s="2" t="s">
        <v>1</v>
      </c>
      <c r="G1743">
        <v>1</v>
      </c>
      <c r="H1743">
        <v>30.5</v>
      </c>
      <c r="I1743" s="2" t="s">
        <v>0</v>
      </c>
      <c r="J1743">
        <v>2</v>
      </c>
      <c r="K1743" s="2" t="s">
        <v>1</v>
      </c>
      <c r="L1743">
        <v>0</v>
      </c>
      <c r="M1743">
        <v>29.5</v>
      </c>
      <c r="N1743" s="2" t="s">
        <v>366</v>
      </c>
      <c r="O1743" t="str">
        <f>D1743&amp;"-"&amp;E1743&amp;"-"&amp;F1743&amp;"-"&amp;G1743&amp;"-"&amp;H1743</f>
        <v>X-2-f-1-30.5</v>
      </c>
      <c r="P1743" t="str">
        <f>I1743&amp;"-"&amp;J1743&amp;"-"&amp;K1743&amp;"-"&amp;L1743&amp;"-"&amp;M1743</f>
        <v>X-2-f-0-29.5</v>
      </c>
      <c r="Q1743">
        <f>A1743+R1743</f>
        <v>4566.2371280000007</v>
      </c>
      <c r="R1743">
        <f>_xlfn.IFNA(VLOOKUP(P1743,PGOPHER!A$2:G$181,7,FALSE),_xlfn.IFNA(VLOOKUP(P1743,en!A$2:I$768,7,FALSE),-10000))</f>
        <v>3263.0842980000002</v>
      </c>
      <c r="S1743">
        <f>IF(O1743=O1742,Q1742+S1742,Q1743)</f>
        <v>9132.474196000001</v>
      </c>
      <c r="T1743">
        <f>IF(O1743=O1742,T1742+1,1)</f>
        <v>2</v>
      </c>
      <c r="U1743">
        <f>IF(O1743=O1744,"",S1743/T1743)</f>
        <v>4566.2370980000005</v>
      </c>
      <c r="V1743" t="str">
        <f>IF(U1743="","",IF(ABS(Q1743-U1743)&gt;V$1,"error",""))</f>
        <v/>
      </c>
    </row>
    <row r="1744" spans="1:22" x14ac:dyDescent="0.55000000000000004">
      <c r="A1744">
        <v>1263.6122</v>
      </c>
      <c r="B1744" s="1">
        <v>1E-3</v>
      </c>
      <c r="C1744" s="1">
        <v>1E-3</v>
      </c>
      <c r="D1744" s="2" t="s">
        <v>0</v>
      </c>
      <c r="E1744">
        <v>2</v>
      </c>
      <c r="F1744" s="2" t="s">
        <v>1</v>
      </c>
      <c r="G1744">
        <v>2</v>
      </c>
      <c r="H1744">
        <v>30.5</v>
      </c>
      <c r="I1744" s="2" t="s">
        <v>0</v>
      </c>
      <c r="J1744">
        <v>2</v>
      </c>
      <c r="K1744" s="2" t="s">
        <v>1</v>
      </c>
      <c r="L1744">
        <v>1</v>
      </c>
      <c r="M1744">
        <v>29.5</v>
      </c>
      <c r="N1744" s="2" t="s">
        <v>516</v>
      </c>
      <c r="O1744" t="str">
        <f>D1744&amp;"-"&amp;E1744&amp;"-"&amp;F1744&amp;"-"&amp;G1744&amp;"-"&amp;H1744</f>
        <v>X-2-f-2-30.5</v>
      </c>
      <c r="P1744" t="str">
        <f>I1744&amp;"-"&amp;J1744&amp;"-"&amp;K1744&amp;"-"&amp;L1744&amp;"-"&amp;M1744</f>
        <v>X-2-f-1-29.5</v>
      </c>
      <c r="Q1744">
        <f>A1744+R1744</f>
        <v>5625.1057340000007</v>
      </c>
      <c r="R1744">
        <f>_xlfn.IFNA(VLOOKUP(P1744,PGOPHER!A$2:G$181,7,FALSE),_xlfn.IFNA(VLOOKUP(P1744,en!A$2:I$768,7,FALSE),-10000))</f>
        <v>4361.4935340000002</v>
      </c>
      <c r="S1744">
        <f>IF(O1744=O1743,Q1743+S1743,Q1744)</f>
        <v>5625.1057340000007</v>
      </c>
      <c r="T1744">
        <f>IF(O1744=O1743,T1743+1,1)</f>
        <v>1</v>
      </c>
      <c r="U1744">
        <f>IF(O1744=O1745,"",S1744/T1744)</f>
        <v>5625.1057340000007</v>
      </c>
      <c r="V1744" t="str">
        <f>IF(U1744="","",IF(ABS(Q1744-U1744)&gt;V$1,"error",""))</f>
        <v/>
      </c>
    </row>
    <row r="1745" spans="1:22" x14ac:dyDescent="0.55000000000000004">
      <c r="A1745">
        <v>1303.1187</v>
      </c>
      <c r="B1745" s="1">
        <v>1E-3</v>
      </c>
      <c r="C1745" s="1">
        <v>1E-3</v>
      </c>
      <c r="D1745" s="2" t="s">
        <v>0</v>
      </c>
      <c r="E1745">
        <v>1</v>
      </c>
      <c r="F1745" s="2" t="s">
        <v>2</v>
      </c>
      <c r="G1745">
        <v>1</v>
      </c>
      <c r="H1745">
        <v>31.5</v>
      </c>
      <c r="I1745" s="2" t="s">
        <v>0</v>
      </c>
      <c r="J1745">
        <v>1</v>
      </c>
      <c r="K1745" s="2" t="s">
        <v>2</v>
      </c>
      <c r="L1745">
        <v>0</v>
      </c>
      <c r="M1745">
        <v>30.5</v>
      </c>
      <c r="N1745" s="2" t="s">
        <v>367</v>
      </c>
      <c r="O1745" t="str">
        <f>D1745&amp;"-"&amp;E1745&amp;"-"&amp;F1745&amp;"-"&amp;G1745&amp;"-"&amp;H1745</f>
        <v>X-1-e-1-31.5</v>
      </c>
      <c r="P1745" t="str">
        <f>I1745&amp;"-"&amp;J1745&amp;"-"&amp;K1745&amp;"-"&amp;L1745&amp;"-"&amp;M1745</f>
        <v>X-1-e-0-30.5</v>
      </c>
      <c r="Q1745">
        <f>A1745+R1745</f>
        <v>4569.5927279999996</v>
      </c>
      <c r="R1745">
        <f>_xlfn.IFNA(VLOOKUP(P1745,PGOPHER!A$2:G$181,7,FALSE),_xlfn.IFNA(VLOOKUP(P1745,en!A$2:I$768,7,FALSE),-10000))</f>
        <v>3266.4740280000001</v>
      </c>
      <c r="S1745">
        <f>IF(O1745=O1744,Q1744+S1744,Q1745)</f>
        <v>4569.5927279999996</v>
      </c>
      <c r="T1745">
        <f>IF(O1745=O1744,T1744+1,1)</f>
        <v>1</v>
      </c>
      <c r="U1745" t="str">
        <f>IF(O1745=O1746,"",S1745/T1745)</f>
        <v/>
      </c>
      <c r="V1745" t="str">
        <f>IF(U1745="","",IF(ABS(Q1745-U1745)&gt;V$1,"error",""))</f>
        <v/>
      </c>
    </row>
    <row r="1746" spans="1:22" x14ac:dyDescent="0.55000000000000004">
      <c r="A1746">
        <v>1303.1187199999999</v>
      </c>
      <c r="B1746" s="1">
        <v>1E-3</v>
      </c>
      <c r="C1746" s="1">
        <v>1E-3</v>
      </c>
      <c r="D1746" s="2" t="s">
        <v>0</v>
      </c>
      <c r="E1746">
        <v>1</v>
      </c>
      <c r="F1746" s="2" t="s">
        <v>2</v>
      </c>
      <c r="G1746">
        <v>1</v>
      </c>
      <c r="H1746">
        <v>31.5</v>
      </c>
      <c r="I1746" s="2" t="s">
        <v>0</v>
      </c>
      <c r="J1746">
        <v>1</v>
      </c>
      <c r="K1746" s="2" t="s">
        <v>2</v>
      </c>
      <c r="L1746">
        <v>0</v>
      </c>
      <c r="M1746">
        <v>30.5</v>
      </c>
      <c r="N1746" s="2" t="s">
        <v>369</v>
      </c>
      <c r="O1746" t="str">
        <f>D1746&amp;"-"&amp;E1746&amp;"-"&amp;F1746&amp;"-"&amp;G1746&amp;"-"&amp;H1746</f>
        <v>X-1-e-1-31.5</v>
      </c>
      <c r="P1746" t="str">
        <f>I1746&amp;"-"&amp;J1746&amp;"-"&amp;K1746&amp;"-"&amp;L1746&amp;"-"&amp;M1746</f>
        <v>X-1-e-0-30.5</v>
      </c>
      <c r="Q1746">
        <f>A1746+R1746</f>
        <v>4569.592748</v>
      </c>
      <c r="R1746">
        <f>_xlfn.IFNA(VLOOKUP(P1746,PGOPHER!A$2:G$181,7,FALSE),_xlfn.IFNA(VLOOKUP(P1746,en!A$2:I$768,7,FALSE),-10000))</f>
        <v>3266.4740280000001</v>
      </c>
      <c r="S1746">
        <f>IF(O1746=O1745,Q1745+S1745,Q1746)</f>
        <v>9139.1854559999992</v>
      </c>
      <c r="T1746">
        <f>IF(O1746=O1745,T1745+1,1)</f>
        <v>2</v>
      </c>
      <c r="U1746">
        <f>IF(O1746=O1747,"",S1746/T1746)</f>
        <v>4569.5927279999996</v>
      </c>
      <c r="V1746" t="str">
        <f>IF(U1746="","",IF(ABS(Q1746-U1746)&gt;V$1,"error",""))</f>
        <v/>
      </c>
    </row>
    <row r="1747" spans="1:22" x14ac:dyDescent="0.55000000000000004">
      <c r="A1747">
        <v>1303.7997700000001</v>
      </c>
      <c r="B1747" s="1">
        <v>1E-3</v>
      </c>
      <c r="C1747" s="1">
        <v>1E-3</v>
      </c>
      <c r="D1747" s="2" t="s">
        <v>0</v>
      </c>
      <c r="E1747">
        <v>2</v>
      </c>
      <c r="F1747" s="2" t="s">
        <v>1</v>
      </c>
      <c r="G1747">
        <v>1</v>
      </c>
      <c r="H1747">
        <v>31.5</v>
      </c>
      <c r="I1747" s="2" t="s">
        <v>0</v>
      </c>
      <c r="J1747">
        <v>2</v>
      </c>
      <c r="K1747" s="2" t="s">
        <v>1</v>
      </c>
      <c r="L1747">
        <v>0</v>
      </c>
      <c r="M1747">
        <v>30.5</v>
      </c>
      <c r="N1747" s="2" t="s">
        <v>370</v>
      </c>
      <c r="O1747" t="str">
        <f>D1747&amp;"-"&amp;E1747&amp;"-"&amp;F1747&amp;"-"&amp;G1747&amp;"-"&amp;H1747</f>
        <v>X-2-f-1-31.5</v>
      </c>
      <c r="P1747" t="str">
        <f>I1747&amp;"-"&amp;J1747&amp;"-"&amp;K1747&amp;"-"&amp;L1747&amp;"-"&amp;M1747</f>
        <v>X-2-f-0-30.5</v>
      </c>
      <c r="Q1747">
        <f>A1747+R1747</f>
        <v>4776.3826140000001</v>
      </c>
      <c r="R1747">
        <f>_xlfn.IFNA(VLOOKUP(P1747,PGOPHER!A$2:G$181,7,FALSE),_xlfn.IFNA(VLOOKUP(P1747,en!A$2:I$768,7,FALSE),-10000))</f>
        <v>3472.582844</v>
      </c>
      <c r="S1747">
        <f>IF(O1747=O1746,Q1746+S1746,Q1747)</f>
        <v>4776.3826140000001</v>
      </c>
      <c r="T1747">
        <f>IF(O1747=O1746,T1746+1,1)</f>
        <v>1</v>
      </c>
      <c r="U1747" t="str">
        <f>IF(O1747=O1748,"",S1747/T1747)</f>
        <v/>
      </c>
      <c r="V1747" t="str">
        <f>IF(U1747="","",IF(ABS(Q1747-U1747)&gt;V$1,"error",""))</f>
        <v/>
      </c>
    </row>
    <row r="1748" spans="1:22" x14ac:dyDescent="0.55000000000000004">
      <c r="A1748">
        <v>1303.7998</v>
      </c>
      <c r="B1748" s="1">
        <v>1E-3</v>
      </c>
      <c r="C1748" s="1">
        <v>1E-3</v>
      </c>
      <c r="D1748" s="2" t="s">
        <v>0</v>
      </c>
      <c r="E1748">
        <v>2</v>
      </c>
      <c r="F1748" s="2" t="s">
        <v>1</v>
      </c>
      <c r="G1748">
        <v>1</v>
      </c>
      <c r="H1748">
        <v>31.5</v>
      </c>
      <c r="I1748" s="2" t="s">
        <v>0</v>
      </c>
      <c r="J1748">
        <v>2</v>
      </c>
      <c r="K1748" s="2" t="s">
        <v>1</v>
      </c>
      <c r="L1748">
        <v>0</v>
      </c>
      <c r="M1748">
        <v>30.5</v>
      </c>
      <c r="N1748" s="2" t="s">
        <v>368</v>
      </c>
      <c r="O1748" t="str">
        <f>D1748&amp;"-"&amp;E1748&amp;"-"&amp;F1748&amp;"-"&amp;G1748&amp;"-"&amp;H1748</f>
        <v>X-2-f-1-31.5</v>
      </c>
      <c r="P1748" t="str">
        <f>I1748&amp;"-"&amp;J1748&amp;"-"&amp;K1748&amp;"-"&amp;L1748&amp;"-"&amp;M1748</f>
        <v>X-2-f-0-30.5</v>
      </c>
      <c r="Q1748">
        <f>A1748+R1748</f>
        <v>4776.3826440000003</v>
      </c>
      <c r="R1748">
        <f>_xlfn.IFNA(VLOOKUP(P1748,PGOPHER!A$2:G$181,7,FALSE),_xlfn.IFNA(VLOOKUP(P1748,en!A$2:I$768,7,FALSE),-10000))</f>
        <v>3472.582844</v>
      </c>
      <c r="S1748">
        <f>IF(O1748=O1747,Q1747+S1747,Q1748)</f>
        <v>9552.7652280000002</v>
      </c>
      <c r="T1748">
        <f>IF(O1748=O1747,T1747+1,1)</f>
        <v>2</v>
      </c>
      <c r="U1748">
        <f>IF(O1748=O1749,"",S1748/T1748)</f>
        <v>4776.3826140000001</v>
      </c>
      <c r="V1748" t="str">
        <f>IF(U1748="","",IF(ABS(Q1748-U1748)&gt;V$1,"error",""))</f>
        <v/>
      </c>
    </row>
    <row r="1749" spans="1:22" x14ac:dyDescent="0.55000000000000004">
      <c r="A1749">
        <v>1303.75926</v>
      </c>
      <c r="B1749" s="1">
        <v>2E-3</v>
      </c>
      <c r="C1749" s="1">
        <v>2E-3</v>
      </c>
      <c r="D1749" s="2" t="s">
        <v>0</v>
      </c>
      <c r="E1749">
        <v>1</v>
      </c>
      <c r="F1749" s="2" t="s">
        <v>2</v>
      </c>
      <c r="G1749">
        <v>1</v>
      </c>
      <c r="H1749">
        <v>32.5</v>
      </c>
      <c r="I1749" s="2" t="s">
        <v>0</v>
      </c>
      <c r="J1749">
        <v>1</v>
      </c>
      <c r="K1749" s="2" t="s">
        <v>2</v>
      </c>
      <c r="L1749">
        <v>0</v>
      </c>
      <c r="M1749">
        <v>31.5</v>
      </c>
      <c r="N1749" s="2" t="s">
        <v>373</v>
      </c>
      <c r="O1749" t="str">
        <f>D1749&amp;"-"&amp;E1749&amp;"-"&amp;F1749&amp;"-"&amp;G1749&amp;"-"&amp;H1749</f>
        <v>X-1-e-1-32.5</v>
      </c>
      <c r="P1749" t="str">
        <f>I1749&amp;"-"&amp;J1749&amp;"-"&amp;K1749&amp;"-"&amp;L1749&amp;"-"&amp;M1749</f>
        <v>X-1-e-0-31.5</v>
      </c>
      <c r="Q1749">
        <f>A1749+R1749</f>
        <v>4779.8207659999998</v>
      </c>
      <c r="R1749">
        <f>_xlfn.IFNA(VLOOKUP(P1749,PGOPHER!A$2:G$181,7,FALSE),_xlfn.IFNA(VLOOKUP(P1749,en!A$2:I$768,7,FALSE),-10000))</f>
        <v>3476.061506</v>
      </c>
      <c r="S1749">
        <f>IF(O1749=O1748,Q1748+S1748,Q1749)</f>
        <v>4779.8207659999998</v>
      </c>
      <c r="T1749">
        <f>IF(O1749=O1748,T1748+1,1)</f>
        <v>1</v>
      </c>
      <c r="U1749" t="str">
        <f>IF(O1749=O1750,"",S1749/T1749)</f>
        <v/>
      </c>
      <c r="V1749" t="str">
        <f>IF(U1749="","",IF(ABS(Q1749-U1749)&gt;V$1,"error",""))</f>
        <v/>
      </c>
    </row>
    <row r="1750" spans="1:22" x14ac:dyDescent="0.55000000000000004">
      <c r="A1750">
        <v>1303.7592999999999</v>
      </c>
      <c r="B1750" s="1">
        <v>1E-3</v>
      </c>
      <c r="C1750" s="1">
        <v>1E-3</v>
      </c>
      <c r="D1750" s="2" t="s">
        <v>0</v>
      </c>
      <c r="E1750">
        <v>1</v>
      </c>
      <c r="F1750" s="2" t="s">
        <v>2</v>
      </c>
      <c r="G1750">
        <v>1</v>
      </c>
      <c r="H1750">
        <v>32.5</v>
      </c>
      <c r="I1750" s="2" t="s">
        <v>0</v>
      </c>
      <c r="J1750">
        <v>1</v>
      </c>
      <c r="K1750" s="2" t="s">
        <v>2</v>
      </c>
      <c r="L1750">
        <v>0</v>
      </c>
      <c r="M1750">
        <v>31.5</v>
      </c>
      <c r="N1750" s="2" t="s">
        <v>371</v>
      </c>
      <c r="O1750" t="str">
        <f>D1750&amp;"-"&amp;E1750&amp;"-"&amp;F1750&amp;"-"&amp;G1750&amp;"-"&amp;H1750</f>
        <v>X-1-e-1-32.5</v>
      </c>
      <c r="P1750" t="str">
        <f>I1750&amp;"-"&amp;J1750&amp;"-"&amp;K1750&amp;"-"&amp;L1750&amp;"-"&amp;M1750</f>
        <v>X-1-e-0-31.5</v>
      </c>
      <c r="Q1750">
        <f>A1750+R1750</f>
        <v>4779.8208059999997</v>
      </c>
      <c r="R1750">
        <f>_xlfn.IFNA(VLOOKUP(P1750,PGOPHER!A$2:G$181,7,FALSE),_xlfn.IFNA(VLOOKUP(P1750,en!A$2:I$768,7,FALSE),-10000))</f>
        <v>3476.061506</v>
      </c>
      <c r="S1750">
        <f>IF(O1750=O1749,Q1749+S1749,Q1750)</f>
        <v>9559.6415319999996</v>
      </c>
      <c r="T1750">
        <f>IF(O1750=O1749,T1749+1,1)</f>
        <v>2</v>
      </c>
      <c r="U1750">
        <f>IF(O1750=O1751,"",S1750/T1750)</f>
        <v>4779.8207659999998</v>
      </c>
      <c r="V1750" t="str">
        <f>IF(U1750="","",IF(ABS(Q1750-U1750)&gt;V$1,"error",""))</f>
        <v/>
      </c>
    </row>
    <row r="1751" spans="1:22" x14ac:dyDescent="0.55000000000000004">
      <c r="A1751">
        <v>1304.20027</v>
      </c>
      <c r="B1751" s="1">
        <v>1E-3</v>
      </c>
      <c r="C1751" s="1">
        <v>1E-3</v>
      </c>
      <c r="D1751" s="2" t="s">
        <v>0</v>
      </c>
      <c r="E1751">
        <v>2</v>
      </c>
      <c r="F1751" s="2" t="s">
        <v>1</v>
      </c>
      <c r="G1751">
        <v>1</v>
      </c>
      <c r="H1751">
        <v>32.5</v>
      </c>
      <c r="I1751" s="2" t="s">
        <v>0</v>
      </c>
      <c r="J1751">
        <v>2</v>
      </c>
      <c r="K1751" s="2" t="s">
        <v>1</v>
      </c>
      <c r="L1751">
        <v>0</v>
      </c>
      <c r="M1751">
        <v>31.5</v>
      </c>
      <c r="N1751" s="2" t="s">
        <v>374</v>
      </c>
      <c r="O1751" t="str">
        <f>D1751&amp;"-"&amp;E1751&amp;"-"&amp;F1751&amp;"-"&amp;G1751&amp;"-"&amp;H1751</f>
        <v>X-2-f-1-32.5</v>
      </c>
      <c r="P1751" t="str">
        <f>I1751&amp;"-"&amp;J1751&amp;"-"&amp;K1751&amp;"-"&amp;L1751&amp;"-"&amp;M1751</f>
        <v>X-2-f-0-31.5</v>
      </c>
      <c r="Q1751">
        <f>A1751+R1751</f>
        <v>4989.0140780000002</v>
      </c>
      <c r="R1751">
        <f>_xlfn.IFNA(VLOOKUP(P1751,PGOPHER!A$2:G$181,7,FALSE),_xlfn.IFNA(VLOOKUP(P1751,en!A$2:I$768,7,FALSE),-10000))</f>
        <v>3684.8138079999999</v>
      </c>
      <c r="S1751">
        <f>IF(O1751=O1750,Q1750+S1750,Q1751)</f>
        <v>4989.0140780000002</v>
      </c>
      <c r="T1751">
        <f>IF(O1751=O1750,T1750+1,1)</f>
        <v>1</v>
      </c>
      <c r="U1751" t="str">
        <f>IF(O1751=O1752,"",S1751/T1751)</f>
        <v/>
      </c>
      <c r="V1751" t="str">
        <f>IF(U1751="","",IF(ABS(Q1751-U1751)&gt;V$1,"error",""))</f>
        <v/>
      </c>
    </row>
    <row r="1752" spans="1:22" x14ac:dyDescent="0.55000000000000004">
      <c r="A1752">
        <v>1304.2003</v>
      </c>
      <c r="B1752" s="1">
        <v>1E-3</v>
      </c>
      <c r="C1752" s="1">
        <v>1E-3</v>
      </c>
      <c r="D1752" s="2" t="s">
        <v>0</v>
      </c>
      <c r="E1752">
        <v>2</v>
      </c>
      <c r="F1752" s="2" t="s">
        <v>1</v>
      </c>
      <c r="G1752">
        <v>1</v>
      </c>
      <c r="H1752">
        <v>32.5</v>
      </c>
      <c r="I1752" s="2" t="s">
        <v>0</v>
      </c>
      <c r="J1752">
        <v>2</v>
      </c>
      <c r="K1752" s="2" t="s">
        <v>1</v>
      </c>
      <c r="L1752">
        <v>0</v>
      </c>
      <c r="M1752">
        <v>31.5</v>
      </c>
      <c r="N1752" s="2" t="s">
        <v>372</v>
      </c>
      <c r="O1752" t="str">
        <f>D1752&amp;"-"&amp;E1752&amp;"-"&amp;F1752&amp;"-"&amp;G1752&amp;"-"&amp;H1752</f>
        <v>X-2-f-1-32.5</v>
      </c>
      <c r="P1752" t="str">
        <f>I1752&amp;"-"&amp;J1752&amp;"-"&amp;K1752&amp;"-"&amp;L1752&amp;"-"&amp;M1752</f>
        <v>X-2-f-0-31.5</v>
      </c>
      <c r="Q1752">
        <f>A1752+R1752</f>
        <v>4989.0141079999994</v>
      </c>
      <c r="R1752">
        <f>_xlfn.IFNA(VLOOKUP(P1752,PGOPHER!A$2:G$181,7,FALSE),_xlfn.IFNA(VLOOKUP(P1752,en!A$2:I$768,7,FALSE),-10000))</f>
        <v>3684.8138079999999</v>
      </c>
      <c r="S1752">
        <f>IF(O1752=O1751,Q1751+S1751,Q1752)</f>
        <v>9978.0281560000003</v>
      </c>
      <c r="T1752">
        <f>IF(O1752=O1751,T1751+1,1)</f>
        <v>2</v>
      </c>
      <c r="U1752">
        <f>IF(O1752=O1753,"",S1752/T1752)</f>
        <v>4989.0140780000002</v>
      </c>
      <c r="V1752" t="str">
        <f>IF(U1752="","",IF(ABS(Q1752-U1752)&gt;V$1,"error",""))</f>
        <v/>
      </c>
    </row>
    <row r="1753" spans="1:22" x14ac:dyDescent="0.55000000000000004">
      <c r="A1753">
        <v>1304.1538</v>
      </c>
      <c r="B1753" s="1">
        <v>1E-3</v>
      </c>
      <c r="C1753" s="1">
        <v>1E-3</v>
      </c>
      <c r="D1753" s="2" t="s">
        <v>0</v>
      </c>
      <c r="E1753">
        <v>1</v>
      </c>
      <c r="F1753" s="2" t="s">
        <v>2</v>
      </c>
      <c r="G1753">
        <v>1</v>
      </c>
      <c r="H1753">
        <v>33.5</v>
      </c>
      <c r="I1753" s="2" t="s">
        <v>0</v>
      </c>
      <c r="J1753">
        <v>1</v>
      </c>
      <c r="K1753" s="2" t="s">
        <v>2</v>
      </c>
      <c r="L1753">
        <v>0</v>
      </c>
      <c r="M1753">
        <v>32.5</v>
      </c>
      <c r="N1753" s="2" t="s">
        <v>375</v>
      </c>
      <c r="O1753" t="str">
        <f>D1753&amp;"-"&amp;E1753&amp;"-"&amp;F1753&amp;"-"&amp;G1753&amp;"-"&amp;H1753</f>
        <v>X-1-e-1-33.5</v>
      </c>
      <c r="P1753" t="str">
        <f>I1753&amp;"-"&amp;J1753&amp;"-"&amp;K1753&amp;"-"&amp;L1753&amp;"-"&amp;M1753</f>
        <v>X-1-e-0-32.5</v>
      </c>
      <c r="Q1753">
        <f>A1753+R1753</f>
        <v>4992.5129630000001</v>
      </c>
      <c r="R1753">
        <f>_xlfn.IFNA(VLOOKUP(P1753,PGOPHER!A$2:G$181,7,FALSE),_xlfn.IFNA(VLOOKUP(P1753,en!A$2:I$768,7,FALSE),-10000))</f>
        <v>3688.3591630000001</v>
      </c>
      <c r="S1753">
        <f>IF(O1753=O1752,Q1752+S1752,Q1753)</f>
        <v>4992.5129630000001</v>
      </c>
      <c r="T1753">
        <f>IF(O1753=O1752,T1752+1,1)</f>
        <v>1</v>
      </c>
      <c r="U1753" t="str">
        <f>IF(O1753=O1754,"",S1753/T1753)</f>
        <v/>
      </c>
      <c r="V1753" t="str">
        <f>IF(U1753="","",IF(ABS(Q1753-U1753)&gt;V$1,"error",""))</f>
        <v/>
      </c>
    </row>
    <row r="1754" spans="1:22" x14ac:dyDescent="0.55000000000000004">
      <c r="A1754">
        <v>1304.15382</v>
      </c>
      <c r="B1754" s="1">
        <v>1E-3</v>
      </c>
      <c r="C1754" s="1">
        <v>1E-3</v>
      </c>
      <c r="D1754" s="2" t="s">
        <v>0</v>
      </c>
      <c r="E1754">
        <v>1</v>
      </c>
      <c r="F1754" s="2" t="s">
        <v>2</v>
      </c>
      <c r="G1754">
        <v>1</v>
      </c>
      <c r="H1754">
        <v>33.5</v>
      </c>
      <c r="I1754" s="2" t="s">
        <v>0</v>
      </c>
      <c r="J1754">
        <v>1</v>
      </c>
      <c r="K1754" s="2" t="s">
        <v>2</v>
      </c>
      <c r="L1754">
        <v>0</v>
      </c>
      <c r="M1754">
        <v>32.5</v>
      </c>
      <c r="N1754" s="2" t="s">
        <v>377</v>
      </c>
      <c r="O1754" t="str">
        <f>D1754&amp;"-"&amp;E1754&amp;"-"&amp;F1754&amp;"-"&amp;G1754&amp;"-"&amp;H1754</f>
        <v>X-1-e-1-33.5</v>
      </c>
      <c r="P1754" t="str">
        <f>I1754&amp;"-"&amp;J1754&amp;"-"&amp;K1754&amp;"-"&amp;L1754&amp;"-"&amp;M1754</f>
        <v>X-1-e-0-32.5</v>
      </c>
      <c r="Q1754">
        <f>A1754+R1754</f>
        <v>4992.5129830000005</v>
      </c>
      <c r="R1754">
        <f>_xlfn.IFNA(VLOOKUP(P1754,PGOPHER!A$2:G$181,7,FALSE),_xlfn.IFNA(VLOOKUP(P1754,en!A$2:I$768,7,FALSE),-10000))</f>
        <v>3688.3591630000001</v>
      </c>
      <c r="S1754">
        <f>IF(O1754=O1753,Q1753+S1753,Q1754)</f>
        <v>9985.0259260000003</v>
      </c>
      <c r="T1754">
        <f>IF(O1754=O1753,T1753+1,1)</f>
        <v>2</v>
      </c>
      <c r="U1754">
        <f>IF(O1754=O1755,"",S1754/T1754)</f>
        <v>4992.5129630000001</v>
      </c>
      <c r="V1754" t="str">
        <f>IF(U1754="","",IF(ABS(Q1754-U1754)&gt;V$1,"error",""))</f>
        <v/>
      </c>
    </row>
    <row r="1755" spans="1:22" x14ac:dyDescent="0.55000000000000004">
      <c r="A1755">
        <v>1304.34869</v>
      </c>
      <c r="B1755" s="1">
        <v>1E-3</v>
      </c>
      <c r="C1755" s="1">
        <v>1E-3</v>
      </c>
      <c r="D1755" s="2" t="s">
        <v>0</v>
      </c>
      <c r="E1755">
        <v>2</v>
      </c>
      <c r="F1755" s="2" t="s">
        <v>1</v>
      </c>
      <c r="G1755">
        <v>1</v>
      </c>
      <c r="H1755">
        <v>33.5</v>
      </c>
      <c r="I1755" s="2" t="s">
        <v>0</v>
      </c>
      <c r="J1755">
        <v>2</v>
      </c>
      <c r="K1755" s="2" t="s">
        <v>1</v>
      </c>
      <c r="L1755">
        <v>0</v>
      </c>
      <c r="M1755">
        <v>32.5</v>
      </c>
      <c r="N1755" s="2" t="s">
        <v>378</v>
      </c>
      <c r="O1755" t="str">
        <f>D1755&amp;"-"&amp;E1755&amp;"-"&amp;F1755&amp;"-"&amp;G1755&amp;"-"&amp;H1755</f>
        <v>X-2-f-1-33.5</v>
      </c>
      <c r="P1755" t="str">
        <f>I1755&amp;"-"&amp;J1755&amp;"-"&amp;K1755&amp;"-"&amp;L1755&amp;"-"&amp;M1755</f>
        <v>X-2-f-0-32.5</v>
      </c>
      <c r="Q1755">
        <f>A1755+R1755</f>
        <v>5213.5301959999997</v>
      </c>
      <c r="R1755">
        <f>_xlfn.IFNA(VLOOKUP(P1755,PGOPHER!A$2:G$181,7,FALSE),_xlfn.IFNA(VLOOKUP(P1755,en!A$2:I$768,7,FALSE),-10000))</f>
        <v>3909.1815059999999</v>
      </c>
      <c r="S1755">
        <f>IF(O1755=O1754,Q1754+S1754,Q1755)</f>
        <v>5213.5301959999997</v>
      </c>
      <c r="T1755">
        <f>IF(O1755=O1754,T1754+1,1)</f>
        <v>1</v>
      </c>
      <c r="U1755" t="str">
        <f>IF(O1755=O1756,"",S1755/T1755)</f>
        <v/>
      </c>
      <c r="V1755" t="str">
        <f>IF(U1755="","",IF(ABS(Q1755-U1755)&gt;V$1,"error",""))</f>
        <v/>
      </c>
    </row>
    <row r="1756" spans="1:22" x14ac:dyDescent="0.55000000000000004">
      <c r="A1756">
        <v>1304.3487</v>
      </c>
      <c r="B1756" s="1">
        <v>1E-3</v>
      </c>
      <c r="C1756" s="1">
        <v>1E-3</v>
      </c>
      <c r="D1756" s="2" t="s">
        <v>0</v>
      </c>
      <c r="E1756">
        <v>2</v>
      </c>
      <c r="F1756" s="2" t="s">
        <v>1</v>
      </c>
      <c r="G1756">
        <v>1</v>
      </c>
      <c r="H1756">
        <v>33.5</v>
      </c>
      <c r="I1756" s="2" t="s">
        <v>0</v>
      </c>
      <c r="J1756">
        <v>2</v>
      </c>
      <c r="K1756" s="2" t="s">
        <v>1</v>
      </c>
      <c r="L1756">
        <v>0</v>
      </c>
      <c r="M1756">
        <v>32.5</v>
      </c>
      <c r="N1756" s="2" t="s">
        <v>376</v>
      </c>
      <c r="O1756" t="str">
        <f>D1756&amp;"-"&amp;E1756&amp;"-"&amp;F1756&amp;"-"&amp;G1756&amp;"-"&amp;H1756</f>
        <v>X-2-f-1-33.5</v>
      </c>
      <c r="P1756" t="str">
        <f>I1756&amp;"-"&amp;J1756&amp;"-"&amp;K1756&amp;"-"&amp;L1756&amp;"-"&amp;M1756</f>
        <v>X-2-f-0-32.5</v>
      </c>
      <c r="Q1756">
        <f>A1756+R1756</f>
        <v>5213.5302059999995</v>
      </c>
      <c r="R1756">
        <f>_xlfn.IFNA(VLOOKUP(P1756,PGOPHER!A$2:G$181,7,FALSE),_xlfn.IFNA(VLOOKUP(P1756,en!A$2:I$768,7,FALSE),-10000))</f>
        <v>3909.1815059999999</v>
      </c>
      <c r="S1756">
        <f>IF(O1756=O1755,Q1755+S1755,Q1756)</f>
        <v>10427.060391999999</v>
      </c>
      <c r="T1756">
        <f>IF(O1756=O1755,T1755+1,1)</f>
        <v>2</v>
      </c>
      <c r="U1756">
        <f>IF(O1756=O1757,"",S1756/T1756)</f>
        <v>5213.5301959999997</v>
      </c>
      <c r="V1756" t="str">
        <f>IF(U1756="","",IF(ABS(Q1756-U1756)&gt;V$1,"error",""))</f>
        <v/>
      </c>
    </row>
    <row r="1757" spans="1:22" x14ac:dyDescent="0.55000000000000004">
      <c r="A1757">
        <v>1304.2957699999999</v>
      </c>
      <c r="B1757" s="1">
        <v>1E-3</v>
      </c>
      <c r="C1757" s="1">
        <v>1E-3</v>
      </c>
      <c r="D1757" s="2" t="s">
        <v>0</v>
      </c>
      <c r="E1757">
        <v>1</v>
      </c>
      <c r="F1757" s="2" t="s">
        <v>2</v>
      </c>
      <c r="G1757">
        <v>1</v>
      </c>
      <c r="H1757">
        <v>34.5</v>
      </c>
      <c r="I1757" s="2" t="s">
        <v>0</v>
      </c>
      <c r="J1757">
        <v>1</v>
      </c>
      <c r="K1757" s="2" t="s">
        <v>2</v>
      </c>
      <c r="L1757">
        <v>0</v>
      </c>
      <c r="M1757">
        <v>33.5</v>
      </c>
      <c r="N1757" s="2" t="s">
        <v>381</v>
      </c>
      <c r="O1757" t="str">
        <f>D1757&amp;"-"&amp;E1757&amp;"-"&amp;F1757&amp;"-"&amp;G1757&amp;"-"&amp;H1757</f>
        <v>X-1-e-1-34.5</v>
      </c>
      <c r="P1757" t="str">
        <f>I1757&amp;"-"&amp;J1757&amp;"-"&amp;K1757&amp;"-"&amp;L1757&amp;"-"&amp;M1757</f>
        <v>X-1-e-0-33.5</v>
      </c>
      <c r="Q1757">
        <f>A1757+R1757</f>
        <v>5217.2369760000001</v>
      </c>
      <c r="R1757">
        <f>_xlfn.IFNA(VLOOKUP(P1757,PGOPHER!A$2:G$181,7,FALSE),_xlfn.IFNA(VLOOKUP(P1757,en!A$2:I$768,7,FALSE),-10000))</f>
        <v>3912.941206</v>
      </c>
      <c r="S1757">
        <f>IF(O1757=O1756,Q1756+S1756,Q1757)</f>
        <v>5217.2369760000001</v>
      </c>
      <c r="T1757">
        <f>IF(O1757=O1756,T1756+1,1)</f>
        <v>1</v>
      </c>
      <c r="U1757" t="str">
        <f>IF(O1757=O1758,"",S1757/T1757)</f>
        <v/>
      </c>
      <c r="V1757" t="str">
        <f>IF(U1757="","",IF(ABS(Q1757-U1757)&gt;V$1,"error",""))</f>
        <v/>
      </c>
    </row>
    <row r="1758" spans="1:22" x14ac:dyDescent="0.55000000000000004">
      <c r="A1758">
        <v>1304.2958000000001</v>
      </c>
      <c r="B1758" s="1">
        <v>1E-3</v>
      </c>
      <c r="C1758" s="1">
        <v>1E-3</v>
      </c>
      <c r="D1758" s="2" t="s">
        <v>0</v>
      </c>
      <c r="E1758">
        <v>1</v>
      </c>
      <c r="F1758" s="2" t="s">
        <v>2</v>
      </c>
      <c r="G1758">
        <v>1</v>
      </c>
      <c r="H1758">
        <v>34.5</v>
      </c>
      <c r="I1758" s="2" t="s">
        <v>0</v>
      </c>
      <c r="J1758">
        <v>1</v>
      </c>
      <c r="K1758" s="2" t="s">
        <v>2</v>
      </c>
      <c r="L1758">
        <v>0</v>
      </c>
      <c r="M1758">
        <v>33.5</v>
      </c>
      <c r="N1758" s="2" t="s">
        <v>379</v>
      </c>
      <c r="O1758" t="str">
        <f>D1758&amp;"-"&amp;E1758&amp;"-"&amp;F1758&amp;"-"&amp;G1758&amp;"-"&amp;H1758</f>
        <v>X-1-e-1-34.5</v>
      </c>
      <c r="P1758" t="str">
        <f>I1758&amp;"-"&amp;J1758&amp;"-"&amp;K1758&amp;"-"&amp;L1758&amp;"-"&amp;M1758</f>
        <v>X-1-e-0-33.5</v>
      </c>
      <c r="Q1758">
        <f>A1758+R1758</f>
        <v>5217.2370060000003</v>
      </c>
      <c r="R1758">
        <f>_xlfn.IFNA(VLOOKUP(P1758,PGOPHER!A$2:G$181,7,FALSE),_xlfn.IFNA(VLOOKUP(P1758,en!A$2:I$768,7,FALSE),-10000))</f>
        <v>3912.941206</v>
      </c>
      <c r="S1758">
        <f>IF(O1758=O1757,Q1757+S1757,Q1758)</f>
        <v>10434.473952</v>
      </c>
      <c r="T1758">
        <f>IF(O1758=O1757,T1757+1,1)</f>
        <v>2</v>
      </c>
      <c r="U1758">
        <f>IF(O1758=O1759,"",S1758/T1758)</f>
        <v>5217.2369760000001</v>
      </c>
      <c r="V1758" t="str">
        <f>IF(U1758="","",IF(ABS(Q1758-U1758)&gt;V$1,"error",""))</f>
        <v/>
      </c>
    </row>
    <row r="1759" spans="1:22" x14ac:dyDescent="0.55000000000000004">
      <c r="A1759">
        <v>1304.2402999999999</v>
      </c>
      <c r="B1759" s="1">
        <v>1E-3</v>
      </c>
      <c r="C1759" s="1">
        <v>1E-3</v>
      </c>
      <c r="D1759" s="2" t="s">
        <v>0</v>
      </c>
      <c r="E1759">
        <v>2</v>
      </c>
      <c r="F1759" s="2" t="s">
        <v>1</v>
      </c>
      <c r="G1759">
        <v>1</v>
      </c>
      <c r="H1759">
        <v>34.5</v>
      </c>
      <c r="I1759" s="2" t="s">
        <v>0</v>
      </c>
      <c r="J1759">
        <v>2</v>
      </c>
      <c r="K1759" s="2" t="s">
        <v>1</v>
      </c>
      <c r="L1759">
        <v>0</v>
      </c>
      <c r="M1759">
        <v>33.5</v>
      </c>
      <c r="N1759" s="2" t="s">
        <v>380</v>
      </c>
      <c r="O1759" t="str">
        <f>D1759&amp;"-"&amp;E1759&amp;"-"&amp;F1759&amp;"-"&amp;G1759&amp;"-"&amp;H1759</f>
        <v>X-2-f-1-34.5</v>
      </c>
      <c r="P1759" t="str">
        <f>I1759&amp;"-"&amp;J1759&amp;"-"&amp;K1759&amp;"-"&amp;L1759&amp;"-"&amp;M1759</f>
        <v>X-2-f-0-33.5</v>
      </c>
      <c r="Q1759">
        <f>A1759+R1759</f>
        <v>5436.8594630000007</v>
      </c>
      <c r="R1759">
        <f>_xlfn.IFNA(VLOOKUP(P1759,PGOPHER!A$2:G$181,7,FALSE),_xlfn.IFNA(VLOOKUP(P1759,en!A$2:I$768,7,FALSE),-10000))</f>
        <v>4132.6191630000003</v>
      </c>
      <c r="S1759">
        <f>IF(O1759=O1758,Q1758+S1758,Q1759)</f>
        <v>5436.8594630000007</v>
      </c>
      <c r="T1759">
        <f>IF(O1759=O1758,T1758+1,1)</f>
        <v>1</v>
      </c>
      <c r="U1759" t="str">
        <f>IF(O1759=O1760,"",S1759/T1759)</f>
        <v/>
      </c>
      <c r="V1759" t="str">
        <f>IF(U1759="","",IF(ABS(Q1759-U1759)&gt;V$1,"error",""))</f>
        <v/>
      </c>
    </row>
    <row r="1760" spans="1:22" x14ac:dyDescent="0.55000000000000004">
      <c r="A1760">
        <v>1304.2403400000001</v>
      </c>
      <c r="B1760" s="1">
        <v>1E-3</v>
      </c>
      <c r="C1760" s="1">
        <v>1E-3</v>
      </c>
      <c r="D1760" s="2" t="s">
        <v>0</v>
      </c>
      <c r="E1760">
        <v>2</v>
      </c>
      <c r="F1760" s="2" t="s">
        <v>1</v>
      </c>
      <c r="G1760">
        <v>1</v>
      </c>
      <c r="H1760">
        <v>34.5</v>
      </c>
      <c r="I1760" s="2" t="s">
        <v>0</v>
      </c>
      <c r="J1760">
        <v>2</v>
      </c>
      <c r="K1760" s="2" t="s">
        <v>1</v>
      </c>
      <c r="L1760">
        <v>0</v>
      </c>
      <c r="M1760">
        <v>33.5</v>
      </c>
      <c r="N1760" s="2" t="s">
        <v>382</v>
      </c>
      <c r="O1760" t="str">
        <f>D1760&amp;"-"&amp;E1760&amp;"-"&amp;F1760&amp;"-"&amp;G1760&amp;"-"&amp;H1760</f>
        <v>X-2-f-1-34.5</v>
      </c>
      <c r="P1760" t="str">
        <f>I1760&amp;"-"&amp;J1760&amp;"-"&amp;K1760&amp;"-"&amp;L1760&amp;"-"&amp;M1760</f>
        <v>X-2-f-0-33.5</v>
      </c>
      <c r="Q1760">
        <f>A1760+R1760</f>
        <v>5436.8595030000006</v>
      </c>
      <c r="R1760">
        <f>_xlfn.IFNA(VLOOKUP(P1760,PGOPHER!A$2:G$181,7,FALSE),_xlfn.IFNA(VLOOKUP(P1760,en!A$2:I$768,7,FALSE),-10000))</f>
        <v>4132.6191630000003</v>
      </c>
      <c r="S1760">
        <f>IF(O1760=O1759,Q1759+S1759,Q1760)</f>
        <v>10873.718926000001</v>
      </c>
      <c r="T1760">
        <f>IF(O1760=O1759,T1759+1,1)</f>
        <v>2</v>
      </c>
      <c r="U1760">
        <f>IF(O1760=O1761,"",S1760/T1760)</f>
        <v>5436.8594630000007</v>
      </c>
      <c r="V1760" t="str">
        <f>IF(U1760="","",IF(ABS(Q1760-U1760)&gt;V$1,"error",""))</f>
        <v/>
      </c>
    </row>
    <row r="1761" spans="1:22" x14ac:dyDescent="0.55000000000000004">
      <c r="A1761">
        <v>1304.1851799999999</v>
      </c>
      <c r="B1761" s="1">
        <v>2E-3</v>
      </c>
      <c r="C1761" s="1">
        <v>2E-3</v>
      </c>
      <c r="D1761" s="2" t="s">
        <v>0</v>
      </c>
      <c r="E1761">
        <v>1</v>
      </c>
      <c r="F1761" s="2" t="s">
        <v>2</v>
      </c>
      <c r="G1761">
        <v>1</v>
      </c>
      <c r="H1761">
        <v>35.5</v>
      </c>
      <c r="I1761" s="2" t="s">
        <v>0</v>
      </c>
      <c r="J1761">
        <v>1</v>
      </c>
      <c r="K1761" s="2" t="s">
        <v>2</v>
      </c>
      <c r="L1761">
        <v>0</v>
      </c>
      <c r="M1761">
        <v>34.5</v>
      </c>
      <c r="N1761" s="2" t="s">
        <v>385</v>
      </c>
      <c r="O1761" t="str">
        <f>D1761&amp;"-"&amp;E1761&amp;"-"&amp;F1761&amp;"-"&amp;G1761&amp;"-"&amp;H1761</f>
        <v>X-1-e-1-35.5</v>
      </c>
      <c r="P1761" t="str">
        <f>I1761&amp;"-"&amp;J1761&amp;"-"&amp;K1761&amp;"-"&amp;L1761&amp;"-"&amp;M1761</f>
        <v>X-1-e-0-34.5</v>
      </c>
      <c r="Q1761">
        <f>A1761+R1761</f>
        <v>5440.5946530000001</v>
      </c>
      <c r="R1761">
        <f>_xlfn.IFNA(VLOOKUP(P1761,PGOPHER!A$2:G$181,7,FALSE),_xlfn.IFNA(VLOOKUP(P1761,en!A$2:I$768,7,FALSE),-10000))</f>
        <v>4136.4094729999997</v>
      </c>
      <c r="S1761">
        <f>IF(O1761=O1760,Q1760+S1760,Q1761)</f>
        <v>5440.5946530000001</v>
      </c>
      <c r="T1761">
        <f>IF(O1761=O1760,T1760+1,1)</f>
        <v>1</v>
      </c>
      <c r="U1761" t="str">
        <f>IF(O1761=O1762,"",S1761/T1761)</f>
        <v/>
      </c>
      <c r="V1761" t="str">
        <f>IF(U1761="","",IF(ABS(Q1761-U1761)&gt;V$1,"error",""))</f>
        <v/>
      </c>
    </row>
    <row r="1762" spans="1:22" x14ac:dyDescent="0.55000000000000004">
      <c r="A1762">
        <v>1304.1851999999999</v>
      </c>
      <c r="B1762" s="1">
        <v>1E-3</v>
      </c>
      <c r="C1762" s="1">
        <v>1E-3</v>
      </c>
      <c r="D1762" s="2" t="s">
        <v>0</v>
      </c>
      <c r="E1762">
        <v>1</v>
      </c>
      <c r="F1762" s="2" t="s">
        <v>2</v>
      </c>
      <c r="G1762">
        <v>1</v>
      </c>
      <c r="H1762">
        <v>35.5</v>
      </c>
      <c r="I1762" s="2" t="s">
        <v>0</v>
      </c>
      <c r="J1762">
        <v>1</v>
      </c>
      <c r="K1762" s="2" t="s">
        <v>2</v>
      </c>
      <c r="L1762">
        <v>0</v>
      </c>
      <c r="M1762">
        <v>34.5</v>
      </c>
      <c r="N1762" s="2" t="s">
        <v>383</v>
      </c>
      <c r="O1762" t="str">
        <f>D1762&amp;"-"&amp;E1762&amp;"-"&amp;F1762&amp;"-"&amp;G1762&amp;"-"&amp;H1762</f>
        <v>X-1-e-1-35.5</v>
      </c>
      <c r="P1762" t="str">
        <f>I1762&amp;"-"&amp;J1762&amp;"-"&amp;K1762&amp;"-"&amp;L1762&amp;"-"&amp;M1762</f>
        <v>X-1-e-0-34.5</v>
      </c>
      <c r="Q1762">
        <f>A1762+R1762</f>
        <v>5440.5946729999996</v>
      </c>
      <c r="R1762">
        <f>_xlfn.IFNA(VLOOKUP(P1762,PGOPHER!A$2:G$181,7,FALSE),_xlfn.IFNA(VLOOKUP(P1762,en!A$2:I$768,7,FALSE),-10000))</f>
        <v>4136.4094729999997</v>
      </c>
      <c r="S1762">
        <f>IF(O1762=O1761,Q1761+S1761,Q1762)</f>
        <v>10881.189306</v>
      </c>
      <c r="T1762">
        <f>IF(O1762=O1761,T1761+1,1)</f>
        <v>2</v>
      </c>
      <c r="U1762">
        <f>IF(O1762=O1763,"",S1762/T1762)</f>
        <v>5440.5946530000001</v>
      </c>
      <c r="V1762" t="str">
        <f>IF(U1762="","",IF(ABS(Q1762-U1762)&gt;V$1,"error",""))</f>
        <v/>
      </c>
    </row>
    <row r="1763" spans="1:22" x14ac:dyDescent="0.55000000000000004">
      <c r="A1763">
        <v>1303.8752999999999</v>
      </c>
      <c r="B1763" s="1">
        <v>1E-3</v>
      </c>
      <c r="C1763" s="1">
        <v>1E-3</v>
      </c>
      <c r="D1763" s="2" t="s">
        <v>0</v>
      </c>
      <c r="E1763">
        <v>2</v>
      </c>
      <c r="F1763" s="2" t="s">
        <v>1</v>
      </c>
      <c r="G1763">
        <v>1</v>
      </c>
      <c r="H1763">
        <v>35.5</v>
      </c>
      <c r="I1763" s="2" t="s">
        <v>0</v>
      </c>
      <c r="J1763">
        <v>2</v>
      </c>
      <c r="K1763" s="2" t="s">
        <v>1</v>
      </c>
      <c r="L1763">
        <v>0</v>
      </c>
      <c r="M1763">
        <v>34.5</v>
      </c>
      <c r="N1763" s="2" t="s">
        <v>384</v>
      </c>
      <c r="O1763" t="str">
        <f>D1763&amp;"-"&amp;E1763&amp;"-"&amp;F1763&amp;"-"&amp;G1763&amp;"-"&amp;H1763</f>
        <v>X-2-f-1-35.5</v>
      </c>
      <c r="P1763" t="str">
        <f>I1763&amp;"-"&amp;J1763&amp;"-"&amp;K1763&amp;"-"&amp;L1763&amp;"-"&amp;M1763</f>
        <v>X-2-f-0-34.5</v>
      </c>
      <c r="Q1763">
        <f>A1763+R1763</f>
        <v>5671.9165059999996</v>
      </c>
      <c r="R1763">
        <f>_xlfn.IFNA(VLOOKUP(P1763,PGOPHER!A$2:G$181,7,FALSE),_xlfn.IFNA(VLOOKUP(P1763,en!A$2:I$768,7,FALSE),-10000))</f>
        <v>4368.0412059999999</v>
      </c>
      <c r="S1763">
        <f>IF(O1763=O1762,Q1762+S1762,Q1763)</f>
        <v>5671.9165059999996</v>
      </c>
      <c r="T1763">
        <f>IF(O1763=O1762,T1762+1,1)</f>
        <v>1</v>
      </c>
      <c r="U1763" t="str">
        <f>IF(O1763=O1764,"",S1763/T1763)</f>
        <v/>
      </c>
      <c r="V1763" t="str">
        <f>IF(U1763="","",IF(ABS(Q1763-U1763)&gt;V$1,"error",""))</f>
        <v/>
      </c>
    </row>
    <row r="1764" spans="1:22" x14ac:dyDescent="0.55000000000000004">
      <c r="A1764">
        <v>1303.8752999999999</v>
      </c>
      <c r="B1764" s="1">
        <v>5.0000000000000001E-3</v>
      </c>
      <c r="C1764" s="1">
        <v>5.0000000000000001E-3</v>
      </c>
      <c r="D1764" s="2" t="s">
        <v>0</v>
      </c>
      <c r="E1764">
        <v>2</v>
      </c>
      <c r="F1764" s="2" t="s">
        <v>1</v>
      </c>
      <c r="G1764">
        <v>1</v>
      </c>
      <c r="H1764">
        <v>35.5</v>
      </c>
      <c r="I1764" s="2" t="s">
        <v>0</v>
      </c>
      <c r="J1764">
        <v>2</v>
      </c>
      <c r="K1764" s="2" t="s">
        <v>1</v>
      </c>
      <c r="L1764">
        <v>0</v>
      </c>
      <c r="M1764">
        <v>34.5</v>
      </c>
      <c r="N1764" s="2" t="s">
        <v>386</v>
      </c>
      <c r="O1764" t="str">
        <f>D1764&amp;"-"&amp;E1764&amp;"-"&amp;F1764&amp;"-"&amp;G1764&amp;"-"&amp;H1764</f>
        <v>X-2-f-1-35.5</v>
      </c>
      <c r="P1764" t="str">
        <f>I1764&amp;"-"&amp;J1764&amp;"-"&amp;K1764&amp;"-"&amp;L1764&amp;"-"&amp;M1764</f>
        <v>X-2-f-0-34.5</v>
      </c>
      <c r="Q1764">
        <f>A1764+R1764</f>
        <v>5671.9165059999996</v>
      </c>
      <c r="R1764">
        <f>_xlfn.IFNA(VLOOKUP(P1764,PGOPHER!A$2:G$181,7,FALSE),_xlfn.IFNA(VLOOKUP(P1764,en!A$2:I$768,7,FALSE),-10000))</f>
        <v>4368.0412059999999</v>
      </c>
      <c r="S1764">
        <f>IF(O1764=O1763,Q1763+S1763,Q1764)</f>
        <v>11343.833011999999</v>
      </c>
      <c r="T1764">
        <f>IF(O1764=O1763,T1763+1,1)</f>
        <v>2</v>
      </c>
      <c r="U1764">
        <f>IF(O1764=O1765,"",S1764/T1764)</f>
        <v>5671.9165059999996</v>
      </c>
      <c r="V1764" t="str">
        <f>IF(U1764="","",IF(ABS(Q1764-U1764)&gt;V$1,"error",""))</f>
        <v/>
      </c>
    </row>
    <row r="1765" spans="1:22" x14ac:dyDescent="0.55000000000000004">
      <c r="A1765">
        <v>1303.8151600000001</v>
      </c>
      <c r="B1765" s="1">
        <v>1E-3</v>
      </c>
      <c r="C1765" s="1">
        <v>1E-3</v>
      </c>
      <c r="D1765" s="2" t="s">
        <v>0</v>
      </c>
      <c r="E1765">
        <v>1</v>
      </c>
      <c r="F1765" s="2" t="s">
        <v>2</v>
      </c>
      <c r="G1765">
        <v>1</v>
      </c>
      <c r="H1765">
        <v>36.5</v>
      </c>
      <c r="I1765" s="2" t="s">
        <v>0</v>
      </c>
      <c r="J1765">
        <v>1</v>
      </c>
      <c r="K1765" s="2" t="s">
        <v>2</v>
      </c>
      <c r="L1765">
        <v>0</v>
      </c>
      <c r="M1765">
        <v>35.5</v>
      </c>
      <c r="N1765" s="2" t="s">
        <v>388</v>
      </c>
      <c r="O1765" t="str">
        <f>D1765&amp;"-"&amp;E1765&amp;"-"&amp;F1765&amp;"-"&amp;G1765&amp;"-"&amp;H1765</f>
        <v>X-1-e-1-36.5</v>
      </c>
      <c r="P1765" t="str">
        <f>I1765&amp;"-"&amp;J1765&amp;"-"&amp;K1765&amp;"-"&amp;L1765&amp;"-"&amp;M1765</f>
        <v>X-1-e-0-35.5</v>
      </c>
      <c r="Q1765">
        <f>A1765+R1765</f>
        <v>5675.7527259999997</v>
      </c>
      <c r="R1765">
        <f>_xlfn.IFNA(VLOOKUP(P1765,PGOPHER!A$2:G$181,7,FALSE),_xlfn.IFNA(VLOOKUP(P1765,en!A$2:I$768,7,FALSE),-10000))</f>
        <v>4371.9375659999996</v>
      </c>
      <c r="S1765">
        <f>IF(O1765=O1764,Q1764+S1764,Q1765)</f>
        <v>5675.7527259999997</v>
      </c>
      <c r="T1765">
        <f>IF(O1765=O1764,T1764+1,1)</f>
        <v>1</v>
      </c>
      <c r="U1765" t="str">
        <f>IF(O1765=O1766,"",S1765/T1765)</f>
        <v/>
      </c>
      <c r="V1765" t="str">
        <f>IF(U1765="","",IF(ABS(Q1765-U1765)&gt;V$1,"error",""))</f>
        <v/>
      </c>
    </row>
    <row r="1766" spans="1:22" x14ac:dyDescent="0.55000000000000004">
      <c r="A1766">
        <v>1303.8152</v>
      </c>
      <c r="B1766" s="1">
        <v>1E-3</v>
      </c>
      <c r="C1766" s="1">
        <v>1E-3</v>
      </c>
      <c r="D1766" s="2" t="s">
        <v>0</v>
      </c>
      <c r="E1766">
        <v>1</v>
      </c>
      <c r="F1766" s="2" t="s">
        <v>2</v>
      </c>
      <c r="G1766">
        <v>1</v>
      </c>
      <c r="H1766">
        <v>36.5</v>
      </c>
      <c r="I1766" s="2" t="s">
        <v>0</v>
      </c>
      <c r="J1766">
        <v>1</v>
      </c>
      <c r="K1766" s="2" t="s">
        <v>2</v>
      </c>
      <c r="L1766">
        <v>0</v>
      </c>
      <c r="M1766">
        <v>35.5</v>
      </c>
      <c r="N1766" s="2" t="s">
        <v>387</v>
      </c>
      <c r="O1766" t="str">
        <f>D1766&amp;"-"&amp;E1766&amp;"-"&amp;F1766&amp;"-"&amp;G1766&amp;"-"&amp;H1766</f>
        <v>X-1-e-1-36.5</v>
      </c>
      <c r="P1766" t="str">
        <f>I1766&amp;"-"&amp;J1766&amp;"-"&amp;K1766&amp;"-"&amp;L1766&amp;"-"&amp;M1766</f>
        <v>X-1-e-0-35.5</v>
      </c>
      <c r="Q1766">
        <f>A1766+R1766</f>
        <v>5675.7527659999996</v>
      </c>
      <c r="R1766">
        <f>_xlfn.IFNA(VLOOKUP(P1766,PGOPHER!A$2:G$181,7,FALSE),_xlfn.IFNA(VLOOKUP(P1766,en!A$2:I$768,7,FALSE),-10000))</f>
        <v>4371.9375659999996</v>
      </c>
      <c r="S1766">
        <f>IF(O1766=O1765,Q1765+S1765,Q1766)</f>
        <v>11351.505451999999</v>
      </c>
      <c r="T1766">
        <f>IF(O1766=O1765,T1765+1,1)</f>
        <v>2</v>
      </c>
      <c r="U1766">
        <f>IF(O1766=O1767,"",S1766/T1766)</f>
        <v>5675.7527259999997</v>
      </c>
      <c r="V1766" t="str">
        <f>IF(U1766="","",IF(ABS(Q1766-U1766)&gt;V$1,"error",""))</f>
        <v/>
      </c>
    </row>
  </sheetData>
  <sortState xmlns:xlrd2="http://schemas.microsoft.com/office/spreadsheetml/2017/richdata2" ref="A2:V1769">
    <sortCondition ref="D2:D1769"/>
    <sortCondition ref="H2:H1769"/>
    <sortCondition ref="O2:O1769"/>
    <sortCondition ref="U2:U1769"/>
  </sortState>
  <conditionalFormatting sqref="U1:U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5B2A-5F2F-491F-BD75-17CBBE08F519}">
  <dimension ref="A1:I768"/>
  <sheetViews>
    <sheetView topLeftCell="A699" workbookViewId="0">
      <selection activeCell="A716" sqref="A716:XFD716"/>
    </sheetView>
  </sheetViews>
  <sheetFormatPr defaultRowHeight="14.4" x14ac:dyDescent="0.55000000000000004"/>
  <sheetData>
    <row r="1" spans="1:9" x14ac:dyDescent="0.55000000000000004">
      <c r="A1" t="s">
        <v>1643</v>
      </c>
      <c r="B1" t="s">
        <v>1633</v>
      </c>
      <c r="D1" t="s">
        <v>1631</v>
      </c>
      <c r="F1" t="s">
        <v>1630</v>
      </c>
      <c r="G1" t="s">
        <v>1795</v>
      </c>
      <c r="H1" t="s">
        <v>1628</v>
      </c>
    </row>
    <row r="2" spans="1:9" x14ac:dyDescent="0.55000000000000004">
      <c r="A2" t="str">
        <f>B2&amp;"-"&amp;C2&amp;"-"&amp;D2&amp;"-"&amp;E2&amp;"-"&amp;F2</f>
        <v>X-1-e-0-0.5</v>
      </c>
      <c r="B2" t="s">
        <v>0</v>
      </c>
      <c r="C2">
        <v>1</v>
      </c>
      <c r="D2" t="s">
        <v>2</v>
      </c>
      <c r="E2">
        <v>0</v>
      </c>
      <c r="F2">
        <v>0.5</v>
      </c>
      <c r="G2">
        <v>0</v>
      </c>
      <c r="H2">
        <v>0</v>
      </c>
      <c r="I2">
        <v>21</v>
      </c>
    </row>
    <row r="3" spans="1:9" x14ac:dyDescent="0.55000000000000004">
      <c r="A3" t="str">
        <f t="shared" ref="A3:A66" si="0">B3&amp;"-"&amp;C3&amp;"-"&amp;D3&amp;"-"&amp;E3&amp;"-"&amp;F3</f>
        <v>X-2-f-0-0.5</v>
      </c>
      <c r="B3" t="s">
        <v>0</v>
      </c>
      <c r="C3">
        <v>2</v>
      </c>
      <c r="D3" t="s">
        <v>1</v>
      </c>
      <c r="E3">
        <v>0</v>
      </c>
      <c r="F3">
        <v>0.5</v>
      </c>
      <c r="G3">
        <v>7.1423779999999999</v>
      </c>
      <c r="H3">
        <v>5.0000000000000004E-6</v>
      </c>
      <c r="I3">
        <v>2</v>
      </c>
    </row>
    <row r="4" spans="1:9" x14ac:dyDescent="0.55000000000000004">
      <c r="A4" t="str">
        <f t="shared" si="0"/>
        <v>X-1-e-1-0.5</v>
      </c>
      <c r="B4" t="s">
        <v>0</v>
      </c>
      <c r="C4">
        <v>1</v>
      </c>
      <c r="D4" t="s">
        <v>2</v>
      </c>
      <c r="E4">
        <v>1</v>
      </c>
      <c r="F4">
        <v>0.5</v>
      </c>
      <c r="G4">
        <v>1172.8050410000001</v>
      </c>
      <c r="H4">
        <v>2.5230000000000001E-3</v>
      </c>
      <c r="I4">
        <v>24</v>
      </c>
    </row>
    <row r="5" spans="1:9" x14ac:dyDescent="0.55000000000000004">
      <c r="A5" t="str">
        <f t="shared" si="0"/>
        <v>X-2-f-1-0.5</v>
      </c>
      <c r="B5" t="s">
        <v>0</v>
      </c>
      <c r="C5">
        <v>2</v>
      </c>
      <c r="D5" t="s">
        <v>1</v>
      </c>
      <c r="E5">
        <v>1</v>
      </c>
      <c r="F5">
        <v>0.5</v>
      </c>
      <c r="G5">
        <v>1179.7885819999999</v>
      </c>
      <c r="H5">
        <v>1.0150000000000001E-3</v>
      </c>
      <c r="I5">
        <v>3</v>
      </c>
    </row>
    <row r="6" spans="1:9" x14ac:dyDescent="0.55000000000000004">
      <c r="A6" t="str">
        <f t="shared" si="0"/>
        <v>X-1-e-2-0.5</v>
      </c>
      <c r="B6" t="s">
        <v>0</v>
      </c>
      <c r="C6">
        <v>1</v>
      </c>
      <c r="D6" t="s">
        <v>2</v>
      </c>
      <c r="E6">
        <v>2</v>
      </c>
      <c r="F6">
        <v>0.5</v>
      </c>
      <c r="G6">
        <v>2311.4505469999999</v>
      </c>
      <c r="H6">
        <v>2E-3</v>
      </c>
      <c r="I6">
        <v>22</v>
      </c>
    </row>
    <row r="7" spans="1:9" x14ac:dyDescent="0.55000000000000004">
      <c r="A7" t="str">
        <f t="shared" si="0"/>
        <v>X-2-f-2-0.5</v>
      </c>
      <c r="B7" t="s">
        <v>0</v>
      </c>
      <c r="C7">
        <v>2</v>
      </c>
      <c r="D7" t="s">
        <v>1</v>
      </c>
      <c r="E7">
        <v>2</v>
      </c>
      <c r="F7">
        <v>0.5</v>
      </c>
      <c r="G7">
        <v>2318.2804820000001</v>
      </c>
      <c r="H7">
        <v>1.5405E-2</v>
      </c>
      <c r="I7">
        <v>3</v>
      </c>
    </row>
    <row r="8" spans="1:9" x14ac:dyDescent="0.55000000000000004">
      <c r="A8" t="str">
        <f t="shared" si="0"/>
        <v>X-2-f-3-0.5</v>
      </c>
      <c r="B8" t="s">
        <v>0</v>
      </c>
      <c r="C8">
        <v>2</v>
      </c>
      <c r="D8" t="s">
        <v>1</v>
      </c>
      <c r="E8">
        <v>3</v>
      </c>
      <c r="F8">
        <v>0.5</v>
      </c>
      <c r="G8">
        <v>3422.5452380000002</v>
      </c>
      <c r="H8">
        <v>3.0149999999999999E-3</v>
      </c>
      <c r="I8">
        <v>22</v>
      </c>
    </row>
    <row r="9" spans="1:9" x14ac:dyDescent="0.55000000000000004">
      <c r="A9" t="str">
        <f t="shared" si="0"/>
        <v>A-1-f-0-0.5</v>
      </c>
      <c r="B9" t="s">
        <v>1121</v>
      </c>
      <c r="C9">
        <v>1</v>
      </c>
      <c r="D9" t="s">
        <v>1</v>
      </c>
      <c r="E9">
        <v>0</v>
      </c>
      <c r="F9">
        <v>0.5</v>
      </c>
      <c r="G9">
        <v>13360.954948000001</v>
      </c>
      <c r="H9">
        <v>9.3442999999999998E-2</v>
      </c>
      <c r="I9">
        <v>3</v>
      </c>
    </row>
    <row r="10" spans="1:9" x14ac:dyDescent="0.55000000000000004">
      <c r="A10" t="str">
        <f t="shared" si="0"/>
        <v>A-1-e-0-0.5</v>
      </c>
      <c r="B10" t="s">
        <v>1121</v>
      </c>
      <c r="C10">
        <v>1</v>
      </c>
      <c r="D10" t="s">
        <v>2</v>
      </c>
      <c r="E10">
        <v>0</v>
      </c>
      <c r="F10">
        <v>0.5</v>
      </c>
      <c r="G10">
        <v>13364.940354</v>
      </c>
      <c r="H10">
        <v>3.0778E-2</v>
      </c>
      <c r="I10">
        <v>21</v>
      </c>
    </row>
    <row r="11" spans="1:9" x14ac:dyDescent="0.55000000000000004">
      <c r="A11" t="str">
        <f t="shared" si="0"/>
        <v>B-1-e-0-0.5</v>
      </c>
      <c r="B11" t="s">
        <v>1515</v>
      </c>
      <c r="C11">
        <v>1</v>
      </c>
      <c r="D11" t="s">
        <v>2</v>
      </c>
      <c r="E11">
        <v>0</v>
      </c>
      <c r="F11">
        <v>0.5</v>
      </c>
      <c r="G11">
        <v>14352.628328999999</v>
      </c>
      <c r="H11">
        <v>1.001E-2</v>
      </c>
      <c r="I11">
        <v>3</v>
      </c>
    </row>
    <row r="12" spans="1:9" x14ac:dyDescent="0.55000000000000004">
      <c r="A12" t="str">
        <f t="shared" si="0"/>
        <v>E-1-e-0-0.5</v>
      </c>
      <c r="B12" t="s">
        <v>680</v>
      </c>
      <c r="C12">
        <v>1</v>
      </c>
      <c r="D12" t="s">
        <v>2</v>
      </c>
      <c r="E12">
        <v>0</v>
      </c>
      <c r="F12">
        <v>0.5</v>
      </c>
      <c r="G12">
        <v>18864.357324000001</v>
      </c>
      <c r="H12">
        <v>5.0049999999999999E-3</v>
      </c>
      <c r="I12">
        <v>22</v>
      </c>
    </row>
    <row r="13" spans="1:9" x14ac:dyDescent="0.55000000000000004">
      <c r="A13" t="str">
        <f t="shared" si="0"/>
        <v>E-1-f-0-0.5</v>
      </c>
      <c r="B13" t="s">
        <v>680</v>
      </c>
      <c r="C13">
        <v>1</v>
      </c>
      <c r="D13" t="s">
        <v>1</v>
      </c>
      <c r="E13">
        <v>0</v>
      </c>
      <c r="F13">
        <v>0.5</v>
      </c>
      <c r="G13">
        <v>18864.447812999999</v>
      </c>
      <c r="H13">
        <v>5.0000000000000001E-3</v>
      </c>
      <c r="I13">
        <v>3</v>
      </c>
    </row>
    <row r="14" spans="1:9" x14ac:dyDescent="0.55000000000000004">
      <c r="A14" t="str">
        <f t="shared" si="0"/>
        <v>E-1-f-1-0.5</v>
      </c>
      <c r="B14" t="s">
        <v>680</v>
      </c>
      <c r="C14">
        <v>1</v>
      </c>
      <c r="D14" t="s">
        <v>1</v>
      </c>
      <c r="E14">
        <v>1</v>
      </c>
      <c r="F14">
        <v>0.5</v>
      </c>
      <c r="G14">
        <v>20028.529880999999</v>
      </c>
      <c r="H14">
        <v>7.5230000000000002E-3</v>
      </c>
      <c r="I14">
        <v>22</v>
      </c>
    </row>
    <row r="15" spans="1:9" x14ac:dyDescent="0.55000000000000004">
      <c r="A15" t="str">
        <f t="shared" si="0"/>
        <v>X-1-e-0-1.5</v>
      </c>
      <c r="B15" t="s">
        <v>0</v>
      </c>
      <c r="C15">
        <v>1</v>
      </c>
      <c r="D15" t="s">
        <v>2</v>
      </c>
      <c r="E15">
        <v>0</v>
      </c>
      <c r="F15">
        <v>1.5</v>
      </c>
      <c r="G15">
        <v>7.3283290000000001</v>
      </c>
      <c r="H15">
        <v>1.0000000000000001E-5</v>
      </c>
      <c r="I15">
        <v>3</v>
      </c>
    </row>
    <row r="16" spans="1:9" x14ac:dyDescent="0.55000000000000004">
      <c r="A16" t="str">
        <f t="shared" si="0"/>
        <v>X-2-f-0-1.5</v>
      </c>
      <c r="B16" t="s">
        <v>0</v>
      </c>
      <c r="C16">
        <v>2</v>
      </c>
      <c r="D16" t="s">
        <v>1</v>
      </c>
      <c r="E16">
        <v>0</v>
      </c>
      <c r="F16">
        <v>1.5</v>
      </c>
      <c r="G16">
        <v>21.609895999999999</v>
      </c>
      <c r="H16">
        <v>1.5E-5</v>
      </c>
      <c r="I16">
        <v>24</v>
      </c>
    </row>
    <row r="17" spans="1:9" x14ac:dyDescent="0.55000000000000004">
      <c r="A17" t="str">
        <f t="shared" si="0"/>
        <v>X-1-e-1-1.5</v>
      </c>
      <c r="B17" t="s">
        <v>0</v>
      </c>
      <c r="C17">
        <v>1</v>
      </c>
      <c r="D17" t="s">
        <v>2</v>
      </c>
      <c r="E17">
        <v>1</v>
      </c>
      <c r="F17">
        <v>1.5</v>
      </c>
      <c r="G17">
        <v>1179.968535</v>
      </c>
      <c r="H17">
        <v>1E-3</v>
      </c>
      <c r="I17">
        <v>3</v>
      </c>
    </row>
    <row r="18" spans="1:9" x14ac:dyDescent="0.55000000000000004">
      <c r="A18" t="str">
        <f t="shared" si="0"/>
        <v>X-2-f-1-1.5</v>
      </c>
      <c r="B18" t="s">
        <v>0</v>
      </c>
      <c r="C18">
        <v>2</v>
      </c>
      <c r="D18" t="s">
        <v>1</v>
      </c>
      <c r="E18">
        <v>1</v>
      </c>
      <c r="F18">
        <v>1.5</v>
      </c>
      <c r="G18">
        <v>1193.9371249999999</v>
      </c>
      <c r="H18">
        <v>1.005E-3</v>
      </c>
      <c r="I18">
        <v>21</v>
      </c>
    </row>
    <row r="19" spans="1:9" x14ac:dyDescent="0.55000000000000004">
      <c r="A19" t="str">
        <f t="shared" si="0"/>
        <v>X-1-e-2-1.5</v>
      </c>
      <c r="B19" t="s">
        <v>0</v>
      </c>
      <c r="C19">
        <v>1</v>
      </c>
      <c r="D19" t="s">
        <v>2</v>
      </c>
      <c r="E19">
        <v>2</v>
      </c>
      <c r="F19">
        <v>1.5</v>
      </c>
      <c r="G19">
        <v>2318.4536979999998</v>
      </c>
      <c r="H19">
        <v>8.5000000000000006E-3</v>
      </c>
      <c r="I19">
        <v>3</v>
      </c>
    </row>
    <row r="20" spans="1:9" x14ac:dyDescent="0.55000000000000004">
      <c r="A20" t="str">
        <f t="shared" si="0"/>
        <v>X-2-f-2-1.5</v>
      </c>
      <c r="B20" t="s">
        <v>0</v>
      </c>
      <c r="C20">
        <v>2</v>
      </c>
      <c r="D20" t="s">
        <v>1</v>
      </c>
      <c r="E20">
        <v>2</v>
      </c>
      <c r="F20">
        <v>1.5</v>
      </c>
      <c r="G20">
        <v>2332.1079380000001</v>
      </c>
      <c r="H20">
        <v>2.0149999999999999E-3</v>
      </c>
      <c r="I20">
        <v>19</v>
      </c>
    </row>
    <row r="21" spans="1:9" x14ac:dyDescent="0.55000000000000004">
      <c r="A21" t="str">
        <f t="shared" si="0"/>
        <v>X-1-e-3-1.5</v>
      </c>
      <c r="B21" t="s">
        <v>0</v>
      </c>
      <c r="C21">
        <v>1</v>
      </c>
      <c r="D21" t="s">
        <v>2</v>
      </c>
      <c r="E21">
        <v>3</v>
      </c>
      <c r="F21">
        <v>1.5</v>
      </c>
      <c r="G21">
        <v>3422.7112579999998</v>
      </c>
      <c r="H21">
        <v>3.0000000000000001E-3</v>
      </c>
      <c r="I21">
        <v>3</v>
      </c>
    </row>
    <row r="22" spans="1:9" x14ac:dyDescent="0.55000000000000004">
      <c r="A22" t="str">
        <f t="shared" si="0"/>
        <v>X-2-f-3-1.5</v>
      </c>
      <c r="B22" t="s">
        <v>0</v>
      </c>
      <c r="C22">
        <v>2</v>
      </c>
      <c r="D22" t="s">
        <v>1</v>
      </c>
      <c r="E22">
        <v>3</v>
      </c>
      <c r="F22">
        <v>1.5</v>
      </c>
      <c r="G22">
        <v>3436.0471389999998</v>
      </c>
      <c r="H22">
        <v>2.9104999999999999E-2</v>
      </c>
      <c r="I22">
        <v>22</v>
      </c>
    </row>
    <row r="23" spans="1:9" x14ac:dyDescent="0.55000000000000004">
      <c r="A23" t="str">
        <f t="shared" si="0"/>
        <v>A-1-f-0-1.5</v>
      </c>
      <c r="B23" t="s">
        <v>1121</v>
      </c>
      <c r="C23">
        <v>1</v>
      </c>
      <c r="D23" t="s">
        <v>1</v>
      </c>
      <c r="E23">
        <v>0</v>
      </c>
      <c r="F23">
        <v>1.5</v>
      </c>
      <c r="G23">
        <v>13369.784729000001</v>
      </c>
      <c r="H23">
        <v>3.7006999999999998E-2</v>
      </c>
      <c r="I23">
        <v>3</v>
      </c>
    </row>
    <row r="24" spans="1:9" x14ac:dyDescent="0.55000000000000004">
      <c r="A24" t="str">
        <f t="shared" si="0"/>
        <v>A-1-e-0-1.5</v>
      </c>
      <c r="B24" t="s">
        <v>1121</v>
      </c>
      <c r="C24">
        <v>1</v>
      </c>
      <c r="D24" t="s">
        <v>2</v>
      </c>
      <c r="E24">
        <v>0</v>
      </c>
      <c r="F24">
        <v>1.5</v>
      </c>
      <c r="G24">
        <v>13377.977323999999</v>
      </c>
      <c r="H24">
        <v>1.0015E-2</v>
      </c>
      <c r="I24">
        <v>19</v>
      </c>
    </row>
    <row r="25" spans="1:9" x14ac:dyDescent="0.55000000000000004">
      <c r="A25" t="str">
        <f t="shared" si="0"/>
        <v>A-2-f-0-1.5</v>
      </c>
      <c r="B25" t="s">
        <v>1121</v>
      </c>
      <c r="C25">
        <v>2</v>
      </c>
      <c r="D25" t="s">
        <v>1</v>
      </c>
      <c r="E25">
        <v>0</v>
      </c>
      <c r="F25">
        <v>1.5</v>
      </c>
      <c r="G25">
        <v>13666.295910999999</v>
      </c>
      <c r="H25">
        <v>0.33228099999999999</v>
      </c>
      <c r="I25">
        <v>3</v>
      </c>
    </row>
    <row r="26" spans="1:9" x14ac:dyDescent="0.55000000000000004">
      <c r="A26" t="str">
        <f t="shared" si="0"/>
        <v>A-2-e-0-1.5</v>
      </c>
      <c r="B26" t="s">
        <v>1121</v>
      </c>
      <c r="C26">
        <v>2</v>
      </c>
      <c r="D26" t="s">
        <v>2</v>
      </c>
      <c r="E26">
        <v>0</v>
      </c>
      <c r="F26">
        <v>1.5</v>
      </c>
      <c r="G26">
        <v>13666.374798000001</v>
      </c>
      <c r="H26">
        <v>7.1623000000000006E-2</v>
      </c>
      <c r="I26">
        <v>22</v>
      </c>
    </row>
    <row r="27" spans="1:9" x14ac:dyDescent="0.55000000000000004">
      <c r="A27" t="str">
        <f t="shared" si="0"/>
        <v>B-1-e-0-1.5</v>
      </c>
      <c r="B27" t="s">
        <v>1515</v>
      </c>
      <c r="C27">
        <v>1</v>
      </c>
      <c r="D27" t="s">
        <v>2</v>
      </c>
      <c r="E27">
        <v>0</v>
      </c>
      <c r="F27">
        <v>1.5</v>
      </c>
      <c r="G27">
        <v>14357.56985</v>
      </c>
      <c r="H27">
        <v>0.39583499999999999</v>
      </c>
      <c r="I27">
        <v>3</v>
      </c>
    </row>
    <row r="28" spans="1:9" x14ac:dyDescent="0.55000000000000004">
      <c r="A28" t="str">
        <f t="shared" si="0"/>
        <v>B-2-f-0-1.5</v>
      </c>
      <c r="B28" t="s">
        <v>1515</v>
      </c>
      <c r="C28">
        <v>2</v>
      </c>
      <c r="D28" t="s">
        <v>1</v>
      </c>
      <c r="E28">
        <v>0</v>
      </c>
      <c r="F28">
        <v>1.5</v>
      </c>
      <c r="G28">
        <v>14373.283493000001</v>
      </c>
      <c r="H28">
        <v>1.2005E-2</v>
      </c>
      <c r="I28">
        <v>19</v>
      </c>
    </row>
    <row r="29" spans="1:9" x14ac:dyDescent="0.55000000000000004">
      <c r="A29" t="str">
        <f t="shared" si="0"/>
        <v>B-1-e-1-1.5</v>
      </c>
      <c r="B29" t="s">
        <v>1515</v>
      </c>
      <c r="C29">
        <v>1</v>
      </c>
      <c r="D29" t="s">
        <v>2</v>
      </c>
      <c r="E29">
        <v>1</v>
      </c>
      <c r="F29">
        <v>1.5</v>
      </c>
      <c r="G29">
        <v>15550.790929999999</v>
      </c>
      <c r="H29">
        <v>8.2847000000000004E-2</v>
      </c>
      <c r="I29">
        <v>3</v>
      </c>
    </row>
    <row r="30" spans="1:9" x14ac:dyDescent="0.55000000000000004">
      <c r="A30" t="str">
        <f t="shared" si="0"/>
        <v>B-2-f-1-1.5</v>
      </c>
      <c r="B30" t="s">
        <v>1515</v>
      </c>
      <c r="C30">
        <v>2</v>
      </c>
      <c r="D30" t="s">
        <v>1</v>
      </c>
      <c r="E30">
        <v>1</v>
      </c>
      <c r="F30">
        <v>1.5</v>
      </c>
      <c r="G30">
        <v>15573.380256</v>
      </c>
      <c r="H30">
        <v>0.45250800000000002</v>
      </c>
      <c r="I30">
        <v>19</v>
      </c>
    </row>
    <row r="31" spans="1:9" x14ac:dyDescent="0.55000000000000004">
      <c r="A31" t="str">
        <f t="shared" si="0"/>
        <v>E-1-e-0-1.5</v>
      </c>
      <c r="B31" t="s">
        <v>680</v>
      </c>
      <c r="C31">
        <v>1</v>
      </c>
      <c r="D31" t="s">
        <v>2</v>
      </c>
      <c r="E31">
        <v>0</v>
      </c>
      <c r="F31">
        <v>1.5</v>
      </c>
      <c r="G31">
        <v>18875.121163</v>
      </c>
      <c r="H31">
        <v>5.0150000000000004E-3</v>
      </c>
      <c r="I31">
        <v>3</v>
      </c>
    </row>
    <row r="32" spans="1:9" x14ac:dyDescent="0.55000000000000004">
      <c r="A32" t="str">
        <f t="shared" si="0"/>
        <v>E-1-f-0-1.5</v>
      </c>
      <c r="B32" t="s">
        <v>680</v>
      </c>
      <c r="C32">
        <v>1</v>
      </c>
      <c r="D32" t="s">
        <v>1</v>
      </c>
      <c r="E32">
        <v>0</v>
      </c>
      <c r="F32">
        <v>1.5</v>
      </c>
      <c r="G32">
        <v>18875.294639</v>
      </c>
      <c r="H32">
        <v>5.0099999999999997E-3</v>
      </c>
      <c r="I32">
        <v>19</v>
      </c>
    </row>
    <row r="33" spans="1:9" x14ac:dyDescent="0.55000000000000004">
      <c r="A33" t="str">
        <f t="shared" si="0"/>
        <v>E-2-f-0-1.5</v>
      </c>
      <c r="B33" t="s">
        <v>680</v>
      </c>
      <c r="C33">
        <v>2</v>
      </c>
      <c r="D33" t="s">
        <v>1</v>
      </c>
      <c r="E33">
        <v>0</v>
      </c>
      <c r="F33">
        <v>1.5</v>
      </c>
      <c r="G33">
        <v>18979.63637</v>
      </c>
      <c r="H33">
        <v>1.5004999999999999E-2</v>
      </c>
      <c r="I33">
        <v>3</v>
      </c>
    </row>
    <row r="34" spans="1:9" x14ac:dyDescent="0.55000000000000004">
      <c r="A34" t="str">
        <f t="shared" si="0"/>
        <v>E-2-e-0-1.5</v>
      </c>
      <c r="B34" t="s">
        <v>680</v>
      </c>
      <c r="C34">
        <v>2</v>
      </c>
      <c r="D34" t="s">
        <v>2</v>
      </c>
      <c r="E34">
        <v>0</v>
      </c>
      <c r="F34">
        <v>1.5</v>
      </c>
      <c r="G34">
        <v>18979.643923</v>
      </c>
      <c r="H34">
        <v>5.0150000000000004E-3</v>
      </c>
      <c r="I34">
        <v>19</v>
      </c>
    </row>
    <row r="35" spans="1:9" x14ac:dyDescent="0.55000000000000004">
      <c r="A35" t="str">
        <f t="shared" si="0"/>
        <v>E-1-e-1-1.5</v>
      </c>
      <c r="B35" t="s">
        <v>680</v>
      </c>
      <c r="C35">
        <v>1</v>
      </c>
      <c r="D35" t="s">
        <v>2</v>
      </c>
      <c r="E35">
        <v>1</v>
      </c>
      <c r="F35">
        <v>1.5</v>
      </c>
      <c r="G35">
        <v>20038.97364</v>
      </c>
      <c r="H35">
        <v>7.5230000000000002E-3</v>
      </c>
      <c r="I35">
        <v>3</v>
      </c>
    </row>
    <row r="36" spans="1:9" x14ac:dyDescent="0.55000000000000004">
      <c r="A36" t="str">
        <f t="shared" si="0"/>
        <v>E-1-f-1-1.5</v>
      </c>
      <c r="B36" t="s">
        <v>680</v>
      </c>
      <c r="C36">
        <v>1</v>
      </c>
      <c r="D36" t="s">
        <v>1</v>
      </c>
      <c r="E36">
        <v>1</v>
      </c>
      <c r="F36">
        <v>1.5</v>
      </c>
      <c r="G36">
        <v>20039.111704999999</v>
      </c>
      <c r="H36">
        <v>6.0000000000000001E-3</v>
      </c>
      <c r="I36">
        <v>18</v>
      </c>
    </row>
    <row r="37" spans="1:9" x14ac:dyDescent="0.55000000000000004">
      <c r="A37" t="str">
        <f t="shared" si="0"/>
        <v>E-2-e-1-1.5</v>
      </c>
      <c r="B37" t="s">
        <v>680</v>
      </c>
      <c r="C37">
        <v>2</v>
      </c>
      <c r="D37" t="s">
        <v>2</v>
      </c>
      <c r="E37">
        <v>1</v>
      </c>
      <c r="F37">
        <v>1.5</v>
      </c>
      <c r="G37">
        <v>20147.234945</v>
      </c>
      <c r="H37">
        <v>6.0049999999999999E-3</v>
      </c>
      <c r="I37">
        <v>3</v>
      </c>
    </row>
    <row r="38" spans="1:9" x14ac:dyDescent="0.55000000000000004">
      <c r="A38" t="str">
        <f t="shared" si="0"/>
        <v>E-2-f-1-1.5</v>
      </c>
      <c r="B38" t="s">
        <v>680</v>
      </c>
      <c r="C38">
        <v>2</v>
      </c>
      <c r="D38" t="s">
        <v>1</v>
      </c>
      <c r="E38">
        <v>1</v>
      </c>
      <c r="F38">
        <v>1.5</v>
      </c>
      <c r="G38">
        <v>20147.235704999999</v>
      </c>
      <c r="H38">
        <v>1.6E-2</v>
      </c>
      <c r="I38">
        <v>17</v>
      </c>
    </row>
    <row r="39" spans="1:9" x14ac:dyDescent="0.55000000000000004">
      <c r="A39" t="str">
        <f t="shared" si="0"/>
        <v>X-1-e-0-2.5</v>
      </c>
      <c r="B39" t="s">
        <v>0</v>
      </c>
      <c r="C39">
        <v>1</v>
      </c>
      <c r="D39" t="s">
        <v>2</v>
      </c>
      <c r="E39">
        <v>0</v>
      </c>
      <c r="F39">
        <v>2.5</v>
      </c>
      <c r="G39">
        <v>21.919699999999999</v>
      </c>
      <c r="H39">
        <v>2.0000000000000002E-5</v>
      </c>
      <c r="I39">
        <v>3</v>
      </c>
    </row>
    <row r="40" spans="1:9" x14ac:dyDescent="0.55000000000000004">
      <c r="A40" t="str">
        <f t="shared" si="0"/>
        <v>X-2-f-0-2.5</v>
      </c>
      <c r="B40" t="s">
        <v>0</v>
      </c>
      <c r="C40">
        <v>2</v>
      </c>
      <c r="D40" t="s">
        <v>1</v>
      </c>
      <c r="E40">
        <v>0</v>
      </c>
      <c r="F40">
        <v>2.5</v>
      </c>
      <c r="G40">
        <v>43.333492999999997</v>
      </c>
      <c r="H40">
        <v>2.0049999999999998E-3</v>
      </c>
      <c r="I40">
        <v>17</v>
      </c>
    </row>
    <row r="41" spans="1:9" x14ac:dyDescent="0.55000000000000004">
      <c r="A41" t="str">
        <f t="shared" si="0"/>
        <v>X-1-e-1-2.5</v>
      </c>
      <c r="B41" t="s">
        <v>0</v>
      </c>
      <c r="C41">
        <v>1</v>
      </c>
      <c r="D41" t="s">
        <v>2</v>
      </c>
      <c r="E41">
        <v>1</v>
      </c>
      <c r="F41">
        <v>2.5</v>
      </c>
      <c r="G41">
        <v>1194.2368200000001</v>
      </c>
      <c r="H41">
        <v>1.01E-3</v>
      </c>
      <c r="I41">
        <v>3</v>
      </c>
    </row>
    <row r="42" spans="1:9" x14ac:dyDescent="0.55000000000000004">
      <c r="A42" t="str">
        <f t="shared" si="0"/>
        <v>X-2-f-1-2.5</v>
      </c>
      <c r="B42" t="s">
        <v>0</v>
      </c>
      <c r="C42">
        <v>2</v>
      </c>
      <c r="D42" t="s">
        <v>1</v>
      </c>
      <c r="E42">
        <v>1</v>
      </c>
      <c r="F42">
        <v>2.5</v>
      </c>
      <c r="G42">
        <v>1215.18193</v>
      </c>
      <c r="H42">
        <v>1.0150000000000001E-3</v>
      </c>
      <c r="I42">
        <v>16</v>
      </c>
    </row>
    <row r="43" spans="1:9" x14ac:dyDescent="0.55000000000000004">
      <c r="A43" t="str">
        <f t="shared" si="0"/>
        <v>X-1-e-2-2.5</v>
      </c>
      <c r="B43" t="s">
        <v>0</v>
      </c>
      <c r="C43">
        <v>1</v>
      </c>
      <c r="D43" t="s">
        <v>2</v>
      </c>
      <c r="E43">
        <v>2</v>
      </c>
      <c r="F43">
        <v>2.5</v>
      </c>
      <c r="G43">
        <v>2332.3964700000001</v>
      </c>
      <c r="H43">
        <v>2.0200000000000001E-3</v>
      </c>
      <c r="I43">
        <v>3</v>
      </c>
    </row>
    <row r="44" spans="1:9" x14ac:dyDescent="0.55000000000000004">
      <c r="A44" t="str">
        <f t="shared" si="0"/>
        <v>X-2-f-2-2.5</v>
      </c>
      <c r="B44" t="s">
        <v>0</v>
      </c>
      <c r="C44">
        <v>2</v>
      </c>
      <c r="D44" t="s">
        <v>1</v>
      </c>
      <c r="E44">
        <v>2</v>
      </c>
      <c r="F44">
        <v>2.5</v>
      </c>
      <c r="G44">
        <v>2352.870496</v>
      </c>
      <c r="H44">
        <v>1.4704999999999999E-2</v>
      </c>
      <c r="I44">
        <v>16</v>
      </c>
    </row>
    <row r="45" spans="1:9" x14ac:dyDescent="0.55000000000000004">
      <c r="A45" t="str">
        <f t="shared" si="0"/>
        <v>X-1-e-3-2.5</v>
      </c>
      <c r="B45" t="s">
        <v>0</v>
      </c>
      <c r="C45">
        <v>1</v>
      </c>
      <c r="D45" t="s">
        <v>2</v>
      </c>
      <c r="E45">
        <v>3</v>
      </c>
      <c r="F45">
        <v>2.5</v>
      </c>
      <c r="G45">
        <v>3436.327667</v>
      </c>
      <c r="H45">
        <v>2.3599999999999999E-2</v>
      </c>
      <c r="I45">
        <v>3</v>
      </c>
    </row>
    <row r="46" spans="1:9" x14ac:dyDescent="0.55000000000000004">
      <c r="A46" t="str">
        <f t="shared" si="0"/>
        <v>X-2-f-3-2.5</v>
      </c>
      <c r="B46" t="s">
        <v>0</v>
      </c>
      <c r="C46">
        <v>2</v>
      </c>
      <c r="D46" t="s">
        <v>1</v>
      </c>
      <c r="E46">
        <v>3</v>
      </c>
      <c r="F46">
        <v>2.5</v>
      </c>
      <c r="G46">
        <v>3456.3255039999999</v>
      </c>
      <c r="H46">
        <v>3.0149999999999999E-3</v>
      </c>
      <c r="I46">
        <v>15</v>
      </c>
    </row>
    <row r="47" spans="1:9" x14ac:dyDescent="0.55000000000000004">
      <c r="A47" t="str">
        <f t="shared" si="0"/>
        <v>A-1-f-0-2.5</v>
      </c>
      <c r="B47" t="s">
        <v>1121</v>
      </c>
      <c r="C47">
        <v>1</v>
      </c>
      <c r="D47" t="s">
        <v>1</v>
      </c>
      <c r="E47">
        <v>0</v>
      </c>
      <c r="F47">
        <v>2.5</v>
      </c>
      <c r="G47">
        <v>13386.144716999999</v>
      </c>
      <c r="H47">
        <v>1.0015E-2</v>
      </c>
      <c r="I47">
        <v>3</v>
      </c>
    </row>
    <row r="48" spans="1:9" x14ac:dyDescent="0.55000000000000004">
      <c r="A48" t="str">
        <f t="shared" si="0"/>
        <v>A-1-e-0-2.5</v>
      </c>
      <c r="B48" t="s">
        <v>1121</v>
      </c>
      <c r="C48">
        <v>1</v>
      </c>
      <c r="D48" t="s">
        <v>2</v>
      </c>
      <c r="E48">
        <v>0</v>
      </c>
      <c r="F48">
        <v>2.5</v>
      </c>
      <c r="G48">
        <v>13398.344811000001</v>
      </c>
      <c r="H48">
        <v>1.4607999999999999E-2</v>
      </c>
      <c r="I48">
        <v>13</v>
      </c>
    </row>
    <row r="49" spans="1:9" x14ac:dyDescent="0.55000000000000004">
      <c r="A49" t="str">
        <f t="shared" si="0"/>
        <v>A-2-f-0-2.5</v>
      </c>
      <c r="B49" t="s">
        <v>1121</v>
      </c>
      <c r="C49">
        <v>2</v>
      </c>
      <c r="D49" t="s">
        <v>1</v>
      </c>
      <c r="E49">
        <v>0</v>
      </c>
      <c r="F49">
        <v>2.5</v>
      </c>
      <c r="G49">
        <v>13684.729842000001</v>
      </c>
      <c r="H49">
        <v>1.0015E-2</v>
      </c>
      <c r="I49">
        <v>3</v>
      </c>
    </row>
    <row r="50" spans="1:9" x14ac:dyDescent="0.55000000000000004">
      <c r="A50" t="str">
        <f t="shared" si="0"/>
        <v>A-2-e-0-2.5</v>
      </c>
      <c r="B50" t="s">
        <v>1121</v>
      </c>
      <c r="C50">
        <v>2</v>
      </c>
      <c r="D50" t="s">
        <v>2</v>
      </c>
      <c r="E50">
        <v>0</v>
      </c>
      <c r="F50">
        <v>2.5</v>
      </c>
      <c r="G50">
        <v>13684.853408000001</v>
      </c>
      <c r="H50">
        <v>1.2005E-2</v>
      </c>
      <c r="I50">
        <v>13</v>
      </c>
    </row>
    <row r="51" spans="1:9" x14ac:dyDescent="0.55000000000000004">
      <c r="A51" t="str">
        <f t="shared" si="0"/>
        <v>B-1-e-0-2.5</v>
      </c>
      <c r="B51" t="s">
        <v>1515</v>
      </c>
      <c r="C51">
        <v>1</v>
      </c>
      <c r="D51" t="s">
        <v>2</v>
      </c>
      <c r="E51">
        <v>0</v>
      </c>
      <c r="F51">
        <v>2.5</v>
      </c>
      <c r="G51">
        <v>14371.013051</v>
      </c>
      <c r="H51">
        <v>0.115873</v>
      </c>
      <c r="I51">
        <v>3</v>
      </c>
    </row>
    <row r="52" spans="1:9" x14ac:dyDescent="0.55000000000000004">
      <c r="A52" t="str">
        <f t="shared" si="0"/>
        <v>B-1-e-1-2.5</v>
      </c>
      <c r="B52" t="s">
        <v>1515</v>
      </c>
      <c r="C52">
        <v>1</v>
      </c>
      <c r="D52" t="s">
        <v>2</v>
      </c>
      <c r="E52">
        <v>1</v>
      </c>
      <c r="F52">
        <v>2.5</v>
      </c>
      <c r="G52">
        <v>15563.994832</v>
      </c>
      <c r="H52">
        <v>0.22758300000000001</v>
      </c>
      <c r="I52">
        <v>13</v>
      </c>
    </row>
    <row r="53" spans="1:9" x14ac:dyDescent="0.55000000000000004">
      <c r="A53" t="str">
        <f t="shared" si="0"/>
        <v>B-2-f-1-2.5</v>
      </c>
      <c r="B53" t="s">
        <v>1515</v>
      </c>
      <c r="C53">
        <v>2</v>
      </c>
      <c r="D53" t="s">
        <v>1</v>
      </c>
      <c r="E53">
        <v>1</v>
      </c>
      <c r="F53">
        <v>2.5</v>
      </c>
      <c r="G53">
        <v>15598.075236000001</v>
      </c>
      <c r="H53">
        <v>0.26182299999999997</v>
      </c>
      <c r="I53">
        <v>3</v>
      </c>
    </row>
    <row r="54" spans="1:9" x14ac:dyDescent="0.55000000000000004">
      <c r="A54" t="str">
        <f t="shared" si="0"/>
        <v>E-1-e-0-2.5</v>
      </c>
      <c r="B54" t="s">
        <v>680</v>
      </c>
      <c r="C54">
        <v>1</v>
      </c>
      <c r="D54" t="s">
        <v>2</v>
      </c>
      <c r="E54">
        <v>0</v>
      </c>
      <c r="F54">
        <v>2.5</v>
      </c>
      <c r="G54">
        <v>18893.094538000001</v>
      </c>
      <c r="H54">
        <v>5.0099999999999997E-3</v>
      </c>
      <c r="I54">
        <v>13</v>
      </c>
    </row>
    <row r="55" spans="1:9" x14ac:dyDescent="0.55000000000000004">
      <c r="A55" t="str">
        <f t="shared" si="0"/>
        <v>E-1-f-0-2.5</v>
      </c>
      <c r="B55" t="s">
        <v>680</v>
      </c>
      <c r="C55">
        <v>1</v>
      </c>
      <c r="D55" t="s">
        <v>1</v>
      </c>
      <c r="E55">
        <v>0</v>
      </c>
      <c r="F55">
        <v>2.5</v>
      </c>
      <c r="G55">
        <v>18893.358318999999</v>
      </c>
      <c r="H55">
        <v>5.0150000000000004E-3</v>
      </c>
      <c r="I55">
        <v>3</v>
      </c>
    </row>
    <row r="56" spans="1:9" x14ac:dyDescent="0.55000000000000004">
      <c r="A56" t="str">
        <f t="shared" si="0"/>
        <v>E-2-e-0-2.5</v>
      </c>
      <c r="B56" t="s">
        <v>680</v>
      </c>
      <c r="C56">
        <v>2</v>
      </c>
      <c r="D56" t="s">
        <v>2</v>
      </c>
      <c r="E56">
        <v>0</v>
      </c>
      <c r="F56">
        <v>2.5</v>
      </c>
      <c r="G56">
        <v>18999.160980000001</v>
      </c>
      <c r="H56">
        <v>5.0099999999999997E-3</v>
      </c>
      <c r="I56">
        <v>13</v>
      </c>
    </row>
    <row r="57" spans="1:9" x14ac:dyDescent="0.55000000000000004">
      <c r="A57" t="str">
        <f t="shared" si="0"/>
        <v>E-2-f-0-2.5</v>
      </c>
      <c r="B57" t="s">
        <v>680</v>
      </c>
      <c r="C57">
        <v>2</v>
      </c>
      <c r="D57" t="s">
        <v>1</v>
      </c>
      <c r="E57">
        <v>0</v>
      </c>
      <c r="F57">
        <v>2.5</v>
      </c>
      <c r="G57">
        <v>18999.173740999999</v>
      </c>
      <c r="H57">
        <v>5.0150000000000004E-3</v>
      </c>
      <c r="I57">
        <v>3</v>
      </c>
    </row>
    <row r="58" spans="1:9" x14ac:dyDescent="0.55000000000000004">
      <c r="A58" t="str">
        <f t="shared" si="0"/>
        <v>E-1-e-1-2.5</v>
      </c>
      <c r="B58" t="s">
        <v>680</v>
      </c>
      <c r="C58">
        <v>1</v>
      </c>
      <c r="D58" t="s">
        <v>2</v>
      </c>
      <c r="E58">
        <v>1</v>
      </c>
      <c r="F58">
        <v>2.5</v>
      </c>
      <c r="G58">
        <v>20056.518932999999</v>
      </c>
      <c r="H58">
        <v>6.0150000000000004E-3</v>
      </c>
      <c r="I58">
        <v>10</v>
      </c>
    </row>
    <row r="59" spans="1:9" x14ac:dyDescent="0.55000000000000004">
      <c r="A59" t="str">
        <f t="shared" si="0"/>
        <v>E-1-f-1-2.5</v>
      </c>
      <c r="B59" t="s">
        <v>680</v>
      </c>
      <c r="C59">
        <v>1</v>
      </c>
      <c r="D59" t="s">
        <v>1</v>
      </c>
      <c r="E59">
        <v>1</v>
      </c>
      <c r="F59">
        <v>2.5</v>
      </c>
      <c r="G59">
        <v>20056.719300000001</v>
      </c>
      <c r="H59">
        <v>6.0099999999999997E-3</v>
      </c>
      <c r="I59">
        <v>3</v>
      </c>
    </row>
    <row r="60" spans="1:9" x14ac:dyDescent="0.55000000000000004">
      <c r="A60" t="str">
        <f t="shared" si="0"/>
        <v>E-2-e-1-2.5</v>
      </c>
      <c r="B60" t="s">
        <v>680</v>
      </c>
      <c r="C60">
        <v>2</v>
      </c>
      <c r="D60" t="s">
        <v>2</v>
      </c>
      <c r="E60">
        <v>1</v>
      </c>
      <c r="F60">
        <v>2.5</v>
      </c>
      <c r="G60">
        <v>20166.204040000001</v>
      </c>
      <c r="H60">
        <v>6.0000000000000001E-3</v>
      </c>
      <c r="I60">
        <v>7</v>
      </c>
    </row>
    <row r="61" spans="1:9" x14ac:dyDescent="0.55000000000000004">
      <c r="A61" t="str">
        <f t="shared" si="0"/>
        <v>E-2-f-1-2.5</v>
      </c>
      <c r="B61" t="s">
        <v>680</v>
      </c>
      <c r="C61">
        <v>2</v>
      </c>
      <c r="D61" t="s">
        <v>1</v>
      </c>
      <c r="E61">
        <v>1</v>
      </c>
      <c r="F61">
        <v>2.5</v>
      </c>
      <c r="G61">
        <v>20166.219102999999</v>
      </c>
      <c r="H61">
        <v>6.0099999999999997E-3</v>
      </c>
      <c r="I61">
        <v>3</v>
      </c>
    </row>
    <row r="62" spans="1:9" x14ac:dyDescent="0.55000000000000004">
      <c r="A62" t="str">
        <f t="shared" si="0"/>
        <v>X-1-e-0-3.5</v>
      </c>
      <c r="B62" t="s">
        <v>0</v>
      </c>
      <c r="C62">
        <v>1</v>
      </c>
      <c r="D62" t="s">
        <v>2</v>
      </c>
      <c r="E62">
        <v>0</v>
      </c>
      <c r="F62">
        <v>3.5</v>
      </c>
      <c r="G62">
        <v>43.767772999999998</v>
      </c>
      <c r="H62">
        <v>2.0100000000000001E-3</v>
      </c>
      <c r="I62">
        <v>7</v>
      </c>
    </row>
    <row r="63" spans="1:9" x14ac:dyDescent="0.55000000000000004">
      <c r="A63" t="str">
        <f t="shared" si="0"/>
        <v>X-2-f-0-3.5</v>
      </c>
      <c r="B63" t="s">
        <v>0</v>
      </c>
      <c r="C63">
        <v>2</v>
      </c>
      <c r="D63" t="s">
        <v>1</v>
      </c>
      <c r="E63">
        <v>0</v>
      </c>
      <c r="F63">
        <v>3.5</v>
      </c>
      <c r="G63">
        <v>72.304556000000005</v>
      </c>
      <c r="H63">
        <v>3.0149999999999999E-3</v>
      </c>
      <c r="I63">
        <v>2</v>
      </c>
    </row>
    <row r="64" spans="1:9" x14ac:dyDescent="0.55000000000000004">
      <c r="A64" t="str">
        <f t="shared" si="0"/>
        <v>X-1-e-1-3.5</v>
      </c>
      <c r="B64" t="s">
        <v>0</v>
      </c>
      <c r="C64">
        <v>1</v>
      </c>
      <c r="D64" t="s">
        <v>2</v>
      </c>
      <c r="E64">
        <v>1</v>
      </c>
      <c r="F64">
        <v>3.5</v>
      </c>
      <c r="G64">
        <v>1215.60113</v>
      </c>
      <c r="H64">
        <v>1.0200000000000001E-3</v>
      </c>
      <c r="I64">
        <v>7</v>
      </c>
    </row>
    <row r="65" spans="1:9" x14ac:dyDescent="0.55000000000000004">
      <c r="A65" t="str">
        <f t="shared" si="0"/>
        <v>X-2-f-1-3.5</v>
      </c>
      <c r="B65" t="s">
        <v>0</v>
      </c>
      <c r="C65">
        <v>2</v>
      </c>
      <c r="D65" t="s">
        <v>1</v>
      </c>
      <c r="E65">
        <v>1</v>
      </c>
      <c r="F65">
        <v>3.5</v>
      </c>
      <c r="G65">
        <v>1243.5133470000001</v>
      </c>
      <c r="H65">
        <v>3.0049999999999999E-3</v>
      </c>
      <c r="I65">
        <v>2</v>
      </c>
    </row>
    <row r="66" spans="1:9" x14ac:dyDescent="0.55000000000000004">
      <c r="A66" t="str">
        <f t="shared" si="0"/>
        <v>X-1-e-2-3.5</v>
      </c>
      <c r="B66" t="s">
        <v>0</v>
      </c>
      <c r="C66">
        <v>1</v>
      </c>
      <c r="D66" t="s">
        <v>2</v>
      </c>
      <c r="E66">
        <v>2</v>
      </c>
      <c r="F66">
        <v>3.5</v>
      </c>
      <c r="G66">
        <v>2353.2756359999998</v>
      </c>
      <c r="H66">
        <v>1.9109999999999999E-2</v>
      </c>
      <c r="I66">
        <v>7</v>
      </c>
    </row>
    <row r="67" spans="1:9" x14ac:dyDescent="0.55000000000000004">
      <c r="A67" t="str">
        <f t="shared" ref="A67:A130" si="1">B67&amp;"-"&amp;C67&amp;"-"&amp;D67&amp;"-"&amp;E67&amp;"-"&amp;F67</f>
        <v>X-2-f-2-3.5</v>
      </c>
      <c r="B67" t="s">
        <v>0</v>
      </c>
      <c r="C67">
        <v>2</v>
      </c>
      <c r="D67" t="s">
        <v>1</v>
      </c>
      <c r="E67">
        <v>2</v>
      </c>
      <c r="F67">
        <v>3.5</v>
      </c>
      <c r="G67">
        <v>2380.5585689999998</v>
      </c>
      <c r="H67">
        <v>4.0150000000000003E-3</v>
      </c>
      <c r="I67">
        <v>2</v>
      </c>
    </row>
    <row r="68" spans="1:9" x14ac:dyDescent="0.55000000000000004">
      <c r="A68" t="str">
        <f t="shared" si="1"/>
        <v>X-1-e-3-3.5</v>
      </c>
      <c r="B68" t="s">
        <v>0</v>
      </c>
      <c r="C68">
        <v>1</v>
      </c>
      <c r="D68" t="s">
        <v>2</v>
      </c>
      <c r="E68">
        <v>3</v>
      </c>
      <c r="F68">
        <v>3.5</v>
      </c>
      <c r="G68">
        <v>3456.7162050000002</v>
      </c>
      <c r="H68">
        <v>3.0200000000000001E-3</v>
      </c>
      <c r="I68">
        <v>7</v>
      </c>
    </row>
    <row r="69" spans="1:9" x14ac:dyDescent="0.55000000000000004">
      <c r="A69" t="str">
        <f t="shared" si="1"/>
        <v>X-2-f-3-3.5</v>
      </c>
      <c r="B69" t="s">
        <v>0</v>
      </c>
      <c r="C69">
        <v>2</v>
      </c>
      <c r="D69" t="s">
        <v>1</v>
      </c>
      <c r="E69">
        <v>3</v>
      </c>
      <c r="F69">
        <v>3.5</v>
      </c>
      <c r="G69">
        <v>3483.3689899999999</v>
      </c>
      <c r="H69">
        <v>2.4084999999999999E-2</v>
      </c>
      <c r="I69">
        <v>2</v>
      </c>
    </row>
    <row r="70" spans="1:9" x14ac:dyDescent="0.55000000000000004">
      <c r="A70" t="str">
        <f t="shared" si="1"/>
        <v>X-1-e-4-3.5</v>
      </c>
      <c r="B70" t="s">
        <v>0</v>
      </c>
      <c r="C70">
        <v>1</v>
      </c>
      <c r="D70" t="s">
        <v>2</v>
      </c>
      <c r="E70">
        <v>4</v>
      </c>
      <c r="F70">
        <v>3.5</v>
      </c>
      <c r="G70">
        <v>4525.7012729999997</v>
      </c>
      <c r="H70">
        <v>2.215E-2</v>
      </c>
      <c r="I70">
        <v>7</v>
      </c>
    </row>
    <row r="71" spans="1:9" x14ac:dyDescent="0.55000000000000004">
      <c r="A71" t="str">
        <f t="shared" si="1"/>
        <v>X-2-f-4-3.5</v>
      </c>
      <c r="B71" t="s">
        <v>0</v>
      </c>
      <c r="C71">
        <v>2</v>
      </c>
      <c r="D71" t="s">
        <v>1</v>
      </c>
      <c r="E71">
        <v>4</v>
      </c>
      <c r="F71">
        <v>3.5</v>
      </c>
      <c r="G71">
        <v>4551.7066590000004</v>
      </c>
      <c r="H71">
        <v>6.0150000000000004E-3</v>
      </c>
      <c r="I71">
        <v>2</v>
      </c>
    </row>
    <row r="72" spans="1:9" x14ac:dyDescent="0.55000000000000004">
      <c r="A72" t="str">
        <f t="shared" si="1"/>
        <v>A-1-f-0-3.5</v>
      </c>
      <c r="B72" t="s">
        <v>1121</v>
      </c>
      <c r="C72">
        <v>1</v>
      </c>
      <c r="D72" t="s">
        <v>1</v>
      </c>
      <c r="E72">
        <v>0</v>
      </c>
      <c r="F72">
        <v>3.5</v>
      </c>
      <c r="G72">
        <v>13409.830782999999</v>
      </c>
      <c r="H72">
        <v>1.2005E-2</v>
      </c>
      <c r="I72">
        <v>4</v>
      </c>
    </row>
    <row r="73" spans="1:9" x14ac:dyDescent="0.55000000000000004">
      <c r="A73" t="str">
        <f t="shared" si="1"/>
        <v>A-1-e-0-3.5</v>
      </c>
      <c r="B73" t="s">
        <v>1121</v>
      </c>
      <c r="C73">
        <v>1</v>
      </c>
      <c r="D73" t="s">
        <v>2</v>
      </c>
      <c r="E73">
        <v>0</v>
      </c>
      <c r="F73">
        <v>3.5</v>
      </c>
      <c r="G73">
        <v>13425.995252999999</v>
      </c>
      <c r="H73">
        <v>1.0019999999999999E-2</v>
      </c>
      <c r="I73">
        <v>1</v>
      </c>
    </row>
    <row r="74" spans="1:9" x14ac:dyDescent="0.55000000000000004">
      <c r="A74" t="str">
        <f t="shared" si="1"/>
        <v>A-2-f-0-3.5</v>
      </c>
      <c r="B74" t="s">
        <v>1121</v>
      </c>
      <c r="C74">
        <v>2</v>
      </c>
      <c r="D74" t="s">
        <v>1</v>
      </c>
      <c r="E74">
        <v>0</v>
      </c>
      <c r="F74">
        <v>3.5</v>
      </c>
      <c r="G74">
        <v>13710.497772000001</v>
      </c>
      <c r="H74">
        <v>1.201E-2</v>
      </c>
      <c r="I74">
        <v>4</v>
      </c>
    </row>
    <row r="75" spans="1:9" x14ac:dyDescent="0.55000000000000004">
      <c r="A75" t="str">
        <f t="shared" si="1"/>
        <v>A-2-e-0-3.5</v>
      </c>
      <c r="B75" t="s">
        <v>1121</v>
      </c>
      <c r="C75">
        <v>2</v>
      </c>
      <c r="D75" t="s">
        <v>2</v>
      </c>
      <c r="E75">
        <v>0</v>
      </c>
      <c r="F75">
        <v>3.5</v>
      </c>
      <c r="G75">
        <v>13710.554693</v>
      </c>
      <c r="H75">
        <v>1.3015000000000001E-2</v>
      </c>
      <c r="I75">
        <v>1</v>
      </c>
    </row>
    <row r="76" spans="1:9" x14ac:dyDescent="0.55000000000000004">
      <c r="A76" t="str">
        <f t="shared" si="1"/>
        <v>B-1-e-0-3.5</v>
      </c>
      <c r="B76" t="s">
        <v>1515</v>
      </c>
      <c r="C76">
        <v>1</v>
      </c>
      <c r="D76" t="s">
        <v>2</v>
      </c>
      <c r="E76">
        <v>0</v>
      </c>
      <c r="F76">
        <v>3.5</v>
      </c>
      <c r="G76">
        <v>14392.580602</v>
      </c>
      <c r="H76">
        <v>0.130664</v>
      </c>
      <c r="I76">
        <v>20</v>
      </c>
    </row>
    <row r="77" spans="1:9" x14ac:dyDescent="0.55000000000000004">
      <c r="A77" t="str">
        <f t="shared" si="1"/>
        <v>B-2-f-0-3.5</v>
      </c>
      <c r="B77" t="s">
        <v>1515</v>
      </c>
      <c r="C77">
        <v>2</v>
      </c>
      <c r="D77" t="s">
        <v>1</v>
      </c>
      <c r="E77">
        <v>0</v>
      </c>
      <c r="F77">
        <v>3.5</v>
      </c>
      <c r="G77">
        <v>14435.171082000001</v>
      </c>
      <c r="H77">
        <v>1.4005E-2</v>
      </c>
      <c r="I77">
        <v>2</v>
      </c>
    </row>
    <row r="78" spans="1:9" x14ac:dyDescent="0.55000000000000004">
      <c r="A78" t="str">
        <f t="shared" si="1"/>
        <v>B-1-e-1-3.5</v>
      </c>
      <c r="B78" t="s">
        <v>1515</v>
      </c>
      <c r="C78">
        <v>1</v>
      </c>
      <c r="D78" t="s">
        <v>2</v>
      </c>
      <c r="E78">
        <v>1</v>
      </c>
      <c r="F78">
        <v>3.5</v>
      </c>
      <c r="G78">
        <v>15584.084177000001</v>
      </c>
      <c r="H78">
        <v>0.62375199999999997</v>
      </c>
      <c r="I78">
        <v>21</v>
      </c>
    </row>
    <row r="79" spans="1:9" x14ac:dyDescent="0.55000000000000004">
      <c r="A79" t="str">
        <f t="shared" si="1"/>
        <v>B-2-f-1-3.5</v>
      </c>
      <c r="B79" t="s">
        <v>1515</v>
      </c>
      <c r="C79">
        <v>2</v>
      </c>
      <c r="D79" t="s">
        <v>1</v>
      </c>
      <c r="E79">
        <v>1</v>
      </c>
      <c r="F79">
        <v>3.5</v>
      </c>
      <c r="G79">
        <v>15629.999698</v>
      </c>
      <c r="H79">
        <v>0.22009600000000001</v>
      </c>
      <c r="I79">
        <v>3</v>
      </c>
    </row>
    <row r="80" spans="1:9" x14ac:dyDescent="0.55000000000000004">
      <c r="A80" t="str">
        <f t="shared" si="1"/>
        <v>E-1-e-0-3.5</v>
      </c>
      <c r="B80" t="s">
        <v>680</v>
      </c>
      <c r="C80">
        <v>1</v>
      </c>
      <c r="D80" t="s">
        <v>2</v>
      </c>
      <c r="E80">
        <v>0</v>
      </c>
      <c r="F80">
        <v>3.5</v>
      </c>
      <c r="G80">
        <v>18918.27995</v>
      </c>
      <c r="H80">
        <v>5.0200000000000002E-3</v>
      </c>
      <c r="I80">
        <v>21</v>
      </c>
    </row>
    <row r="81" spans="1:9" x14ac:dyDescent="0.55000000000000004">
      <c r="A81" t="str">
        <f t="shared" si="1"/>
        <v>E-1-f-0-3.5</v>
      </c>
      <c r="B81" t="s">
        <v>680</v>
      </c>
      <c r="C81">
        <v>1</v>
      </c>
      <c r="D81" t="s">
        <v>1</v>
      </c>
      <c r="E81">
        <v>0</v>
      </c>
      <c r="F81">
        <v>3.5</v>
      </c>
      <c r="G81">
        <v>18918.612476999999</v>
      </c>
      <c r="H81">
        <v>7.0049999999999999E-3</v>
      </c>
      <c r="I81">
        <v>3</v>
      </c>
    </row>
    <row r="82" spans="1:9" x14ac:dyDescent="0.55000000000000004">
      <c r="A82" t="str">
        <f t="shared" si="1"/>
        <v>E-2-e-0-3.5</v>
      </c>
      <c r="B82" t="s">
        <v>680</v>
      </c>
      <c r="C82">
        <v>2</v>
      </c>
      <c r="D82" t="s">
        <v>2</v>
      </c>
      <c r="E82">
        <v>0</v>
      </c>
      <c r="F82">
        <v>3.5</v>
      </c>
      <c r="G82">
        <v>19026.444103000002</v>
      </c>
      <c r="H82">
        <v>5.0200000000000002E-3</v>
      </c>
      <c r="I82">
        <v>22</v>
      </c>
    </row>
    <row r="83" spans="1:9" x14ac:dyDescent="0.55000000000000004">
      <c r="A83" t="str">
        <f t="shared" si="1"/>
        <v>E-2-f-0-3.5</v>
      </c>
      <c r="B83" t="s">
        <v>680</v>
      </c>
      <c r="C83">
        <v>2</v>
      </c>
      <c r="D83" t="s">
        <v>1</v>
      </c>
      <c r="E83">
        <v>0</v>
      </c>
      <c r="F83">
        <v>3.5</v>
      </c>
      <c r="G83">
        <v>19026.488989000001</v>
      </c>
      <c r="H83">
        <v>7.0049999999999999E-3</v>
      </c>
      <c r="I83">
        <v>3</v>
      </c>
    </row>
    <row r="84" spans="1:9" x14ac:dyDescent="0.55000000000000004">
      <c r="A84" t="str">
        <f t="shared" si="1"/>
        <v>E-1-e-1-3.5</v>
      </c>
      <c r="B84" t="s">
        <v>680</v>
      </c>
      <c r="C84">
        <v>1</v>
      </c>
      <c r="D84" t="s">
        <v>2</v>
      </c>
      <c r="E84">
        <v>1</v>
      </c>
      <c r="F84">
        <v>3.5</v>
      </c>
      <c r="G84">
        <v>20081.107591</v>
      </c>
      <c r="H84">
        <v>6.0099999999999997E-3</v>
      </c>
      <c r="I84">
        <v>22</v>
      </c>
    </row>
    <row r="85" spans="1:9" x14ac:dyDescent="0.55000000000000004">
      <c r="A85" t="str">
        <f t="shared" si="1"/>
        <v>E-1-f-1-3.5</v>
      </c>
      <c r="B85" t="s">
        <v>680</v>
      </c>
      <c r="C85">
        <v>1</v>
      </c>
      <c r="D85" t="s">
        <v>1</v>
      </c>
      <c r="E85">
        <v>1</v>
      </c>
      <c r="F85">
        <v>3.5</v>
      </c>
      <c r="G85">
        <v>20081.360041</v>
      </c>
      <c r="H85">
        <v>6.0200000000000002E-3</v>
      </c>
      <c r="I85">
        <v>3</v>
      </c>
    </row>
    <row r="86" spans="1:9" x14ac:dyDescent="0.55000000000000004">
      <c r="A86" t="str">
        <f t="shared" si="1"/>
        <v>E-2-e-1-3.5</v>
      </c>
      <c r="B86" t="s">
        <v>680</v>
      </c>
      <c r="C86">
        <v>2</v>
      </c>
      <c r="D86" t="s">
        <v>2</v>
      </c>
      <c r="E86">
        <v>1</v>
      </c>
      <c r="F86">
        <v>3.5</v>
      </c>
      <c r="G86">
        <v>20192.724781000001</v>
      </c>
      <c r="H86">
        <v>6.0099999999999997E-3</v>
      </c>
      <c r="I86">
        <v>22</v>
      </c>
    </row>
    <row r="87" spans="1:9" x14ac:dyDescent="0.55000000000000004">
      <c r="A87" t="str">
        <f t="shared" si="1"/>
        <v>E-2-f-1-3.5</v>
      </c>
      <c r="B87" t="s">
        <v>680</v>
      </c>
      <c r="C87">
        <v>2</v>
      </c>
      <c r="D87" t="s">
        <v>1</v>
      </c>
      <c r="E87">
        <v>1</v>
      </c>
      <c r="F87">
        <v>3.5</v>
      </c>
      <c r="G87">
        <v>20192.753443000001</v>
      </c>
      <c r="H87">
        <v>1.102E-2</v>
      </c>
      <c r="I87">
        <v>3</v>
      </c>
    </row>
    <row r="88" spans="1:9" x14ac:dyDescent="0.55000000000000004">
      <c r="A88" t="str">
        <f t="shared" si="1"/>
        <v>X-1-e-0-4.5</v>
      </c>
      <c r="B88" t="s">
        <v>0</v>
      </c>
      <c r="C88">
        <v>1</v>
      </c>
      <c r="D88" t="s">
        <v>2</v>
      </c>
      <c r="E88">
        <v>0</v>
      </c>
      <c r="F88">
        <v>4.5</v>
      </c>
      <c r="G88">
        <v>72.861503999999996</v>
      </c>
      <c r="H88">
        <v>2.0200000000000001E-3</v>
      </c>
      <c r="I88">
        <v>24</v>
      </c>
    </row>
    <row r="89" spans="1:9" x14ac:dyDescent="0.55000000000000004">
      <c r="A89" t="str">
        <f t="shared" si="1"/>
        <v>X-2-f-0-4.5</v>
      </c>
      <c r="B89" t="s">
        <v>0</v>
      </c>
      <c r="C89">
        <v>2</v>
      </c>
      <c r="D89" t="s">
        <v>1</v>
      </c>
      <c r="E89">
        <v>0</v>
      </c>
      <c r="F89">
        <v>4.5</v>
      </c>
      <c r="G89">
        <v>108.511082</v>
      </c>
      <c r="H89">
        <v>4.0049999999999999E-3</v>
      </c>
      <c r="I89">
        <v>3</v>
      </c>
    </row>
    <row r="90" spans="1:9" x14ac:dyDescent="0.55000000000000004">
      <c r="A90" t="str">
        <f t="shared" si="1"/>
        <v>X-1-e-1-4.5</v>
      </c>
      <c r="B90" t="s">
        <v>0</v>
      </c>
      <c r="C90">
        <v>1</v>
      </c>
      <c r="D90" t="s">
        <v>2</v>
      </c>
      <c r="E90">
        <v>1</v>
      </c>
      <c r="F90">
        <v>4.5</v>
      </c>
      <c r="G90">
        <v>1244.0515350000001</v>
      </c>
      <c r="H90">
        <v>3.0100000000000001E-3</v>
      </c>
      <c r="I90">
        <v>22</v>
      </c>
    </row>
    <row r="91" spans="1:9" x14ac:dyDescent="0.55000000000000004">
      <c r="A91" t="str">
        <f t="shared" si="1"/>
        <v>X-2-f-1-4.5</v>
      </c>
      <c r="B91" t="s">
        <v>0</v>
      </c>
      <c r="C91">
        <v>2</v>
      </c>
      <c r="D91" t="s">
        <v>1</v>
      </c>
      <c r="E91">
        <v>1</v>
      </c>
      <c r="F91">
        <v>4.5</v>
      </c>
      <c r="G91">
        <v>1278.9174660000001</v>
      </c>
      <c r="H91">
        <v>4.0150000000000003E-3</v>
      </c>
      <c r="I91">
        <v>3</v>
      </c>
    </row>
    <row r="92" spans="1:9" x14ac:dyDescent="0.55000000000000004">
      <c r="A92" t="str">
        <f t="shared" si="1"/>
        <v>X-1-e-2-4.5</v>
      </c>
      <c r="B92" t="s">
        <v>0</v>
      </c>
      <c r="C92">
        <v>1</v>
      </c>
      <c r="D92" t="s">
        <v>2</v>
      </c>
      <c r="E92">
        <v>2</v>
      </c>
      <c r="F92">
        <v>4.5</v>
      </c>
      <c r="G92">
        <v>2381.0786400000002</v>
      </c>
      <c r="H92">
        <v>2.0200000000000001E-3</v>
      </c>
      <c r="I92">
        <v>19</v>
      </c>
    </row>
    <row r="93" spans="1:9" x14ac:dyDescent="0.55000000000000004">
      <c r="A93" t="str">
        <f t="shared" si="1"/>
        <v>X-2-f-2-4.5</v>
      </c>
      <c r="B93" t="s">
        <v>0</v>
      </c>
      <c r="C93">
        <v>2</v>
      </c>
      <c r="D93" t="s">
        <v>1</v>
      </c>
      <c r="E93">
        <v>2</v>
      </c>
      <c r="F93">
        <v>4.5</v>
      </c>
      <c r="G93">
        <v>2415.1608620000002</v>
      </c>
      <c r="H93">
        <v>1.6004999999999998E-2</v>
      </c>
      <c r="I93">
        <v>3</v>
      </c>
    </row>
    <row r="94" spans="1:9" x14ac:dyDescent="0.55000000000000004">
      <c r="A94" t="str">
        <f t="shared" si="1"/>
        <v>X-1-e-3-4.5</v>
      </c>
      <c r="B94" t="s">
        <v>0</v>
      </c>
      <c r="C94">
        <v>1</v>
      </c>
      <c r="D94" t="s">
        <v>2</v>
      </c>
      <c r="E94">
        <v>3</v>
      </c>
      <c r="F94">
        <v>4.5</v>
      </c>
      <c r="G94">
        <v>3483.871173</v>
      </c>
      <c r="H94">
        <v>2.1149999999999999E-2</v>
      </c>
      <c r="I94">
        <v>22</v>
      </c>
    </row>
    <row r="95" spans="1:9" x14ac:dyDescent="0.55000000000000004">
      <c r="A95" t="str">
        <f t="shared" si="1"/>
        <v>X-2-f-3-4.5</v>
      </c>
      <c r="B95" t="s">
        <v>0</v>
      </c>
      <c r="C95">
        <v>2</v>
      </c>
      <c r="D95" t="s">
        <v>1</v>
      </c>
      <c r="E95">
        <v>3</v>
      </c>
      <c r="F95">
        <v>4.5</v>
      </c>
      <c r="G95">
        <v>3517.1602590000002</v>
      </c>
      <c r="H95">
        <v>5.0150000000000004E-3</v>
      </c>
      <c r="I95">
        <v>3</v>
      </c>
    </row>
    <row r="96" spans="1:9" x14ac:dyDescent="0.55000000000000004">
      <c r="A96" t="str">
        <f t="shared" si="1"/>
        <v>X-1-e-4-4.5</v>
      </c>
      <c r="B96" t="s">
        <v>0</v>
      </c>
      <c r="C96">
        <v>1</v>
      </c>
      <c r="D96" t="s">
        <v>2</v>
      </c>
      <c r="E96">
        <v>4</v>
      </c>
      <c r="F96">
        <v>4.5</v>
      </c>
      <c r="G96">
        <v>4552.1909079999996</v>
      </c>
      <c r="H96">
        <v>8.0199999999999994E-3</v>
      </c>
      <c r="I96">
        <v>20</v>
      </c>
    </row>
    <row r="97" spans="1:9" x14ac:dyDescent="0.55000000000000004">
      <c r="A97" t="str">
        <f t="shared" si="1"/>
        <v>X-2-f-4-4.5</v>
      </c>
      <c r="B97" t="s">
        <v>0</v>
      </c>
      <c r="C97">
        <v>2</v>
      </c>
      <c r="D97" t="s">
        <v>1</v>
      </c>
      <c r="E97">
        <v>4</v>
      </c>
      <c r="F97">
        <v>4.5</v>
      </c>
      <c r="G97">
        <v>4584.6829900000002</v>
      </c>
      <c r="H97">
        <v>2.5085E-2</v>
      </c>
      <c r="I97">
        <v>3</v>
      </c>
    </row>
    <row r="98" spans="1:9" x14ac:dyDescent="0.55000000000000004">
      <c r="A98" t="str">
        <f t="shared" si="1"/>
        <v>A-1-f-0-4.5</v>
      </c>
      <c r="B98" t="s">
        <v>1121</v>
      </c>
      <c r="C98">
        <v>1</v>
      </c>
      <c r="D98" t="s">
        <v>1</v>
      </c>
      <c r="E98">
        <v>0</v>
      </c>
      <c r="F98">
        <v>4.5</v>
      </c>
      <c r="G98">
        <v>13440.845853000001</v>
      </c>
      <c r="H98">
        <v>1.3015000000000001E-2</v>
      </c>
      <c r="I98">
        <v>22</v>
      </c>
    </row>
    <row r="99" spans="1:9" x14ac:dyDescent="0.55000000000000004">
      <c r="A99" t="str">
        <f t="shared" si="1"/>
        <v>A-1-e-0-4.5</v>
      </c>
      <c r="B99" t="s">
        <v>1121</v>
      </c>
      <c r="C99">
        <v>1</v>
      </c>
      <c r="D99" t="s">
        <v>2</v>
      </c>
      <c r="E99">
        <v>0</v>
      </c>
      <c r="F99">
        <v>4.5</v>
      </c>
      <c r="G99">
        <v>13460.962527</v>
      </c>
      <c r="H99">
        <v>2.7078999999999999E-2</v>
      </c>
      <c r="I99">
        <v>3</v>
      </c>
    </row>
    <row r="100" spans="1:9" x14ac:dyDescent="0.55000000000000004">
      <c r="A100" t="str">
        <f t="shared" si="1"/>
        <v>A-2-f-0-4.5</v>
      </c>
      <c r="B100" t="s">
        <v>1121</v>
      </c>
      <c r="C100">
        <v>2</v>
      </c>
      <c r="D100" t="s">
        <v>1</v>
      </c>
      <c r="E100">
        <v>0</v>
      </c>
      <c r="F100">
        <v>4.5</v>
      </c>
      <c r="G100">
        <v>13743.514744</v>
      </c>
      <c r="H100">
        <v>1.3015000000000001E-2</v>
      </c>
      <c r="I100">
        <v>20</v>
      </c>
    </row>
    <row r="101" spans="1:9" x14ac:dyDescent="0.55000000000000004">
      <c r="A101" t="str">
        <f t="shared" si="1"/>
        <v>A-2-e-0-4.5</v>
      </c>
      <c r="B101" t="s">
        <v>1121</v>
      </c>
      <c r="C101">
        <v>2</v>
      </c>
      <c r="D101" t="s">
        <v>2</v>
      </c>
      <c r="E101">
        <v>0</v>
      </c>
      <c r="F101">
        <v>4.5</v>
      </c>
      <c r="G101">
        <v>13743.720443</v>
      </c>
      <c r="H101">
        <v>2.9819999999999999E-2</v>
      </c>
      <c r="I101">
        <v>3</v>
      </c>
    </row>
    <row r="102" spans="1:9" x14ac:dyDescent="0.55000000000000004">
      <c r="A102" t="str">
        <f t="shared" si="1"/>
        <v>B-1-e-0-4.5</v>
      </c>
      <c r="B102" t="s">
        <v>1515</v>
      </c>
      <c r="C102">
        <v>1</v>
      </c>
      <c r="D102" t="s">
        <v>2</v>
      </c>
      <c r="E102">
        <v>0</v>
      </c>
      <c r="F102">
        <v>4.5</v>
      </c>
      <c r="G102">
        <v>14420.713974</v>
      </c>
      <c r="H102">
        <v>1.9949999999999999E-2</v>
      </c>
      <c r="I102">
        <v>20</v>
      </c>
    </row>
    <row r="103" spans="1:9" x14ac:dyDescent="0.55000000000000004">
      <c r="A103" t="str">
        <f t="shared" si="1"/>
        <v>B-2-f-0-4.5</v>
      </c>
      <c r="B103" t="s">
        <v>1515</v>
      </c>
      <c r="C103">
        <v>2</v>
      </c>
      <c r="D103" t="s">
        <v>1</v>
      </c>
      <c r="E103">
        <v>0</v>
      </c>
      <c r="F103">
        <v>4.5</v>
      </c>
      <c r="G103">
        <v>14477.144060000001</v>
      </c>
      <c r="H103">
        <v>1.604482</v>
      </c>
      <c r="I103">
        <v>3</v>
      </c>
    </row>
    <row r="104" spans="1:9" x14ac:dyDescent="0.55000000000000004">
      <c r="A104" t="str">
        <f t="shared" si="1"/>
        <v>B-1-e-1-4.5</v>
      </c>
      <c r="B104" t="s">
        <v>1515</v>
      </c>
      <c r="C104">
        <v>1</v>
      </c>
      <c r="D104" t="s">
        <v>2</v>
      </c>
      <c r="E104">
        <v>1</v>
      </c>
      <c r="F104">
        <v>4.5</v>
      </c>
      <c r="G104">
        <v>15612.092847</v>
      </c>
      <c r="H104">
        <v>9.0739E-2</v>
      </c>
      <c r="I104">
        <v>19</v>
      </c>
    </row>
    <row r="105" spans="1:9" x14ac:dyDescent="0.55000000000000004">
      <c r="A105" t="str">
        <f t="shared" si="1"/>
        <v>B-2-f-1-4.5</v>
      </c>
      <c r="B105" t="s">
        <v>1515</v>
      </c>
      <c r="C105">
        <v>2</v>
      </c>
      <c r="D105" t="s">
        <v>1</v>
      </c>
      <c r="E105">
        <v>1</v>
      </c>
      <c r="F105">
        <v>4.5</v>
      </c>
      <c r="G105">
        <v>15669.412232999999</v>
      </c>
      <c r="H105">
        <v>2.3916E-2</v>
      </c>
      <c r="I105">
        <v>3</v>
      </c>
    </row>
    <row r="106" spans="1:9" x14ac:dyDescent="0.55000000000000004">
      <c r="A106" t="str">
        <f t="shared" si="1"/>
        <v>E-1-e-0-4.5</v>
      </c>
      <c r="B106" t="s">
        <v>680</v>
      </c>
      <c r="C106">
        <v>1</v>
      </c>
      <c r="D106" t="s">
        <v>2</v>
      </c>
      <c r="E106">
        <v>0</v>
      </c>
      <c r="F106">
        <v>4.5</v>
      </c>
      <c r="G106">
        <v>18950.690395000001</v>
      </c>
      <c r="H106">
        <v>1.7010000000000001E-2</v>
      </c>
      <c r="I106">
        <v>18</v>
      </c>
    </row>
    <row r="107" spans="1:9" x14ac:dyDescent="0.55000000000000004">
      <c r="A107" t="str">
        <f t="shared" si="1"/>
        <v>E-1-f-0-4.5</v>
      </c>
      <c r="B107" t="s">
        <v>680</v>
      </c>
      <c r="C107">
        <v>1</v>
      </c>
      <c r="D107" t="s">
        <v>1</v>
      </c>
      <c r="E107">
        <v>0</v>
      </c>
      <c r="F107">
        <v>4.5</v>
      </c>
      <c r="G107">
        <v>18951.048717999998</v>
      </c>
      <c r="H107">
        <v>5.7020000000000001E-2</v>
      </c>
      <c r="I107">
        <v>3</v>
      </c>
    </row>
    <row r="108" spans="1:9" x14ac:dyDescent="0.55000000000000004">
      <c r="A108" t="str">
        <f t="shared" si="1"/>
        <v>E-2-e-0-4.5</v>
      </c>
      <c r="B108" t="s">
        <v>680</v>
      </c>
      <c r="C108">
        <v>2</v>
      </c>
      <c r="D108" t="s">
        <v>2</v>
      </c>
      <c r="E108">
        <v>0</v>
      </c>
      <c r="F108">
        <v>4.5</v>
      </c>
      <c r="G108">
        <v>19061.475168000001</v>
      </c>
      <c r="H108">
        <v>7.0099999999999997E-3</v>
      </c>
      <c r="I108">
        <v>18</v>
      </c>
    </row>
    <row r="109" spans="1:9" x14ac:dyDescent="0.55000000000000004">
      <c r="A109" t="str">
        <f t="shared" si="1"/>
        <v>E-2-f-0-4.5</v>
      </c>
      <c r="B109" t="s">
        <v>680</v>
      </c>
      <c r="C109">
        <v>2</v>
      </c>
      <c r="D109" t="s">
        <v>1</v>
      </c>
      <c r="E109">
        <v>0</v>
      </c>
      <c r="F109">
        <v>4.5</v>
      </c>
      <c r="G109">
        <v>19061.556917999998</v>
      </c>
      <c r="H109">
        <v>7.0200000000000002E-3</v>
      </c>
      <c r="I109">
        <v>3</v>
      </c>
    </row>
    <row r="110" spans="1:9" x14ac:dyDescent="0.55000000000000004">
      <c r="A110" t="str">
        <f t="shared" si="1"/>
        <v>E-1-e-1-4.5</v>
      </c>
      <c r="B110" t="s">
        <v>680</v>
      </c>
      <c r="C110">
        <v>1</v>
      </c>
      <c r="D110" t="s">
        <v>2</v>
      </c>
      <c r="E110">
        <v>1</v>
      </c>
      <c r="F110">
        <v>4.5</v>
      </c>
      <c r="G110">
        <v>20112.730500000001</v>
      </c>
      <c r="H110">
        <v>6.0200000000000002E-3</v>
      </c>
      <c r="I110">
        <v>17</v>
      </c>
    </row>
    <row r="111" spans="1:9" x14ac:dyDescent="0.55000000000000004">
      <c r="A111" t="str">
        <f t="shared" si="1"/>
        <v>E-1-f-1-4.5</v>
      </c>
      <c r="B111" t="s">
        <v>680</v>
      </c>
      <c r="C111">
        <v>1</v>
      </c>
      <c r="D111" t="s">
        <v>1</v>
      </c>
      <c r="E111">
        <v>1</v>
      </c>
      <c r="F111">
        <v>4.5</v>
      </c>
      <c r="G111">
        <v>20113.030487</v>
      </c>
      <c r="H111">
        <v>8.0099999999999998E-3</v>
      </c>
      <c r="I111">
        <v>3</v>
      </c>
    </row>
    <row r="112" spans="1:9" x14ac:dyDescent="0.55000000000000004">
      <c r="A112" t="str">
        <f t="shared" si="1"/>
        <v>E-2-e-1-4.5</v>
      </c>
      <c r="B112" t="s">
        <v>680</v>
      </c>
      <c r="C112">
        <v>2</v>
      </c>
      <c r="D112" t="s">
        <v>2</v>
      </c>
      <c r="E112">
        <v>1</v>
      </c>
      <c r="F112">
        <v>4.5</v>
      </c>
      <c r="G112">
        <v>20226.766393000002</v>
      </c>
      <c r="H112">
        <v>8.3099999999999997E-3</v>
      </c>
      <c r="I112">
        <v>16</v>
      </c>
    </row>
    <row r="113" spans="1:9" x14ac:dyDescent="0.55000000000000004">
      <c r="A113" t="str">
        <f t="shared" si="1"/>
        <v>E-2-f-1-4.5</v>
      </c>
      <c r="B113" t="s">
        <v>680</v>
      </c>
      <c r="C113">
        <v>2</v>
      </c>
      <c r="D113" t="s">
        <v>1</v>
      </c>
      <c r="E113">
        <v>1</v>
      </c>
      <c r="F113">
        <v>4.5</v>
      </c>
      <c r="G113">
        <v>20226.832753999999</v>
      </c>
      <c r="H113">
        <v>8.005E-3</v>
      </c>
      <c r="I113">
        <v>3</v>
      </c>
    </row>
    <row r="114" spans="1:9" x14ac:dyDescent="0.55000000000000004">
      <c r="A114" t="str">
        <f t="shared" si="1"/>
        <v>X-1-e-0-5.5</v>
      </c>
      <c r="B114" t="s">
        <v>0</v>
      </c>
      <c r="C114">
        <v>1</v>
      </c>
      <c r="D114" t="s">
        <v>2</v>
      </c>
      <c r="E114">
        <v>0</v>
      </c>
      <c r="F114">
        <v>5.5</v>
      </c>
      <c r="G114">
        <v>109.190175</v>
      </c>
      <c r="H114">
        <v>4.0099999999999997E-3</v>
      </c>
      <c r="I114">
        <v>15</v>
      </c>
    </row>
    <row r="115" spans="1:9" x14ac:dyDescent="0.55000000000000004">
      <c r="A115" t="str">
        <f t="shared" si="1"/>
        <v>X-2-f-0-5.5</v>
      </c>
      <c r="B115" t="s">
        <v>0</v>
      </c>
      <c r="C115">
        <v>2</v>
      </c>
      <c r="D115" t="s">
        <v>1</v>
      </c>
      <c r="E115">
        <v>0</v>
      </c>
      <c r="F115">
        <v>5.5</v>
      </c>
      <c r="G115">
        <v>151.93356499999999</v>
      </c>
      <c r="H115">
        <v>5.0150000000000004E-3</v>
      </c>
      <c r="I115">
        <v>3</v>
      </c>
    </row>
    <row r="116" spans="1:9" x14ac:dyDescent="0.55000000000000004">
      <c r="A116" t="str">
        <f t="shared" si="1"/>
        <v>X-1-e-1-5.5</v>
      </c>
      <c r="B116" t="s">
        <v>0</v>
      </c>
      <c r="C116">
        <v>1</v>
      </c>
      <c r="D116" t="s">
        <v>2</v>
      </c>
      <c r="E116">
        <v>1</v>
      </c>
      <c r="F116">
        <v>5.5</v>
      </c>
      <c r="G116">
        <v>1279.5745649999999</v>
      </c>
      <c r="H116">
        <v>3.0200000000000001E-3</v>
      </c>
      <c r="I116">
        <v>14</v>
      </c>
    </row>
    <row r="117" spans="1:9" x14ac:dyDescent="0.55000000000000004">
      <c r="A117" t="str">
        <f t="shared" si="1"/>
        <v>X-2-f-1-5.5</v>
      </c>
      <c r="B117" t="s">
        <v>0</v>
      </c>
      <c r="C117">
        <v>2</v>
      </c>
      <c r="D117" t="s">
        <v>1</v>
      </c>
      <c r="E117">
        <v>1</v>
      </c>
      <c r="F117">
        <v>5.5</v>
      </c>
      <c r="G117">
        <v>1321.3811189999999</v>
      </c>
      <c r="H117">
        <v>5.0049999999999999E-3</v>
      </c>
      <c r="I117">
        <v>3</v>
      </c>
    </row>
    <row r="118" spans="1:9" x14ac:dyDescent="0.55000000000000004">
      <c r="A118" t="str">
        <f t="shared" si="1"/>
        <v>X-1-e-2-5.5</v>
      </c>
      <c r="B118" t="s">
        <v>0</v>
      </c>
      <c r="C118">
        <v>1</v>
      </c>
      <c r="D118" t="s">
        <v>2</v>
      </c>
      <c r="E118">
        <v>2</v>
      </c>
      <c r="F118">
        <v>5.5</v>
      </c>
      <c r="G118">
        <v>2415.7955270000002</v>
      </c>
      <c r="H118">
        <v>1.5509999999999999E-2</v>
      </c>
      <c r="I118">
        <v>15</v>
      </c>
    </row>
    <row r="119" spans="1:9" x14ac:dyDescent="0.55000000000000004">
      <c r="A119" t="str">
        <f t="shared" si="1"/>
        <v>X-2-f-2-5.5</v>
      </c>
      <c r="B119" t="s">
        <v>0</v>
      </c>
      <c r="C119">
        <v>2</v>
      </c>
      <c r="D119" t="s">
        <v>1</v>
      </c>
      <c r="E119">
        <v>2</v>
      </c>
      <c r="F119">
        <v>5.5</v>
      </c>
      <c r="G119">
        <v>2456.659232</v>
      </c>
      <c r="H119">
        <v>7.0150000000000004E-3</v>
      </c>
      <c r="I119">
        <v>3</v>
      </c>
    </row>
    <row r="120" spans="1:9" x14ac:dyDescent="0.55000000000000004">
      <c r="A120" t="str">
        <f t="shared" si="1"/>
        <v>X-1-e-3-5.5</v>
      </c>
      <c r="B120" t="s">
        <v>0</v>
      </c>
      <c r="C120">
        <v>1</v>
      </c>
      <c r="D120" t="s">
        <v>2</v>
      </c>
      <c r="E120">
        <v>3</v>
      </c>
      <c r="F120">
        <v>5.5</v>
      </c>
      <c r="G120">
        <v>3517.773408</v>
      </c>
      <c r="H120">
        <v>7.0200000000000002E-3</v>
      </c>
      <c r="I120">
        <v>14</v>
      </c>
    </row>
    <row r="121" spans="1:9" x14ac:dyDescent="0.55000000000000004">
      <c r="A121" t="str">
        <f t="shared" si="1"/>
        <v>X-2-f-3-5.5</v>
      </c>
      <c r="B121" t="s">
        <v>0</v>
      </c>
      <c r="C121">
        <v>2</v>
      </c>
      <c r="D121" t="s">
        <v>1</v>
      </c>
      <c r="E121">
        <v>3</v>
      </c>
      <c r="F121">
        <v>5.5</v>
      </c>
      <c r="G121">
        <v>3557.6885040000002</v>
      </c>
      <c r="H121">
        <v>2.8604999999999998E-2</v>
      </c>
      <c r="I121">
        <v>3</v>
      </c>
    </row>
    <row r="122" spans="1:9" x14ac:dyDescent="0.55000000000000004">
      <c r="A122" t="str">
        <f t="shared" si="1"/>
        <v>X-1-e-4-5.5</v>
      </c>
      <c r="B122" t="s">
        <v>0</v>
      </c>
      <c r="C122">
        <v>1</v>
      </c>
      <c r="D122" t="s">
        <v>2</v>
      </c>
      <c r="E122">
        <v>4</v>
      </c>
      <c r="F122">
        <v>5.5</v>
      </c>
      <c r="G122">
        <v>4585.2753670000002</v>
      </c>
      <c r="H122">
        <v>3.1850000000000003E-2</v>
      </c>
      <c r="I122">
        <v>14</v>
      </c>
    </row>
    <row r="123" spans="1:9" x14ac:dyDescent="0.55000000000000004">
      <c r="A123" t="str">
        <f t="shared" si="1"/>
        <v>X-2-f-4-5.5</v>
      </c>
      <c r="B123" t="s">
        <v>0</v>
      </c>
      <c r="C123">
        <v>2</v>
      </c>
      <c r="D123" t="s">
        <v>1</v>
      </c>
      <c r="E123">
        <v>4</v>
      </c>
      <c r="F123">
        <v>5.5</v>
      </c>
      <c r="G123">
        <v>4624.2272849999999</v>
      </c>
      <c r="H123">
        <v>1.1015E-2</v>
      </c>
      <c r="I123">
        <v>3</v>
      </c>
    </row>
    <row r="124" spans="1:9" x14ac:dyDescent="0.55000000000000004">
      <c r="A124" t="str">
        <f t="shared" si="1"/>
        <v>A-1-f-0-5.5</v>
      </c>
      <c r="B124" t="s">
        <v>1121</v>
      </c>
      <c r="C124">
        <v>1</v>
      </c>
      <c r="D124" t="s">
        <v>1</v>
      </c>
      <c r="E124">
        <v>0</v>
      </c>
      <c r="F124">
        <v>5.5</v>
      </c>
      <c r="G124">
        <v>13479.205645</v>
      </c>
      <c r="H124">
        <v>1.6004999999999998E-2</v>
      </c>
      <c r="I124">
        <v>2</v>
      </c>
    </row>
    <row r="125" spans="1:9" x14ac:dyDescent="0.55000000000000004">
      <c r="A125" t="str">
        <f t="shared" si="1"/>
        <v>A-1-e-0-5.5</v>
      </c>
      <c r="B125" t="s">
        <v>1121</v>
      </c>
      <c r="C125">
        <v>1</v>
      </c>
      <c r="D125" t="s">
        <v>2</v>
      </c>
      <c r="E125">
        <v>0</v>
      </c>
      <c r="F125">
        <v>5.5</v>
      </c>
      <c r="G125">
        <v>13503.163391</v>
      </c>
      <c r="H125">
        <v>2.0327999999999999E-2</v>
      </c>
      <c r="I125">
        <v>3</v>
      </c>
    </row>
    <row r="126" spans="1:9" x14ac:dyDescent="0.55000000000000004">
      <c r="A126" t="str">
        <f t="shared" si="1"/>
        <v>A-2-f-0-5.5</v>
      </c>
      <c r="B126" t="s">
        <v>1121</v>
      </c>
      <c r="C126">
        <v>2</v>
      </c>
      <c r="D126" t="s">
        <v>1</v>
      </c>
      <c r="E126">
        <v>0</v>
      </c>
      <c r="F126">
        <v>5.5</v>
      </c>
      <c r="G126">
        <v>13783.759994</v>
      </c>
      <c r="H126">
        <v>2.1874000000000001E-2</v>
      </c>
      <c r="I126">
        <v>3</v>
      </c>
    </row>
    <row r="127" spans="1:9" x14ac:dyDescent="0.55000000000000004">
      <c r="A127" t="str">
        <f t="shared" si="1"/>
        <v>A-2-e-0-5.5</v>
      </c>
      <c r="B127" t="s">
        <v>1121</v>
      </c>
      <c r="C127">
        <v>2</v>
      </c>
      <c r="D127" t="s">
        <v>2</v>
      </c>
      <c r="E127">
        <v>0</v>
      </c>
      <c r="F127">
        <v>5.5</v>
      </c>
      <c r="G127">
        <v>13784.033380000001</v>
      </c>
      <c r="H127">
        <v>2.2702E-2</v>
      </c>
      <c r="I127">
        <v>3</v>
      </c>
    </row>
    <row r="128" spans="1:9" x14ac:dyDescent="0.55000000000000004">
      <c r="A128" t="str">
        <f t="shared" si="1"/>
        <v>B-1-e-0-5.5</v>
      </c>
      <c r="B128" t="s">
        <v>1515</v>
      </c>
      <c r="C128">
        <v>1</v>
      </c>
      <c r="D128" t="s">
        <v>2</v>
      </c>
      <c r="E128">
        <v>0</v>
      </c>
      <c r="F128">
        <v>5.5</v>
      </c>
      <c r="G128">
        <v>14457.053565</v>
      </c>
      <c r="H128">
        <v>1.2019999999999999E-2</v>
      </c>
      <c r="I128">
        <v>3</v>
      </c>
    </row>
    <row r="129" spans="1:9" x14ac:dyDescent="0.55000000000000004">
      <c r="A129" t="str">
        <f t="shared" si="1"/>
        <v>B-2-f-0-5.5</v>
      </c>
      <c r="B129" t="s">
        <v>1515</v>
      </c>
      <c r="C129">
        <v>2</v>
      </c>
      <c r="D129" t="s">
        <v>1</v>
      </c>
      <c r="E129">
        <v>0</v>
      </c>
      <c r="F129">
        <v>5.5</v>
      </c>
      <c r="G129">
        <v>14525.043346</v>
      </c>
      <c r="H129">
        <v>1.4279440000000001</v>
      </c>
      <c r="I129">
        <v>3</v>
      </c>
    </row>
    <row r="130" spans="1:9" x14ac:dyDescent="0.55000000000000004">
      <c r="A130" t="str">
        <f t="shared" si="1"/>
        <v>B-1-e-1-5.5</v>
      </c>
      <c r="B130" t="s">
        <v>1515</v>
      </c>
      <c r="C130">
        <v>1</v>
      </c>
      <c r="D130" t="s">
        <v>2</v>
      </c>
      <c r="E130">
        <v>1</v>
      </c>
      <c r="F130">
        <v>5.5</v>
      </c>
      <c r="G130">
        <v>15647.938676</v>
      </c>
      <c r="H130">
        <v>1.6968E-2</v>
      </c>
      <c r="I130">
        <v>3</v>
      </c>
    </row>
    <row r="131" spans="1:9" x14ac:dyDescent="0.55000000000000004">
      <c r="A131" t="str">
        <f t="shared" ref="A131:A194" si="2">B131&amp;"-"&amp;C131&amp;"-"&amp;D131&amp;"-"&amp;E131&amp;"-"&amp;F131</f>
        <v>B-2-f-1-5.5</v>
      </c>
      <c r="B131" t="s">
        <v>1515</v>
      </c>
      <c r="C131">
        <v>2</v>
      </c>
      <c r="D131" t="s">
        <v>1</v>
      </c>
      <c r="E131">
        <v>1</v>
      </c>
      <c r="F131">
        <v>5.5</v>
      </c>
      <c r="G131">
        <v>15716.098993</v>
      </c>
      <c r="H131">
        <v>8.2739999999999994E-2</v>
      </c>
      <c r="I131">
        <v>3</v>
      </c>
    </row>
    <row r="132" spans="1:9" x14ac:dyDescent="0.55000000000000004">
      <c r="A132" t="str">
        <f t="shared" si="2"/>
        <v>E-1-e-0-5.5</v>
      </c>
      <c r="B132" t="s">
        <v>680</v>
      </c>
      <c r="C132">
        <v>1</v>
      </c>
      <c r="D132" t="s">
        <v>2</v>
      </c>
      <c r="E132">
        <v>0</v>
      </c>
      <c r="F132">
        <v>5.5</v>
      </c>
      <c r="G132">
        <v>18990.327055000002</v>
      </c>
      <c r="H132">
        <v>1.702E-2</v>
      </c>
      <c r="I132">
        <v>3</v>
      </c>
    </row>
    <row r="133" spans="1:9" x14ac:dyDescent="0.55000000000000004">
      <c r="A133" t="str">
        <f t="shared" si="2"/>
        <v>E-1-f-0-5.5</v>
      </c>
      <c r="B133" t="s">
        <v>680</v>
      </c>
      <c r="C133">
        <v>1</v>
      </c>
      <c r="D133" t="s">
        <v>1</v>
      </c>
      <c r="E133">
        <v>0</v>
      </c>
      <c r="F133">
        <v>5.5</v>
      </c>
      <c r="G133">
        <v>18990.711932999999</v>
      </c>
      <c r="H133">
        <v>5.9005000000000002E-2</v>
      </c>
      <c r="I133">
        <v>3</v>
      </c>
    </row>
    <row r="134" spans="1:9" x14ac:dyDescent="0.55000000000000004">
      <c r="A134" t="str">
        <f t="shared" si="2"/>
        <v>E-2-e-0-5.5</v>
      </c>
      <c r="B134" t="s">
        <v>680</v>
      </c>
      <c r="C134">
        <v>2</v>
      </c>
      <c r="D134" t="s">
        <v>2</v>
      </c>
      <c r="E134">
        <v>0</v>
      </c>
      <c r="F134">
        <v>5.5</v>
      </c>
      <c r="G134">
        <v>19104.198429</v>
      </c>
      <c r="H134">
        <v>7.0200000000000002E-3</v>
      </c>
      <c r="I134">
        <v>3</v>
      </c>
    </row>
    <row r="135" spans="1:9" x14ac:dyDescent="0.55000000000000004">
      <c r="A135" t="str">
        <f t="shared" si="2"/>
        <v>E-2-f-0-5.5</v>
      </c>
      <c r="B135" t="s">
        <v>680</v>
      </c>
      <c r="C135">
        <v>2</v>
      </c>
      <c r="D135" t="s">
        <v>1</v>
      </c>
      <c r="E135">
        <v>0</v>
      </c>
      <c r="F135">
        <v>5.5</v>
      </c>
      <c r="G135">
        <v>19104.341323000001</v>
      </c>
      <c r="H135">
        <v>9.0050000000000009E-3</v>
      </c>
      <c r="I135">
        <v>3</v>
      </c>
    </row>
    <row r="136" spans="1:9" x14ac:dyDescent="0.55000000000000004">
      <c r="A136" t="str">
        <f t="shared" si="2"/>
        <v>E-1-e-1-5.5</v>
      </c>
      <c r="B136" t="s">
        <v>680</v>
      </c>
      <c r="C136">
        <v>1</v>
      </c>
      <c r="D136" t="s">
        <v>2</v>
      </c>
      <c r="E136">
        <v>1</v>
      </c>
      <c r="F136">
        <v>5.5</v>
      </c>
      <c r="G136">
        <v>20151.403374000001</v>
      </c>
      <c r="H136">
        <v>8.0099999999999998E-3</v>
      </c>
      <c r="I136">
        <v>3</v>
      </c>
    </row>
    <row r="137" spans="1:9" x14ac:dyDescent="0.55000000000000004">
      <c r="A137" t="str">
        <f t="shared" si="2"/>
        <v>E-1-f-1-5.5</v>
      </c>
      <c r="B137" t="s">
        <v>680</v>
      </c>
      <c r="C137">
        <v>1</v>
      </c>
      <c r="D137" t="s">
        <v>1</v>
      </c>
      <c r="E137">
        <v>1</v>
      </c>
      <c r="F137">
        <v>5.5</v>
      </c>
      <c r="G137">
        <v>20151.720635999998</v>
      </c>
      <c r="H137">
        <v>8.0199999999999994E-3</v>
      </c>
      <c r="I137">
        <v>3</v>
      </c>
    </row>
    <row r="138" spans="1:9" x14ac:dyDescent="0.55000000000000004">
      <c r="A138" t="str">
        <f t="shared" si="2"/>
        <v>E-2-e-1-5.5</v>
      </c>
      <c r="B138" t="s">
        <v>680</v>
      </c>
      <c r="C138">
        <v>2</v>
      </c>
      <c r="D138" t="s">
        <v>2</v>
      </c>
      <c r="E138">
        <v>1</v>
      </c>
      <c r="F138">
        <v>5.5</v>
      </c>
      <c r="G138">
        <v>20268.291507000002</v>
      </c>
      <c r="H138">
        <v>8.0099999999999998E-3</v>
      </c>
      <c r="I138">
        <v>3</v>
      </c>
    </row>
    <row r="139" spans="1:9" x14ac:dyDescent="0.55000000000000004">
      <c r="A139" t="str">
        <f t="shared" si="2"/>
        <v>E-2-f-1-5.5</v>
      </c>
      <c r="B139" t="s">
        <v>680</v>
      </c>
      <c r="C139">
        <v>2</v>
      </c>
      <c r="D139" t="s">
        <v>1</v>
      </c>
      <c r="E139">
        <v>1</v>
      </c>
      <c r="F139">
        <v>5.5</v>
      </c>
      <c r="G139">
        <v>20268.408887000001</v>
      </c>
      <c r="H139">
        <v>8.0199999999999994E-3</v>
      </c>
      <c r="I139">
        <v>3</v>
      </c>
    </row>
    <row r="140" spans="1:9" x14ac:dyDescent="0.55000000000000004">
      <c r="A140" t="str">
        <f t="shared" si="2"/>
        <v>X-1-e-0-6.5</v>
      </c>
      <c r="B140" t="s">
        <v>0</v>
      </c>
      <c r="C140">
        <v>1</v>
      </c>
      <c r="D140" t="s">
        <v>2</v>
      </c>
      <c r="E140">
        <v>0</v>
      </c>
      <c r="F140">
        <v>6.5</v>
      </c>
      <c r="G140">
        <v>152.73562699999999</v>
      </c>
      <c r="H140">
        <v>4.0200000000000001E-3</v>
      </c>
      <c r="I140">
        <v>3</v>
      </c>
    </row>
    <row r="141" spans="1:9" x14ac:dyDescent="0.55000000000000004">
      <c r="A141" t="str">
        <f t="shared" si="2"/>
        <v>X-2-f-0-6.5</v>
      </c>
      <c r="B141" t="s">
        <v>0</v>
      </c>
      <c r="C141">
        <v>2</v>
      </c>
      <c r="D141" t="s">
        <v>1</v>
      </c>
      <c r="E141">
        <v>0</v>
      </c>
      <c r="F141">
        <v>6.5</v>
      </c>
      <c r="G141">
        <v>202.555611</v>
      </c>
      <c r="H141">
        <v>6.0049999999999999E-3</v>
      </c>
      <c r="I141">
        <v>3</v>
      </c>
    </row>
    <row r="142" spans="1:9" x14ac:dyDescent="0.55000000000000004">
      <c r="A142" t="str">
        <f t="shared" si="2"/>
        <v>X-1-e-1-6.5</v>
      </c>
      <c r="B142" t="s">
        <v>0</v>
      </c>
      <c r="C142">
        <v>1</v>
      </c>
      <c r="D142" t="s">
        <v>2</v>
      </c>
      <c r="E142">
        <v>1</v>
      </c>
      <c r="F142">
        <v>6.5</v>
      </c>
      <c r="G142">
        <v>1322.1558170000001</v>
      </c>
      <c r="H142">
        <v>5.0099999999999997E-3</v>
      </c>
      <c r="I142">
        <v>3</v>
      </c>
    </row>
    <row r="143" spans="1:9" x14ac:dyDescent="0.55000000000000004">
      <c r="A143" t="str">
        <f t="shared" si="2"/>
        <v>X-2-f-1-6.5</v>
      </c>
      <c r="B143" t="s">
        <v>0</v>
      </c>
      <c r="C143">
        <v>2</v>
      </c>
      <c r="D143" t="s">
        <v>1</v>
      </c>
      <c r="E143">
        <v>1</v>
      </c>
      <c r="F143">
        <v>6.5</v>
      </c>
      <c r="G143">
        <v>1370.880521</v>
      </c>
      <c r="H143">
        <v>6.0150000000000004E-3</v>
      </c>
      <c r="I143">
        <v>3</v>
      </c>
    </row>
    <row r="144" spans="1:9" x14ac:dyDescent="0.55000000000000004">
      <c r="A144" t="str">
        <f t="shared" si="2"/>
        <v>X-1-e-2-6.5</v>
      </c>
      <c r="B144" t="s">
        <v>0</v>
      </c>
      <c r="C144">
        <v>1</v>
      </c>
      <c r="D144" t="s">
        <v>2</v>
      </c>
      <c r="E144">
        <v>2</v>
      </c>
      <c r="F144">
        <v>6.5</v>
      </c>
      <c r="G144">
        <v>2457.4074919999998</v>
      </c>
      <c r="H144">
        <v>6.0200000000000002E-3</v>
      </c>
      <c r="I144">
        <v>3</v>
      </c>
    </row>
    <row r="145" spans="1:9" x14ac:dyDescent="0.55000000000000004">
      <c r="A145" t="str">
        <f t="shared" si="2"/>
        <v>X-2-f-2-6.5</v>
      </c>
      <c r="B145" t="s">
        <v>0</v>
      </c>
      <c r="C145">
        <v>2</v>
      </c>
      <c r="D145" t="s">
        <v>1</v>
      </c>
      <c r="E145">
        <v>2</v>
      </c>
      <c r="F145">
        <v>6.5</v>
      </c>
      <c r="G145">
        <v>2505.0336619999998</v>
      </c>
      <c r="H145">
        <v>1.7004999999999999E-2</v>
      </c>
      <c r="I145">
        <v>2</v>
      </c>
    </row>
    <row r="146" spans="1:9" x14ac:dyDescent="0.55000000000000004">
      <c r="A146" t="str">
        <f t="shared" si="2"/>
        <v>X-1-e-3-6.5</v>
      </c>
      <c r="B146" t="s">
        <v>0</v>
      </c>
      <c r="C146">
        <v>1</v>
      </c>
      <c r="D146" t="s">
        <v>2</v>
      </c>
      <c r="E146">
        <v>3</v>
      </c>
      <c r="F146">
        <v>6.5</v>
      </c>
      <c r="G146">
        <v>3558.411861</v>
      </c>
      <c r="H146">
        <v>2.9010000000000001E-2</v>
      </c>
      <c r="I146">
        <v>3</v>
      </c>
    </row>
    <row r="147" spans="1:9" x14ac:dyDescent="0.55000000000000004">
      <c r="A147" t="str">
        <f t="shared" si="2"/>
        <v>X-2-f-3-6.5</v>
      </c>
      <c r="B147" t="s">
        <v>0</v>
      </c>
      <c r="C147">
        <v>2</v>
      </c>
      <c r="D147" t="s">
        <v>1</v>
      </c>
      <c r="E147">
        <v>3</v>
      </c>
      <c r="F147">
        <v>6.5</v>
      </c>
      <c r="G147">
        <v>3604.9295849999999</v>
      </c>
      <c r="H147">
        <v>1.0015E-2</v>
      </c>
      <c r="I147">
        <v>3</v>
      </c>
    </row>
    <row r="148" spans="1:9" x14ac:dyDescent="0.55000000000000004">
      <c r="A148" t="str">
        <f t="shared" si="2"/>
        <v>X-1-e-4-6.5</v>
      </c>
      <c r="B148" t="s">
        <v>0</v>
      </c>
      <c r="C148">
        <v>1</v>
      </c>
      <c r="D148" t="s">
        <v>2</v>
      </c>
      <c r="E148">
        <v>4</v>
      </c>
      <c r="F148">
        <v>6.5</v>
      </c>
      <c r="G148">
        <v>4624.9252049999996</v>
      </c>
      <c r="H148">
        <v>8.0199999999999994E-3</v>
      </c>
      <c r="I148">
        <v>3</v>
      </c>
    </row>
    <row r="149" spans="1:9" x14ac:dyDescent="0.55000000000000004">
      <c r="A149" t="str">
        <f t="shared" si="2"/>
        <v>X-2-f-4-6.5</v>
      </c>
      <c r="B149" t="s">
        <v>0</v>
      </c>
      <c r="C149">
        <v>2</v>
      </c>
      <c r="D149" t="s">
        <v>1</v>
      </c>
      <c r="E149">
        <v>4</v>
      </c>
      <c r="F149">
        <v>6.5</v>
      </c>
      <c r="G149">
        <v>4670.3264429999999</v>
      </c>
      <c r="H149">
        <v>4.2705E-2</v>
      </c>
      <c r="I149">
        <v>3</v>
      </c>
    </row>
    <row r="150" spans="1:9" x14ac:dyDescent="0.55000000000000004">
      <c r="A150" t="str">
        <f t="shared" si="2"/>
        <v>A-1-f-0-6.5</v>
      </c>
      <c r="B150" t="s">
        <v>1121</v>
      </c>
      <c r="C150">
        <v>1</v>
      </c>
      <c r="D150" t="s">
        <v>1</v>
      </c>
      <c r="E150">
        <v>0</v>
      </c>
      <c r="F150">
        <v>6.5</v>
      </c>
      <c r="G150">
        <v>13524.905436999999</v>
      </c>
      <c r="H150">
        <v>1.4019999999999999E-2</v>
      </c>
      <c r="I150">
        <v>3</v>
      </c>
    </row>
    <row r="151" spans="1:9" x14ac:dyDescent="0.55000000000000004">
      <c r="A151" t="str">
        <f t="shared" si="2"/>
        <v>A-1-e-0-6.5</v>
      </c>
      <c r="B151" t="s">
        <v>1121</v>
      </c>
      <c r="C151">
        <v>1</v>
      </c>
      <c r="D151" t="s">
        <v>2</v>
      </c>
      <c r="E151">
        <v>0</v>
      </c>
      <c r="F151">
        <v>6.5</v>
      </c>
      <c r="G151">
        <v>13552.625475000001</v>
      </c>
      <c r="H151">
        <v>1.6004999999999998E-2</v>
      </c>
      <c r="I151">
        <v>3</v>
      </c>
    </row>
    <row r="152" spans="1:9" x14ac:dyDescent="0.55000000000000004">
      <c r="A152" t="str">
        <f t="shared" si="2"/>
        <v>A-2-f-0-6.5</v>
      </c>
      <c r="B152" t="s">
        <v>1121</v>
      </c>
      <c r="C152">
        <v>2</v>
      </c>
      <c r="D152" t="s">
        <v>1</v>
      </c>
      <c r="E152">
        <v>0</v>
      </c>
      <c r="F152">
        <v>6.5</v>
      </c>
      <c r="G152">
        <v>13831.450169</v>
      </c>
      <c r="H152">
        <v>4.5423999999999999E-2</v>
      </c>
      <c r="I152">
        <v>3</v>
      </c>
    </row>
    <row r="153" spans="1:9" x14ac:dyDescent="0.55000000000000004">
      <c r="A153" t="str">
        <f t="shared" si="2"/>
        <v>A-2-e-0-6.5</v>
      </c>
      <c r="B153" t="s">
        <v>1121</v>
      </c>
      <c r="C153">
        <v>2</v>
      </c>
      <c r="D153" t="s">
        <v>2</v>
      </c>
      <c r="E153">
        <v>0</v>
      </c>
      <c r="F153">
        <v>6.5</v>
      </c>
      <c r="G153">
        <v>13831.732727000001</v>
      </c>
      <c r="H153">
        <v>4.7711999999999997E-2</v>
      </c>
      <c r="I153">
        <v>3</v>
      </c>
    </row>
    <row r="154" spans="1:9" x14ac:dyDescent="0.55000000000000004">
      <c r="A154" t="str">
        <f t="shared" si="2"/>
        <v>B-1-e-0-6.5</v>
      </c>
      <c r="B154" t="s">
        <v>1515</v>
      </c>
      <c r="C154">
        <v>1</v>
      </c>
      <c r="D154" t="s">
        <v>2</v>
      </c>
      <c r="E154">
        <v>0</v>
      </c>
      <c r="F154">
        <v>6.5</v>
      </c>
      <c r="G154">
        <v>14500.919849</v>
      </c>
      <c r="H154">
        <v>1.401E-2</v>
      </c>
      <c r="I154">
        <v>3</v>
      </c>
    </row>
    <row r="155" spans="1:9" x14ac:dyDescent="0.55000000000000004">
      <c r="A155" t="str">
        <f t="shared" si="2"/>
        <v>B-2-f-0-6.5</v>
      </c>
      <c r="B155" t="s">
        <v>1515</v>
      </c>
      <c r="C155">
        <v>2</v>
      </c>
      <c r="D155" t="s">
        <v>1</v>
      </c>
      <c r="E155">
        <v>0</v>
      </c>
      <c r="F155">
        <v>6.5</v>
      </c>
      <c r="G155">
        <v>14580.472847999999</v>
      </c>
      <c r="H155">
        <v>1.235703</v>
      </c>
      <c r="I155">
        <v>3</v>
      </c>
    </row>
    <row r="156" spans="1:9" x14ac:dyDescent="0.55000000000000004">
      <c r="A156" t="str">
        <f t="shared" si="2"/>
        <v>B-1-e-1-6.5</v>
      </c>
      <c r="B156" t="s">
        <v>1515</v>
      </c>
      <c r="C156">
        <v>1</v>
      </c>
      <c r="D156" t="s">
        <v>2</v>
      </c>
      <c r="E156">
        <v>1</v>
      </c>
      <c r="F156">
        <v>6.5</v>
      </c>
      <c r="G156">
        <v>15690.774331000001</v>
      </c>
      <c r="H156">
        <v>6.8645999999999999E-2</v>
      </c>
      <c r="I156">
        <v>3</v>
      </c>
    </row>
    <row r="157" spans="1:9" x14ac:dyDescent="0.55000000000000004">
      <c r="A157" t="str">
        <f t="shared" si="2"/>
        <v>B-2-f-1-6.5</v>
      </c>
      <c r="B157" t="s">
        <v>1515</v>
      </c>
      <c r="C157">
        <v>2</v>
      </c>
      <c r="D157" t="s">
        <v>1</v>
      </c>
      <c r="E157">
        <v>1</v>
      </c>
      <c r="F157">
        <v>6.5</v>
      </c>
      <c r="G157">
        <v>15770.313813999999</v>
      </c>
      <c r="H157">
        <v>9.5753000000000005E-2</v>
      </c>
      <c r="I157">
        <v>3</v>
      </c>
    </row>
    <row r="158" spans="1:9" x14ac:dyDescent="0.55000000000000004">
      <c r="A158" t="str">
        <f t="shared" si="2"/>
        <v>E-1-e-0-6.5</v>
      </c>
      <c r="B158" t="s">
        <v>680</v>
      </c>
      <c r="C158">
        <v>1</v>
      </c>
      <c r="D158" t="s">
        <v>2</v>
      </c>
      <c r="E158">
        <v>0</v>
      </c>
      <c r="F158">
        <v>6.5</v>
      </c>
      <c r="G158">
        <v>19037.187543</v>
      </c>
      <c r="H158">
        <v>5.901E-2</v>
      </c>
      <c r="I158">
        <v>3</v>
      </c>
    </row>
    <row r="159" spans="1:9" x14ac:dyDescent="0.55000000000000004">
      <c r="A159" t="str">
        <f t="shared" si="2"/>
        <v>E-1-f-0-6.5</v>
      </c>
      <c r="B159" t="s">
        <v>680</v>
      </c>
      <c r="C159">
        <v>1</v>
      </c>
      <c r="D159" t="s">
        <v>1</v>
      </c>
      <c r="E159">
        <v>0</v>
      </c>
      <c r="F159">
        <v>6.5</v>
      </c>
      <c r="G159">
        <v>19037.581023999999</v>
      </c>
      <c r="H159">
        <v>0.10902000000000001</v>
      </c>
      <c r="I159">
        <v>3</v>
      </c>
    </row>
    <row r="160" spans="1:9" x14ac:dyDescent="0.55000000000000004">
      <c r="A160" t="str">
        <f t="shared" si="2"/>
        <v>E-2-e-0-6.5</v>
      </c>
      <c r="B160" t="s">
        <v>680</v>
      </c>
      <c r="C160">
        <v>2</v>
      </c>
      <c r="D160" t="s">
        <v>2</v>
      </c>
      <c r="E160">
        <v>0</v>
      </c>
      <c r="F160">
        <v>6.5</v>
      </c>
      <c r="G160">
        <v>19154.566962000001</v>
      </c>
      <c r="H160">
        <v>1.1004999999999999E-2</v>
      </c>
      <c r="I160">
        <v>3</v>
      </c>
    </row>
    <row r="161" spans="1:9" x14ac:dyDescent="0.55000000000000004">
      <c r="A161" t="str">
        <f t="shared" si="2"/>
        <v>E-2-f-0-6.5</v>
      </c>
      <c r="B161" t="s">
        <v>680</v>
      </c>
      <c r="C161">
        <v>2</v>
      </c>
      <c r="D161" t="s">
        <v>1</v>
      </c>
      <c r="E161">
        <v>0</v>
      </c>
      <c r="F161">
        <v>6.5</v>
      </c>
      <c r="G161">
        <v>19154.792562999999</v>
      </c>
      <c r="H161">
        <v>1.2015E-2</v>
      </c>
      <c r="I161">
        <v>3</v>
      </c>
    </row>
    <row r="162" spans="1:9" x14ac:dyDescent="0.55000000000000004">
      <c r="A162" t="str">
        <f t="shared" si="2"/>
        <v>E-1-e-1-6.5</v>
      </c>
      <c r="B162" t="s">
        <v>680</v>
      </c>
      <c r="C162">
        <v>1</v>
      </c>
      <c r="D162" t="s">
        <v>2</v>
      </c>
      <c r="E162">
        <v>1</v>
      </c>
      <c r="F162">
        <v>6.5</v>
      </c>
      <c r="G162">
        <v>20197.122083999999</v>
      </c>
      <c r="H162">
        <v>8.0199999999999994E-3</v>
      </c>
      <c r="I162">
        <v>3</v>
      </c>
    </row>
    <row r="163" spans="1:9" x14ac:dyDescent="0.55000000000000004">
      <c r="A163" t="str">
        <f t="shared" si="2"/>
        <v>E-1-f-1-6.5</v>
      </c>
      <c r="B163" t="s">
        <v>680</v>
      </c>
      <c r="C163">
        <v>1</v>
      </c>
      <c r="D163" t="s">
        <v>1</v>
      </c>
      <c r="E163">
        <v>1</v>
      </c>
      <c r="F163">
        <v>6.5</v>
      </c>
      <c r="G163">
        <v>20197.448431000001</v>
      </c>
      <c r="H163">
        <v>1.0005E-2</v>
      </c>
      <c r="I163">
        <v>3</v>
      </c>
    </row>
    <row r="164" spans="1:9" x14ac:dyDescent="0.55000000000000004">
      <c r="A164" t="str">
        <f t="shared" si="2"/>
        <v>E-2-e-1-6.5</v>
      </c>
      <c r="B164" t="s">
        <v>680</v>
      </c>
      <c r="C164">
        <v>2</v>
      </c>
      <c r="D164" t="s">
        <v>2</v>
      </c>
      <c r="E164">
        <v>1</v>
      </c>
      <c r="F164">
        <v>6.5</v>
      </c>
      <c r="G164">
        <v>20317.259767</v>
      </c>
      <c r="H164">
        <v>8.0199999999999994E-3</v>
      </c>
      <c r="I164">
        <v>3</v>
      </c>
    </row>
    <row r="165" spans="1:9" x14ac:dyDescent="0.55000000000000004">
      <c r="A165" t="str">
        <f t="shared" si="2"/>
        <v>E-2-f-1-6.5</v>
      </c>
      <c r="B165" t="s">
        <v>680</v>
      </c>
      <c r="C165">
        <v>2</v>
      </c>
      <c r="D165" t="s">
        <v>1</v>
      </c>
      <c r="E165">
        <v>1</v>
      </c>
      <c r="F165">
        <v>6.5</v>
      </c>
      <c r="G165">
        <v>20317.442847999999</v>
      </c>
      <c r="H165">
        <v>1.0005E-2</v>
      </c>
      <c r="I165">
        <v>3</v>
      </c>
    </row>
    <row r="166" spans="1:9" x14ac:dyDescent="0.55000000000000004">
      <c r="A166" t="str">
        <f t="shared" si="2"/>
        <v>X-1-e-0-7.5</v>
      </c>
      <c r="B166" t="s">
        <v>0</v>
      </c>
      <c r="C166">
        <v>1</v>
      </c>
      <c r="D166" t="s">
        <v>2</v>
      </c>
      <c r="E166">
        <v>0</v>
      </c>
      <c r="F166">
        <v>7.5</v>
      </c>
      <c r="G166">
        <v>203.479523</v>
      </c>
      <c r="H166">
        <v>6.0099999999999997E-3</v>
      </c>
      <c r="I166">
        <v>3</v>
      </c>
    </row>
    <row r="167" spans="1:9" x14ac:dyDescent="0.55000000000000004">
      <c r="A167" t="str">
        <f t="shared" si="2"/>
        <v>X-2-f-0-7.5</v>
      </c>
      <c r="B167" t="s">
        <v>0</v>
      </c>
      <c r="C167">
        <v>2</v>
      </c>
      <c r="D167" t="s">
        <v>1</v>
      </c>
      <c r="E167">
        <v>0</v>
      </c>
      <c r="F167">
        <v>7.5</v>
      </c>
      <c r="G167">
        <v>260.35213099999999</v>
      </c>
      <c r="H167">
        <v>7.0150000000000004E-3</v>
      </c>
      <c r="I167">
        <v>3</v>
      </c>
    </row>
    <row r="168" spans="1:9" x14ac:dyDescent="0.55000000000000004">
      <c r="A168" t="str">
        <f t="shared" si="2"/>
        <v>X-1-e-1-7.5</v>
      </c>
      <c r="B168" t="s">
        <v>0</v>
      </c>
      <c r="C168">
        <v>1</v>
      </c>
      <c r="D168" t="s">
        <v>2</v>
      </c>
      <c r="E168">
        <v>1</v>
      </c>
      <c r="F168">
        <v>7.5</v>
      </c>
      <c r="G168">
        <v>1371.7740960000001</v>
      </c>
      <c r="H168">
        <v>5.0200000000000002E-3</v>
      </c>
      <c r="I168">
        <v>13</v>
      </c>
    </row>
    <row r="169" spans="1:9" x14ac:dyDescent="0.55000000000000004">
      <c r="A169" t="str">
        <f t="shared" si="2"/>
        <v>X-2-f-1-7.5</v>
      </c>
      <c r="B169" t="s">
        <v>0</v>
      </c>
      <c r="C169">
        <v>2</v>
      </c>
      <c r="D169" t="s">
        <v>1</v>
      </c>
      <c r="E169">
        <v>1</v>
      </c>
      <c r="F169">
        <v>7.5</v>
      </c>
      <c r="G169">
        <v>1427.396508</v>
      </c>
      <c r="H169">
        <v>7.0049999999999999E-3</v>
      </c>
      <c r="I169">
        <v>3</v>
      </c>
    </row>
    <row r="170" spans="1:9" x14ac:dyDescent="0.55000000000000004">
      <c r="A170" t="str">
        <f t="shared" si="2"/>
        <v>X-1-e-2-7.5</v>
      </c>
      <c r="B170" t="s">
        <v>0</v>
      </c>
      <c r="C170">
        <v>1</v>
      </c>
      <c r="D170" t="s">
        <v>2</v>
      </c>
      <c r="E170">
        <v>2</v>
      </c>
      <c r="F170">
        <v>7.5</v>
      </c>
      <c r="G170">
        <v>2505.896663</v>
      </c>
      <c r="H170">
        <v>1.651E-2</v>
      </c>
      <c r="I170">
        <v>13</v>
      </c>
    </row>
    <row r="171" spans="1:9" x14ac:dyDescent="0.55000000000000004">
      <c r="A171" t="str">
        <f t="shared" si="2"/>
        <v>X-2-f-2-7.5</v>
      </c>
      <c r="B171" t="s">
        <v>0</v>
      </c>
      <c r="C171">
        <v>2</v>
      </c>
      <c r="D171" t="s">
        <v>1</v>
      </c>
      <c r="E171">
        <v>2</v>
      </c>
      <c r="F171">
        <v>7.5</v>
      </c>
      <c r="G171">
        <v>2560.2623400000002</v>
      </c>
      <c r="H171">
        <v>9.0150000000000004E-3</v>
      </c>
      <c r="I171">
        <v>3</v>
      </c>
    </row>
    <row r="172" spans="1:9" x14ac:dyDescent="0.55000000000000004">
      <c r="A172" t="str">
        <f t="shared" si="2"/>
        <v>X-1-e-3-7.5</v>
      </c>
      <c r="B172" t="s">
        <v>0</v>
      </c>
      <c r="C172">
        <v>1</v>
      </c>
      <c r="D172" t="s">
        <v>2</v>
      </c>
      <c r="E172">
        <v>3</v>
      </c>
      <c r="F172">
        <v>7.5</v>
      </c>
      <c r="G172">
        <v>3605.7617019999998</v>
      </c>
      <c r="H172">
        <v>7.0200000000000002E-3</v>
      </c>
      <c r="I172">
        <v>12</v>
      </c>
    </row>
    <row r="173" spans="1:9" x14ac:dyDescent="0.55000000000000004">
      <c r="A173" t="str">
        <f t="shared" si="2"/>
        <v>X-2-f-3-7.5</v>
      </c>
      <c r="B173" t="s">
        <v>0</v>
      </c>
      <c r="C173">
        <v>2</v>
      </c>
      <c r="D173" t="s">
        <v>1</v>
      </c>
      <c r="E173">
        <v>3</v>
      </c>
      <c r="F173">
        <v>7.5</v>
      </c>
      <c r="G173">
        <v>3658.8647810000002</v>
      </c>
      <c r="H173">
        <v>3.6304999999999997E-2</v>
      </c>
      <c r="I173">
        <v>3</v>
      </c>
    </row>
    <row r="174" spans="1:9" x14ac:dyDescent="0.55000000000000004">
      <c r="A174" t="str">
        <f t="shared" si="2"/>
        <v>X-1-e-4-7.5</v>
      </c>
      <c r="B174" t="s">
        <v>0</v>
      </c>
      <c r="C174">
        <v>1</v>
      </c>
      <c r="D174" t="s">
        <v>2</v>
      </c>
      <c r="E174">
        <v>4</v>
      </c>
      <c r="F174">
        <v>7.5</v>
      </c>
      <c r="G174">
        <v>4671.1281259999996</v>
      </c>
      <c r="H174">
        <v>4.5510000000000002E-2</v>
      </c>
      <c r="I174">
        <v>13</v>
      </c>
    </row>
    <row r="175" spans="1:9" x14ac:dyDescent="0.55000000000000004">
      <c r="A175" t="str">
        <f t="shared" si="2"/>
        <v>X-2-f-4-7.5</v>
      </c>
      <c r="B175" t="s">
        <v>0</v>
      </c>
      <c r="C175">
        <v>2</v>
      </c>
      <c r="D175" t="s">
        <v>1</v>
      </c>
      <c r="E175">
        <v>4</v>
      </c>
      <c r="F175">
        <v>7.5</v>
      </c>
      <c r="G175">
        <v>4722.9503560000003</v>
      </c>
      <c r="H175">
        <v>1.1015E-2</v>
      </c>
      <c r="I175">
        <v>2</v>
      </c>
    </row>
    <row r="176" spans="1:9" x14ac:dyDescent="0.55000000000000004">
      <c r="A176" t="str">
        <f t="shared" si="2"/>
        <v>A-1-f-0-7.5</v>
      </c>
      <c r="B176" t="s">
        <v>1121</v>
      </c>
      <c r="C176">
        <v>1</v>
      </c>
      <c r="D176" t="s">
        <v>1</v>
      </c>
      <c r="E176">
        <v>0</v>
      </c>
      <c r="F176">
        <v>7.5</v>
      </c>
      <c r="G176">
        <v>13577.886828999999</v>
      </c>
      <c r="H176">
        <v>1.6004999999999998E-2</v>
      </c>
      <c r="I176">
        <v>2</v>
      </c>
    </row>
    <row r="177" spans="1:9" x14ac:dyDescent="0.55000000000000004">
      <c r="A177" t="str">
        <f t="shared" si="2"/>
        <v>A-1-e-0-7.5</v>
      </c>
      <c r="B177" t="s">
        <v>1121</v>
      </c>
      <c r="C177">
        <v>1</v>
      </c>
      <c r="D177" t="s">
        <v>2</v>
      </c>
      <c r="E177">
        <v>0</v>
      </c>
      <c r="F177">
        <v>7.5</v>
      </c>
      <c r="G177">
        <v>13609.290622</v>
      </c>
      <c r="H177">
        <v>2.2105E-2</v>
      </c>
      <c r="I177">
        <v>2</v>
      </c>
    </row>
    <row r="178" spans="1:9" x14ac:dyDescent="0.55000000000000004">
      <c r="A178" t="str">
        <f t="shared" si="2"/>
        <v>A-2-f-0-7.5</v>
      </c>
      <c r="B178" t="s">
        <v>1121</v>
      </c>
      <c r="C178">
        <v>2</v>
      </c>
      <c r="D178" t="s">
        <v>1</v>
      </c>
      <c r="E178">
        <v>0</v>
      </c>
      <c r="F178">
        <v>7.5</v>
      </c>
      <c r="G178">
        <v>13886.303943999999</v>
      </c>
      <c r="H178">
        <v>3.5785999999999998E-2</v>
      </c>
      <c r="I178">
        <v>2</v>
      </c>
    </row>
    <row r="179" spans="1:9" x14ac:dyDescent="0.55000000000000004">
      <c r="A179" t="str">
        <f t="shared" si="2"/>
        <v>A-2-e-0-7.5</v>
      </c>
      <c r="B179" t="s">
        <v>1121</v>
      </c>
      <c r="C179">
        <v>2</v>
      </c>
      <c r="D179" t="s">
        <v>2</v>
      </c>
      <c r="E179">
        <v>0</v>
      </c>
      <c r="F179">
        <v>7.5</v>
      </c>
      <c r="G179">
        <v>13886.791948</v>
      </c>
      <c r="H179">
        <v>2.4198000000000001E-2</v>
      </c>
      <c r="I179">
        <v>2</v>
      </c>
    </row>
    <row r="180" spans="1:9" x14ac:dyDescent="0.55000000000000004">
      <c r="A180" t="str">
        <f t="shared" si="2"/>
        <v>B-1-e-0-7.5</v>
      </c>
      <c r="B180" t="s">
        <v>1515</v>
      </c>
      <c r="C180">
        <v>1</v>
      </c>
      <c r="D180" t="s">
        <v>2</v>
      </c>
      <c r="E180">
        <v>0</v>
      </c>
      <c r="F180">
        <v>7.5</v>
      </c>
      <c r="G180">
        <v>14552.381842000001</v>
      </c>
      <c r="H180">
        <v>7.4012999999999995E-2</v>
      </c>
      <c r="I180">
        <v>2</v>
      </c>
    </row>
    <row r="181" spans="1:9" x14ac:dyDescent="0.55000000000000004">
      <c r="A181" t="str">
        <f t="shared" si="2"/>
        <v>B-2-f-0-7.5</v>
      </c>
      <c r="B181" t="s">
        <v>1515</v>
      </c>
      <c r="C181">
        <v>2</v>
      </c>
      <c r="D181" t="s">
        <v>1</v>
      </c>
      <c r="E181">
        <v>0</v>
      </c>
      <c r="F181">
        <v>7.5</v>
      </c>
      <c r="G181">
        <v>14643.498168</v>
      </c>
      <c r="H181">
        <v>1.012127</v>
      </c>
      <c r="I181">
        <v>2</v>
      </c>
    </row>
    <row r="182" spans="1:9" x14ac:dyDescent="0.55000000000000004">
      <c r="A182" t="str">
        <f t="shared" si="2"/>
        <v>B-1-e-1-7.5</v>
      </c>
      <c r="B182" t="s">
        <v>1515</v>
      </c>
      <c r="C182">
        <v>1</v>
      </c>
      <c r="D182" t="s">
        <v>2</v>
      </c>
      <c r="E182">
        <v>1</v>
      </c>
      <c r="F182">
        <v>7.5</v>
      </c>
      <c r="G182">
        <v>15740.816736000001</v>
      </c>
      <c r="H182">
        <v>8.0629999999999993E-2</v>
      </c>
      <c r="I182">
        <v>2</v>
      </c>
    </row>
    <row r="183" spans="1:9" x14ac:dyDescent="0.55000000000000004">
      <c r="A183" t="str">
        <f t="shared" si="2"/>
        <v>B-2-f-1-7.5</v>
      </c>
      <c r="B183" t="s">
        <v>1515</v>
      </c>
      <c r="C183">
        <v>2</v>
      </c>
      <c r="D183" t="s">
        <v>1</v>
      </c>
      <c r="E183">
        <v>1</v>
      </c>
      <c r="F183">
        <v>7.5</v>
      </c>
      <c r="G183">
        <v>15831.506203000001</v>
      </c>
      <c r="H183">
        <v>1.6015000000000001E-2</v>
      </c>
      <c r="I183">
        <v>2</v>
      </c>
    </row>
    <row r="184" spans="1:9" x14ac:dyDescent="0.55000000000000004">
      <c r="A184" t="str">
        <f t="shared" si="2"/>
        <v>E-1-e-0-7.5</v>
      </c>
      <c r="B184" t="s">
        <v>680</v>
      </c>
      <c r="C184">
        <v>1</v>
      </c>
      <c r="D184" t="s">
        <v>2</v>
      </c>
      <c r="E184">
        <v>0</v>
      </c>
      <c r="F184">
        <v>7.5</v>
      </c>
      <c r="G184">
        <v>19091.273026999999</v>
      </c>
      <c r="H184">
        <v>5.9020000000000003E-2</v>
      </c>
      <c r="I184">
        <v>2</v>
      </c>
    </row>
    <row r="185" spans="1:9" x14ac:dyDescent="0.55000000000000004">
      <c r="A185" t="str">
        <f t="shared" si="2"/>
        <v>E-1-f-0-7.5</v>
      </c>
      <c r="B185" t="s">
        <v>680</v>
      </c>
      <c r="C185">
        <v>1</v>
      </c>
      <c r="D185" t="s">
        <v>1</v>
      </c>
      <c r="E185">
        <v>0</v>
      </c>
      <c r="F185">
        <v>7.5</v>
      </c>
      <c r="G185">
        <v>19091.650012999999</v>
      </c>
      <c r="H185">
        <v>0.11100500000000001</v>
      </c>
      <c r="I185">
        <v>2</v>
      </c>
    </row>
    <row r="186" spans="1:9" x14ac:dyDescent="0.55000000000000004">
      <c r="A186" t="str">
        <f t="shared" si="2"/>
        <v>E-2-e-0-7.5</v>
      </c>
      <c r="B186" t="s">
        <v>680</v>
      </c>
      <c r="C186">
        <v>2</v>
      </c>
      <c r="D186" t="s">
        <v>2</v>
      </c>
      <c r="E186">
        <v>0</v>
      </c>
      <c r="F186">
        <v>7.5</v>
      </c>
      <c r="G186">
        <v>19212.551258</v>
      </c>
      <c r="H186">
        <v>9.0200000000000002E-3</v>
      </c>
      <c r="I186">
        <v>2</v>
      </c>
    </row>
    <row r="187" spans="1:9" x14ac:dyDescent="0.55000000000000004">
      <c r="A187" t="str">
        <f t="shared" si="2"/>
        <v>E-2-f-0-7.5</v>
      </c>
      <c r="B187" t="s">
        <v>680</v>
      </c>
      <c r="C187">
        <v>2</v>
      </c>
      <c r="D187" t="s">
        <v>1</v>
      </c>
      <c r="E187">
        <v>0</v>
      </c>
      <c r="F187">
        <v>7.5</v>
      </c>
      <c r="G187">
        <v>19212.871004000001</v>
      </c>
      <c r="H187">
        <v>1.3004999999999999E-2</v>
      </c>
      <c r="I187">
        <v>2</v>
      </c>
    </row>
    <row r="188" spans="1:9" x14ac:dyDescent="0.55000000000000004">
      <c r="A188" t="str">
        <f t="shared" si="2"/>
        <v>E-1-e-1-7.5</v>
      </c>
      <c r="B188" t="s">
        <v>680</v>
      </c>
      <c r="C188">
        <v>1</v>
      </c>
      <c r="D188" t="s">
        <v>2</v>
      </c>
      <c r="E188">
        <v>1</v>
      </c>
      <c r="F188">
        <v>7.5</v>
      </c>
      <c r="G188">
        <v>20249.878067000001</v>
      </c>
      <c r="H188">
        <v>1.001E-2</v>
      </c>
      <c r="I188">
        <v>2</v>
      </c>
    </row>
    <row r="189" spans="1:9" x14ac:dyDescent="0.55000000000000004">
      <c r="A189" t="str">
        <f t="shared" si="2"/>
        <v>E-1-f-1-7.5</v>
      </c>
      <c r="B189" t="s">
        <v>680</v>
      </c>
      <c r="C189">
        <v>1</v>
      </c>
      <c r="D189" t="s">
        <v>1</v>
      </c>
      <c r="E189">
        <v>1</v>
      </c>
      <c r="F189">
        <v>7.5</v>
      </c>
      <c r="G189">
        <v>20250.184093</v>
      </c>
      <c r="H189">
        <v>1.0019999999999999E-2</v>
      </c>
      <c r="I189">
        <v>13</v>
      </c>
    </row>
    <row r="190" spans="1:9" x14ac:dyDescent="0.55000000000000004">
      <c r="A190" t="str">
        <f t="shared" si="2"/>
        <v>E-2-e-1-7.5</v>
      </c>
      <c r="B190" t="s">
        <v>680</v>
      </c>
      <c r="C190">
        <v>2</v>
      </c>
      <c r="D190" t="s">
        <v>2</v>
      </c>
      <c r="E190">
        <v>1</v>
      </c>
      <c r="F190">
        <v>7.5</v>
      </c>
      <c r="G190">
        <v>20373.63351</v>
      </c>
      <c r="H190">
        <v>1.001E-2</v>
      </c>
      <c r="I190">
        <v>9</v>
      </c>
    </row>
    <row r="191" spans="1:9" x14ac:dyDescent="0.55000000000000004">
      <c r="A191" t="str">
        <f t="shared" si="2"/>
        <v>E-2-f-1-7.5</v>
      </c>
      <c r="B191" t="s">
        <v>680</v>
      </c>
      <c r="C191">
        <v>2</v>
      </c>
      <c r="D191" t="s">
        <v>1</v>
      </c>
      <c r="E191">
        <v>1</v>
      </c>
      <c r="F191">
        <v>7.5</v>
      </c>
      <c r="G191">
        <v>20373.893843000002</v>
      </c>
      <c r="H191">
        <v>1.1015E-2</v>
      </c>
      <c r="I191">
        <v>9</v>
      </c>
    </row>
    <row r="192" spans="1:9" x14ac:dyDescent="0.55000000000000004">
      <c r="A192" t="str">
        <f t="shared" si="2"/>
        <v>X-1-e-0-8.5</v>
      </c>
      <c r="B192" t="s">
        <v>0</v>
      </c>
      <c r="C192">
        <v>1</v>
      </c>
      <c r="D192" t="s">
        <v>2</v>
      </c>
      <c r="E192">
        <v>0</v>
      </c>
      <c r="F192">
        <v>8.5</v>
      </c>
      <c r="G192">
        <v>261.39805699999999</v>
      </c>
      <c r="H192">
        <v>6.0200000000000002E-3</v>
      </c>
      <c r="I192">
        <v>7</v>
      </c>
    </row>
    <row r="193" spans="1:9" x14ac:dyDescent="0.55000000000000004">
      <c r="A193" t="str">
        <f t="shared" si="2"/>
        <v>X-2-f-0-8.5</v>
      </c>
      <c r="B193" t="s">
        <v>0</v>
      </c>
      <c r="C193">
        <v>2</v>
      </c>
      <c r="D193" t="s">
        <v>1</v>
      </c>
      <c r="E193">
        <v>0</v>
      </c>
      <c r="F193">
        <v>8.5</v>
      </c>
      <c r="G193">
        <v>325.300726</v>
      </c>
      <c r="H193">
        <v>8.005E-3</v>
      </c>
      <c r="I193">
        <v>7</v>
      </c>
    </row>
    <row r="194" spans="1:9" x14ac:dyDescent="0.55000000000000004">
      <c r="A194" t="str">
        <f t="shared" si="2"/>
        <v>X-1-e-1-8.5</v>
      </c>
      <c r="B194" t="s">
        <v>0</v>
      </c>
      <c r="C194">
        <v>1</v>
      </c>
      <c r="D194" t="s">
        <v>2</v>
      </c>
      <c r="E194">
        <v>1</v>
      </c>
      <c r="F194">
        <v>8.5</v>
      </c>
      <c r="G194">
        <v>1428.4076560000001</v>
      </c>
      <c r="H194">
        <v>7.0099999999999997E-3</v>
      </c>
      <c r="I194">
        <v>7</v>
      </c>
    </row>
    <row r="195" spans="1:9" x14ac:dyDescent="0.55000000000000004">
      <c r="A195" t="str">
        <f t="shared" ref="A195:A258" si="3">B195&amp;"-"&amp;C195&amp;"-"&amp;D195&amp;"-"&amp;E195&amp;"-"&amp;F195</f>
        <v>X-2-f-1-8.5</v>
      </c>
      <c r="B195" t="s">
        <v>0</v>
      </c>
      <c r="C195">
        <v>2</v>
      </c>
      <c r="D195" t="s">
        <v>1</v>
      </c>
      <c r="E195">
        <v>1</v>
      </c>
      <c r="F195">
        <v>8.5</v>
      </c>
      <c r="G195">
        <v>1490.901885</v>
      </c>
      <c r="H195">
        <v>8.0149999999999996E-3</v>
      </c>
      <c r="I195">
        <v>7</v>
      </c>
    </row>
    <row r="196" spans="1:9" x14ac:dyDescent="0.55000000000000004">
      <c r="A196" t="str">
        <f t="shared" si="3"/>
        <v>X-1-e-2-8.5</v>
      </c>
      <c r="B196" t="s">
        <v>0</v>
      </c>
      <c r="C196">
        <v>1</v>
      </c>
      <c r="D196" t="s">
        <v>2</v>
      </c>
      <c r="E196">
        <v>2</v>
      </c>
      <c r="F196">
        <v>8.5</v>
      </c>
      <c r="G196">
        <v>2561.238558</v>
      </c>
      <c r="H196">
        <v>8.0199999999999994E-3</v>
      </c>
      <c r="I196">
        <v>7</v>
      </c>
    </row>
    <row r="197" spans="1:9" x14ac:dyDescent="0.55000000000000004">
      <c r="A197" t="str">
        <f t="shared" si="3"/>
        <v>X-2-f-2-8.5</v>
      </c>
      <c r="B197" t="s">
        <v>0</v>
      </c>
      <c r="C197">
        <v>2</v>
      </c>
      <c r="D197" t="s">
        <v>1</v>
      </c>
      <c r="E197">
        <v>2</v>
      </c>
      <c r="F197">
        <v>8.5</v>
      </c>
      <c r="G197">
        <v>2622.321058</v>
      </c>
      <c r="H197">
        <v>2.6005E-2</v>
      </c>
      <c r="I197">
        <v>2</v>
      </c>
    </row>
    <row r="198" spans="1:9" x14ac:dyDescent="0.55000000000000004">
      <c r="A198" t="str">
        <f t="shared" si="3"/>
        <v>X-1-e-3-8.5</v>
      </c>
      <c r="B198" t="s">
        <v>0</v>
      </c>
      <c r="C198">
        <v>1</v>
      </c>
      <c r="D198" t="s">
        <v>2</v>
      </c>
      <c r="E198">
        <v>3</v>
      </c>
      <c r="F198">
        <v>8.5</v>
      </c>
      <c r="G198">
        <v>3659.80629</v>
      </c>
      <c r="H198">
        <v>3.5209999999999998E-2</v>
      </c>
      <c r="I198">
        <v>2</v>
      </c>
    </row>
    <row r="199" spans="1:9" x14ac:dyDescent="0.55000000000000004">
      <c r="A199" t="str">
        <f t="shared" si="3"/>
        <v>X-2-f-3-8.5</v>
      </c>
      <c r="B199" t="s">
        <v>0</v>
      </c>
      <c r="C199">
        <v>2</v>
      </c>
      <c r="D199" t="s">
        <v>1</v>
      </c>
      <c r="E199">
        <v>3</v>
      </c>
      <c r="F199">
        <v>8.5</v>
      </c>
      <c r="G199">
        <v>3719.4636260000002</v>
      </c>
      <c r="H199">
        <v>1.0015E-2</v>
      </c>
      <c r="I199">
        <v>2</v>
      </c>
    </row>
    <row r="200" spans="1:9" x14ac:dyDescent="0.55000000000000004">
      <c r="A200" t="str">
        <f t="shared" si="3"/>
        <v>X-1-e-4-8.5</v>
      </c>
      <c r="B200" t="s">
        <v>0</v>
      </c>
      <c r="C200">
        <v>1</v>
      </c>
      <c r="D200" t="s">
        <v>2</v>
      </c>
      <c r="E200">
        <v>4</v>
      </c>
      <c r="F200">
        <v>8.5</v>
      </c>
      <c r="G200">
        <v>4723.8565609999996</v>
      </c>
      <c r="H200">
        <v>1.3180000000000001E-2</v>
      </c>
      <c r="I200">
        <v>2</v>
      </c>
    </row>
    <row r="201" spans="1:9" x14ac:dyDescent="0.55000000000000004">
      <c r="A201" t="str">
        <f t="shared" si="3"/>
        <v>X-2-f-4-8.5</v>
      </c>
      <c r="B201" t="s">
        <v>0</v>
      </c>
      <c r="C201">
        <v>2</v>
      </c>
      <c r="D201" t="s">
        <v>1</v>
      </c>
      <c r="E201">
        <v>4</v>
      </c>
      <c r="F201">
        <v>8.5</v>
      </c>
      <c r="G201">
        <v>4782.0790440000001</v>
      </c>
      <c r="H201">
        <v>5.2905000000000001E-2</v>
      </c>
      <c r="I201">
        <v>2</v>
      </c>
    </row>
    <row r="202" spans="1:9" x14ac:dyDescent="0.55000000000000004">
      <c r="A202" t="str">
        <f t="shared" si="3"/>
        <v>A-1-f-0-8.5</v>
      </c>
      <c r="B202" t="s">
        <v>1121</v>
      </c>
      <c r="C202">
        <v>1</v>
      </c>
      <c r="D202" t="s">
        <v>1</v>
      </c>
      <c r="E202">
        <v>0</v>
      </c>
      <c r="F202">
        <v>8.5</v>
      </c>
      <c r="G202">
        <v>13638.167436</v>
      </c>
      <c r="H202">
        <v>2.5373E-2</v>
      </c>
      <c r="I202">
        <v>2</v>
      </c>
    </row>
    <row r="203" spans="1:9" x14ac:dyDescent="0.55000000000000004">
      <c r="A203" t="str">
        <f t="shared" si="3"/>
        <v>A-1-e-0-8.5</v>
      </c>
      <c r="B203" t="s">
        <v>1121</v>
      </c>
      <c r="C203">
        <v>1</v>
      </c>
      <c r="D203" t="s">
        <v>2</v>
      </c>
      <c r="E203">
        <v>0</v>
      </c>
      <c r="F203">
        <v>8.5</v>
      </c>
      <c r="G203">
        <v>13673.11945</v>
      </c>
      <c r="H203">
        <v>1.601E-2</v>
      </c>
      <c r="I203">
        <v>2</v>
      </c>
    </row>
    <row r="204" spans="1:9" x14ac:dyDescent="0.55000000000000004">
      <c r="A204" t="str">
        <f t="shared" si="3"/>
        <v>A-2-f-0-8.5</v>
      </c>
      <c r="B204" t="s">
        <v>1121</v>
      </c>
      <c r="C204">
        <v>2</v>
      </c>
      <c r="D204" t="s">
        <v>1</v>
      </c>
      <c r="E204">
        <v>0</v>
      </c>
      <c r="F204">
        <v>8.5</v>
      </c>
      <c r="G204">
        <v>13948.377401</v>
      </c>
      <c r="H204">
        <v>1.602E-2</v>
      </c>
      <c r="I204">
        <v>2</v>
      </c>
    </row>
    <row r="205" spans="1:9" x14ac:dyDescent="0.55000000000000004">
      <c r="A205" t="str">
        <f t="shared" si="3"/>
        <v>A-2-e-0-8.5</v>
      </c>
      <c r="B205" t="s">
        <v>1121</v>
      </c>
      <c r="C205">
        <v>2</v>
      </c>
      <c r="D205" t="s">
        <v>2</v>
      </c>
      <c r="E205">
        <v>0</v>
      </c>
      <c r="F205">
        <v>8.5</v>
      </c>
      <c r="G205">
        <v>13949.12746</v>
      </c>
      <c r="H205">
        <v>1.8010000000000002E-2</v>
      </c>
      <c r="I205">
        <v>2</v>
      </c>
    </row>
    <row r="206" spans="1:9" x14ac:dyDescent="0.55000000000000004">
      <c r="A206" t="str">
        <f t="shared" si="3"/>
        <v>B-1-e-0-8.5</v>
      </c>
      <c r="B206" t="s">
        <v>1515</v>
      </c>
      <c r="C206">
        <v>1</v>
      </c>
      <c r="D206" t="s">
        <v>2</v>
      </c>
      <c r="E206">
        <v>0</v>
      </c>
      <c r="F206">
        <v>8.5</v>
      </c>
      <c r="G206">
        <v>14611.493571000001</v>
      </c>
      <c r="H206">
        <v>2.3515000000000001E-2</v>
      </c>
      <c r="I206">
        <v>2</v>
      </c>
    </row>
    <row r="207" spans="1:9" x14ac:dyDescent="0.55000000000000004">
      <c r="A207" t="str">
        <f t="shared" si="3"/>
        <v>B-2-f-0-8.5</v>
      </c>
      <c r="B207" t="s">
        <v>1515</v>
      </c>
      <c r="C207">
        <v>2</v>
      </c>
      <c r="D207" t="s">
        <v>1</v>
      </c>
      <c r="E207">
        <v>0</v>
      </c>
      <c r="F207">
        <v>8.5</v>
      </c>
      <c r="G207">
        <v>14713.970368</v>
      </c>
      <c r="H207">
        <v>0.83118599999999998</v>
      </c>
      <c r="I207">
        <v>2</v>
      </c>
    </row>
    <row r="208" spans="1:9" x14ac:dyDescent="0.55000000000000004">
      <c r="A208" t="str">
        <f t="shared" si="3"/>
        <v>B-1-e-1-8.5</v>
      </c>
      <c r="B208" t="s">
        <v>1515</v>
      </c>
      <c r="C208">
        <v>1</v>
      </c>
      <c r="D208" t="s">
        <v>2</v>
      </c>
      <c r="E208">
        <v>1</v>
      </c>
      <c r="F208">
        <v>8.5</v>
      </c>
      <c r="G208">
        <v>15798.521927</v>
      </c>
      <c r="H208">
        <v>2.4729000000000001E-2</v>
      </c>
      <c r="I208">
        <v>2</v>
      </c>
    </row>
    <row r="209" spans="1:9" x14ac:dyDescent="0.55000000000000004">
      <c r="A209" t="str">
        <f t="shared" si="3"/>
        <v>B-2-f-1-8.5</v>
      </c>
      <c r="B209" t="s">
        <v>1515</v>
      </c>
      <c r="C209">
        <v>2</v>
      </c>
      <c r="D209" t="s">
        <v>1</v>
      </c>
      <c r="E209">
        <v>1</v>
      </c>
      <c r="F209">
        <v>8.5</v>
      </c>
      <c r="G209">
        <v>15900.048360999999</v>
      </c>
      <c r="H209">
        <v>9.2585000000000001E-2</v>
      </c>
      <c r="I209">
        <v>2</v>
      </c>
    </row>
    <row r="210" spans="1:9" x14ac:dyDescent="0.55000000000000004">
      <c r="A210" t="str">
        <f t="shared" si="3"/>
        <v>E-1-e-0-8.5</v>
      </c>
      <c r="B210" t="s">
        <v>680</v>
      </c>
      <c r="C210">
        <v>1</v>
      </c>
      <c r="D210" t="s">
        <v>2</v>
      </c>
      <c r="E210">
        <v>0</v>
      </c>
      <c r="F210">
        <v>8.5</v>
      </c>
      <c r="G210">
        <v>19152.566876000001</v>
      </c>
      <c r="H210">
        <v>0.11101</v>
      </c>
      <c r="I210">
        <v>2</v>
      </c>
    </row>
    <row r="211" spans="1:9" x14ac:dyDescent="0.55000000000000004">
      <c r="A211" t="str">
        <f t="shared" si="3"/>
        <v>E-1-f-0-8.5</v>
      </c>
      <c r="B211" t="s">
        <v>680</v>
      </c>
      <c r="C211">
        <v>1</v>
      </c>
      <c r="D211" t="s">
        <v>1</v>
      </c>
      <c r="E211">
        <v>0</v>
      </c>
      <c r="F211">
        <v>8.5</v>
      </c>
      <c r="G211">
        <v>19152.905806999999</v>
      </c>
      <c r="H211">
        <v>0.21102000000000001</v>
      </c>
      <c r="I211">
        <v>2</v>
      </c>
    </row>
    <row r="212" spans="1:9" x14ac:dyDescent="0.55000000000000004">
      <c r="A212" t="str">
        <f t="shared" si="3"/>
        <v>E-2-e-0-8.5</v>
      </c>
      <c r="B212" t="s">
        <v>680</v>
      </c>
      <c r="C212">
        <v>2</v>
      </c>
      <c r="D212" t="s">
        <v>2</v>
      </c>
      <c r="E212">
        <v>0</v>
      </c>
      <c r="F212">
        <v>8.5</v>
      </c>
      <c r="G212">
        <v>19278.056799999998</v>
      </c>
      <c r="H212">
        <v>3.1009999999999999E-2</v>
      </c>
      <c r="I212">
        <v>2</v>
      </c>
    </row>
    <row r="213" spans="1:9" x14ac:dyDescent="0.55000000000000004">
      <c r="A213" t="str">
        <f t="shared" si="3"/>
        <v>E-2-f-0-8.5</v>
      </c>
      <c r="B213" t="s">
        <v>680</v>
      </c>
      <c r="C213">
        <v>2</v>
      </c>
      <c r="D213" t="s">
        <v>1</v>
      </c>
      <c r="E213">
        <v>0</v>
      </c>
      <c r="F213">
        <v>8.5</v>
      </c>
      <c r="G213">
        <v>19278.518494</v>
      </c>
      <c r="H213">
        <v>1.4015E-2</v>
      </c>
      <c r="I213">
        <v>2</v>
      </c>
    </row>
    <row r="214" spans="1:9" x14ac:dyDescent="0.55000000000000004">
      <c r="A214" t="str">
        <f t="shared" si="3"/>
        <v>E-1-e-1-8.5</v>
      </c>
      <c r="B214" t="s">
        <v>680</v>
      </c>
      <c r="C214">
        <v>1</v>
      </c>
      <c r="D214" t="s">
        <v>2</v>
      </c>
      <c r="E214">
        <v>1</v>
      </c>
      <c r="F214">
        <v>8.5</v>
      </c>
      <c r="G214">
        <v>20309.660559</v>
      </c>
      <c r="H214">
        <v>1.0019999999999999E-2</v>
      </c>
      <c r="I214">
        <v>2</v>
      </c>
    </row>
    <row r="215" spans="1:9" x14ac:dyDescent="0.55000000000000004">
      <c r="A215" t="str">
        <f t="shared" si="3"/>
        <v>E-1-f-1-8.5</v>
      </c>
      <c r="B215" t="s">
        <v>680</v>
      </c>
      <c r="C215">
        <v>1</v>
      </c>
      <c r="D215" t="s">
        <v>1</v>
      </c>
      <c r="E215">
        <v>1</v>
      </c>
      <c r="F215">
        <v>8.5</v>
      </c>
      <c r="G215">
        <v>20309.935002999999</v>
      </c>
      <c r="H215">
        <v>1.2005E-2</v>
      </c>
      <c r="I215">
        <v>2</v>
      </c>
    </row>
    <row r="216" spans="1:9" x14ac:dyDescent="0.55000000000000004">
      <c r="A216" t="str">
        <f t="shared" si="3"/>
        <v>E-2-e-1-8.5</v>
      </c>
      <c r="B216" t="s">
        <v>680</v>
      </c>
      <c r="C216">
        <v>2</v>
      </c>
      <c r="D216" t="s">
        <v>2</v>
      </c>
      <c r="E216">
        <v>1</v>
      </c>
      <c r="F216">
        <v>8.5</v>
      </c>
      <c r="G216">
        <v>20437.343849000001</v>
      </c>
      <c r="H216">
        <v>1.0019999999999999E-2</v>
      </c>
      <c r="I216">
        <v>2</v>
      </c>
    </row>
    <row r="217" spans="1:9" x14ac:dyDescent="0.55000000000000004">
      <c r="A217" t="str">
        <f t="shared" si="3"/>
        <v>E-2-f-1-8.5</v>
      </c>
      <c r="B217" t="s">
        <v>680</v>
      </c>
      <c r="C217">
        <v>2</v>
      </c>
      <c r="D217" t="s">
        <v>1</v>
      </c>
      <c r="E217">
        <v>1</v>
      </c>
      <c r="F217">
        <v>8.5</v>
      </c>
      <c r="G217">
        <v>20437.709407999999</v>
      </c>
      <c r="H217">
        <v>1.2005E-2</v>
      </c>
      <c r="I217">
        <v>2</v>
      </c>
    </row>
    <row r="218" spans="1:9" x14ac:dyDescent="0.55000000000000004">
      <c r="A218" t="str">
        <f t="shared" si="3"/>
        <v>X-1-e-0-9.5</v>
      </c>
      <c r="B218" t="s">
        <v>0</v>
      </c>
      <c r="C218">
        <v>1</v>
      </c>
      <c r="D218" t="s">
        <v>2</v>
      </c>
      <c r="E218">
        <v>0</v>
      </c>
      <c r="F218">
        <v>9.5</v>
      </c>
      <c r="G218">
        <v>326.46761800000002</v>
      </c>
      <c r="H218">
        <v>8.0099999999999998E-3</v>
      </c>
      <c r="I218">
        <v>2</v>
      </c>
    </row>
    <row r="219" spans="1:9" x14ac:dyDescent="0.55000000000000004">
      <c r="A219" t="str">
        <f t="shared" si="3"/>
        <v>X-2-f-0-9.5</v>
      </c>
      <c r="B219" t="s">
        <v>0</v>
      </c>
      <c r="C219">
        <v>2</v>
      </c>
      <c r="D219" t="s">
        <v>1</v>
      </c>
      <c r="E219">
        <v>0</v>
      </c>
      <c r="F219">
        <v>9.5</v>
      </c>
      <c r="G219">
        <v>397.368604</v>
      </c>
      <c r="H219">
        <v>9.0150000000000004E-3</v>
      </c>
      <c r="I219">
        <v>2</v>
      </c>
    </row>
    <row r="220" spans="1:9" x14ac:dyDescent="0.55000000000000004">
      <c r="A220" t="str">
        <f t="shared" si="3"/>
        <v>X-1-e-1-9.5</v>
      </c>
      <c r="B220" t="s">
        <v>0</v>
      </c>
      <c r="C220">
        <v>1</v>
      </c>
      <c r="D220" t="s">
        <v>2</v>
      </c>
      <c r="E220">
        <v>1</v>
      </c>
      <c r="F220">
        <v>9.5</v>
      </c>
      <c r="G220">
        <v>1492.029757</v>
      </c>
      <c r="H220">
        <v>7.0200000000000002E-3</v>
      </c>
      <c r="I220">
        <v>2</v>
      </c>
    </row>
    <row r="221" spans="1:9" x14ac:dyDescent="0.55000000000000004">
      <c r="A221" t="str">
        <f t="shared" si="3"/>
        <v>X-2-f-1-9.5</v>
      </c>
      <c r="B221" t="s">
        <v>0</v>
      </c>
      <c r="C221">
        <v>2</v>
      </c>
      <c r="D221" t="s">
        <v>1</v>
      </c>
      <c r="E221">
        <v>1</v>
      </c>
      <c r="F221">
        <v>9.5</v>
      </c>
      <c r="G221">
        <v>1561.370214</v>
      </c>
      <c r="H221">
        <v>1.0231000000000001E-2</v>
      </c>
      <c r="I221">
        <v>4</v>
      </c>
    </row>
    <row r="222" spans="1:9" x14ac:dyDescent="0.55000000000000004">
      <c r="A222" t="str">
        <f t="shared" si="3"/>
        <v>X-1-e-2-9.5</v>
      </c>
      <c r="B222" t="s">
        <v>0</v>
      </c>
      <c r="C222">
        <v>1</v>
      </c>
      <c r="D222" t="s">
        <v>2</v>
      </c>
      <c r="E222">
        <v>2</v>
      </c>
      <c r="F222">
        <v>9.5</v>
      </c>
      <c r="G222">
        <v>2623.409952</v>
      </c>
      <c r="H222">
        <v>2.581E-2</v>
      </c>
      <c r="I222">
        <v>2</v>
      </c>
    </row>
    <row r="223" spans="1:9" x14ac:dyDescent="0.55000000000000004">
      <c r="A223" t="str">
        <f t="shared" si="3"/>
        <v>X-2-f-2-9.5</v>
      </c>
      <c r="B223" t="s">
        <v>0</v>
      </c>
      <c r="C223">
        <v>2</v>
      </c>
      <c r="D223" t="s">
        <v>1</v>
      </c>
      <c r="E223">
        <v>2</v>
      </c>
      <c r="F223">
        <v>9.5</v>
      </c>
      <c r="G223">
        <v>2691.1769330000002</v>
      </c>
      <c r="H223">
        <v>1.1015E-2</v>
      </c>
      <c r="I223">
        <v>4</v>
      </c>
    </row>
    <row r="224" spans="1:9" x14ac:dyDescent="0.55000000000000004">
      <c r="A224" t="str">
        <f t="shared" si="3"/>
        <v>X-1-e-3-9.5</v>
      </c>
      <c r="B224" t="s">
        <v>0</v>
      </c>
      <c r="C224">
        <v>1</v>
      </c>
      <c r="D224" t="s">
        <v>2</v>
      </c>
      <c r="E224">
        <v>3</v>
      </c>
      <c r="F224">
        <v>9.5</v>
      </c>
      <c r="G224">
        <v>3720.514619</v>
      </c>
      <c r="H224">
        <v>9.0200000000000002E-3</v>
      </c>
      <c r="I224">
        <v>2</v>
      </c>
    </row>
    <row r="225" spans="1:9" x14ac:dyDescent="0.55000000000000004">
      <c r="A225" t="str">
        <f t="shared" si="3"/>
        <v>X-2-f-3-9.5</v>
      </c>
      <c r="B225" t="s">
        <v>0</v>
      </c>
      <c r="C225">
        <v>2</v>
      </c>
      <c r="D225" t="s">
        <v>1</v>
      </c>
      <c r="E225">
        <v>3</v>
      </c>
      <c r="F225">
        <v>9.5</v>
      </c>
      <c r="G225">
        <v>3786.702808</v>
      </c>
      <c r="H225">
        <v>4.2805000000000003E-2</v>
      </c>
      <c r="I225">
        <v>1</v>
      </c>
    </row>
    <row r="226" spans="1:9" x14ac:dyDescent="0.55000000000000004">
      <c r="A226" t="str">
        <f t="shared" si="3"/>
        <v>X-1-e-4-9.5</v>
      </c>
      <c r="B226" t="s">
        <v>0</v>
      </c>
      <c r="C226">
        <v>1</v>
      </c>
      <c r="D226" t="s">
        <v>2</v>
      </c>
      <c r="E226">
        <v>4</v>
      </c>
      <c r="F226">
        <v>9.5</v>
      </c>
      <c r="G226">
        <v>4783.0900030000003</v>
      </c>
      <c r="H226">
        <v>5.2109999999999997E-2</v>
      </c>
      <c r="I226">
        <v>2</v>
      </c>
    </row>
    <row r="227" spans="1:9" x14ac:dyDescent="0.55000000000000004">
      <c r="A227" t="str">
        <f t="shared" si="3"/>
        <v>X-2-f-4-9.5</v>
      </c>
      <c r="B227" t="s">
        <v>0</v>
      </c>
      <c r="C227">
        <v>2</v>
      </c>
      <c r="D227" t="s">
        <v>1</v>
      </c>
      <c r="E227">
        <v>4</v>
      </c>
      <c r="F227">
        <v>9.5</v>
      </c>
      <c r="G227">
        <v>4847.6764750000002</v>
      </c>
      <c r="H227">
        <v>1.1015E-2</v>
      </c>
      <c r="I227">
        <v>2</v>
      </c>
    </row>
    <row r="228" spans="1:9" x14ac:dyDescent="0.55000000000000004">
      <c r="A228" t="str">
        <f t="shared" si="3"/>
        <v>A-1-f-0-9.5</v>
      </c>
      <c r="B228" t="s">
        <v>1121</v>
      </c>
      <c r="C228">
        <v>1</v>
      </c>
      <c r="D228" t="s">
        <v>1</v>
      </c>
      <c r="E228">
        <v>0</v>
      </c>
      <c r="F228">
        <v>9.5</v>
      </c>
      <c r="G228">
        <v>13705.660483</v>
      </c>
      <c r="H228">
        <v>1.8005E-2</v>
      </c>
      <c r="I228">
        <v>2</v>
      </c>
    </row>
    <row r="229" spans="1:9" x14ac:dyDescent="0.55000000000000004">
      <c r="A229" t="str">
        <f t="shared" si="3"/>
        <v>A-1-e-0-9.5</v>
      </c>
      <c r="B229" t="s">
        <v>1121</v>
      </c>
      <c r="C229">
        <v>1</v>
      </c>
      <c r="D229" t="s">
        <v>2</v>
      </c>
      <c r="E229">
        <v>0</v>
      </c>
      <c r="F229">
        <v>9.5</v>
      </c>
      <c r="G229">
        <v>13744.058012</v>
      </c>
      <c r="H229">
        <v>1.602E-2</v>
      </c>
      <c r="I229">
        <v>2</v>
      </c>
    </row>
    <row r="230" spans="1:9" x14ac:dyDescent="0.55000000000000004">
      <c r="A230" t="str">
        <f t="shared" si="3"/>
        <v>A-2-f-0-9.5</v>
      </c>
      <c r="B230" t="s">
        <v>1121</v>
      </c>
      <c r="C230">
        <v>2</v>
      </c>
      <c r="D230" t="s">
        <v>1</v>
      </c>
      <c r="E230">
        <v>0</v>
      </c>
      <c r="F230">
        <v>9.5</v>
      </c>
      <c r="G230">
        <v>14017.697803999999</v>
      </c>
      <c r="H230">
        <v>2.07E-2</v>
      </c>
      <c r="I230">
        <v>2</v>
      </c>
    </row>
    <row r="231" spans="1:9" x14ac:dyDescent="0.55000000000000004">
      <c r="A231" t="str">
        <f t="shared" si="3"/>
        <v>A-2-e-0-9.5</v>
      </c>
      <c r="B231" t="s">
        <v>1121</v>
      </c>
      <c r="C231">
        <v>2</v>
      </c>
      <c r="D231" t="s">
        <v>2</v>
      </c>
      <c r="E231">
        <v>0</v>
      </c>
      <c r="F231">
        <v>9.5</v>
      </c>
      <c r="G231">
        <v>14018.648612999999</v>
      </c>
      <c r="H231">
        <v>1.9015000000000001E-2</v>
      </c>
      <c r="I231">
        <v>2</v>
      </c>
    </row>
    <row r="232" spans="1:9" x14ac:dyDescent="0.55000000000000004">
      <c r="A232" t="str">
        <f t="shared" si="3"/>
        <v>B-1-e-0-9.5</v>
      </c>
      <c r="B232" t="s">
        <v>1515</v>
      </c>
      <c r="C232">
        <v>1</v>
      </c>
      <c r="D232" t="s">
        <v>2</v>
      </c>
      <c r="E232">
        <v>0</v>
      </c>
      <c r="F232">
        <v>9.5</v>
      </c>
      <c r="G232">
        <v>14679.647159</v>
      </c>
      <c r="H232">
        <v>1.69506</v>
      </c>
      <c r="I232">
        <v>2</v>
      </c>
    </row>
    <row r="233" spans="1:9" x14ac:dyDescent="0.55000000000000004">
      <c r="A233" t="str">
        <f t="shared" si="3"/>
        <v>B-2-f-0-9.5</v>
      </c>
      <c r="B233" t="s">
        <v>1515</v>
      </c>
      <c r="C233">
        <v>2</v>
      </c>
      <c r="D233" t="s">
        <v>1</v>
      </c>
      <c r="E233">
        <v>0</v>
      </c>
      <c r="F233">
        <v>9.5</v>
      </c>
      <c r="G233">
        <v>14791.874521</v>
      </c>
      <c r="H233">
        <v>0.60639699999999996</v>
      </c>
      <c r="I233">
        <v>2</v>
      </c>
    </row>
    <row r="234" spans="1:9" x14ac:dyDescent="0.55000000000000004">
      <c r="A234" t="str">
        <f t="shared" si="3"/>
        <v>B-1-e-1-9.5</v>
      </c>
      <c r="B234" t="s">
        <v>1515</v>
      </c>
      <c r="C234">
        <v>1</v>
      </c>
      <c r="D234" t="s">
        <v>2</v>
      </c>
      <c r="E234">
        <v>1</v>
      </c>
      <c r="F234">
        <v>9.5</v>
      </c>
      <c r="G234">
        <v>15863.560421</v>
      </c>
      <c r="H234">
        <v>0.112535</v>
      </c>
      <c r="I234">
        <v>2</v>
      </c>
    </row>
    <row r="235" spans="1:9" x14ac:dyDescent="0.55000000000000004">
      <c r="A235" t="str">
        <f t="shared" si="3"/>
        <v>B-2-f-1-9.5</v>
      </c>
      <c r="B235" t="s">
        <v>1515</v>
      </c>
      <c r="C235">
        <v>2</v>
      </c>
      <c r="D235" t="s">
        <v>1</v>
      </c>
      <c r="E235">
        <v>1</v>
      </c>
      <c r="F235">
        <v>9.5</v>
      </c>
      <c r="G235">
        <v>15975.972711</v>
      </c>
      <c r="H235">
        <v>1.8015E-2</v>
      </c>
      <c r="I235">
        <v>2</v>
      </c>
    </row>
    <row r="236" spans="1:9" x14ac:dyDescent="0.55000000000000004">
      <c r="A236" t="str">
        <f t="shared" si="3"/>
        <v>E-1-e-0-9.5</v>
      </c>
      <c r="B236" t="s">
        <v>680</v>
      </c>
      <c r="C236">
        <v>1</v>
      </c>
      <c r="D236" t="s">
        <v>2</v>
      </c>
      <c r="E236">
        <v>0</v>
      </c>
      <c r="F236">
        <v>9.5</v>
      </c>
      <c r="G236">
        <v>19221.036409</v>
      </c>
      <c r="H236">
        <v>0.11101999999999999</v>
      </c>
      <c r="I236">
        <v>2</v>
      </c>
    </row>
    <row r="237" spans="1:9" x14ac:dyDescent="0.55000000000000004">
      <c r="A237" t="str">
        <f t="shared" si="3"/>
        <v>E-1-f-0-9.5</v>
      </c>
      <c r="B237" t="s">
        <v>680</v>
      </c>
      <c r="C237">
        <v>1</v>
      </c>
      <c r="D237" t="s">
        <v>1</v>
      </c>
      <c r="E237">
        <v>0</v>
      </c>
      <c r="F237">
        <v>9.5</v>
      </c>
      <c r="G237">
        <v>19221.30069</v>
      </c>
      <c r="H237">
        <v>0.31300499999999998</v>
      </c>
      <c r="I237">
        <v>2</v>
      </c>
    </row>
    <row r="238" spans="1:9" x14ac:dyDescent="0.55000000000000004">
      <c r="A238" t="str">
        <f t="shared" si="3"/>
        <v>E-2-e-0-9.5</v>
      </c>
      <c r="B238" t="s">
        <v>680</v>
      </c>
      <c r="C238">
        <v>2</v>
      </c>
      <c r="D238" t="s">
        <v>2</v>
      </c>
      <c r="E238">
        <v>0</v>
      </c>
      <c r="F238">
        <v>9.5</v>
      </c>
      <c r="G238">
        <v>19351.115634000002</v>
      </c>
      <c r="H238">
        <v>1.102E-2</v>
      </c>
      <c r="I238">
        <v>2</v>
      </c>
    </row>
    <row r="239" spans="1:9" x14ac:dyDescent="0.55000000000000004">
      <c r="A239" t="str">
        <f t="shared" si="3"/>
        <v>E-2-f-0-9.5</v>
      </c>
      <c r="B239" t="s">
        <v>680</v>
      </c>
      <c r="C239">
        <v>2</v>
      </c>
      <c r="D239" t="s">
        <v>1</v>
      </c>
      <c r="E239">
        <v>0</v>
      </c>
      <c r="F239">
        <v>9.5</v>
      </c>
      <c r="G239">
        <v>19351.685970999999</v>
      </c>
      <c r="H239">
        <v>1.3010000000000001E-2</v>
      </c>
      <c r="I239">
        <v>2</v>
      </c>
    </row>
    <row r="240" spans="1:9" x14ac:dyDescent="0.55000000000000004">
      <c r="A240" t="str">
        <f t="shared" si="3"/>
        <v>E-1-e-1-9.5</v>
      </c>
      <c r="B240" t="s">
        <v>680</v>
      </c>
      <c r="C240">
        <v>1</v>
      </c>
      <c r="D240" t="s">
        <v>2</v>
      </c>
      <c r="E240">
        <v>1</v>
      </c>
      <c r="F240">
        <v>9.5</v>
      </c>
      <c r="G240">
        <v>20376.464185000001</v>
      </c>
      <c r="H240">
        <v>1.2869999999999999E-2</v>
      </c>
      <c r="I240">
        <v>2</v>
      </c>
    </row>
    <row r="241" spans="1:9" x14ac:dyDescent="0.55000000000000004">
      <c r="A241" t="str">
        <f t="shared" si="3"/>
        <v>E-1-f-1-9.5</v>
      </c>
      <c r="B241" t="s">
        <v>680</v>
      </c>
      <c r="C241">
        <v>1</v>
      </c>
      <c r="D241" t="s">
        <v>1</v>
      </c>
      <c r="E241">
        <v>1</v>
      </c>
      <c r="F241">
        <v>9.5</v>
      </c>
      <c r="G241">
        <v>20376.683150000001</v>
      </c>
      <c r="H241">
        <v>1.5015000000000001E-2</v>
      </c>
      <c r="I241">
        <v>2</v>
      </c>
    </row>
    <row r="242" spans="1:9" x14ac:dyDescent="0.55000000000000004">
      <c r="A242" t="str">
        <f t="shared" si="3"/>
        <v>E-2-e-1-9.5</v>
      </c>
      <c r="B242" t="s">
        <v>680</v>
      </c>
      <c r="C242">
        <v>2</v>
      </c>
      <c r="D242" t="s">
        <v>2</v>
      </c>
      <c r="E242">
        <v>1</v>
      </c>
      <c r="F242">
        <v>9.5</v>
      </c>
      <c r="G242">
        <v>20508.364208999999</v>
      </c>
      <c r="H242">
        <v>1.201E-2</v>
      </c>
      <c r="I242">
        <v>2</v>
      </c>
    </row>
    <row r="243" spans="1:9" x14ac:dyDescent="0.55000000000000004">
      <c r="A243" t="str">
        <f t="shared" si="3"/>
        <v>E-2-f-1-9.5</v>
      </c>
      <c r="B243" t="s">
        <v>680</v>
      </c>
      <c r="C243">
        <v>2</v>
      </c>
      <c r="D243" t="s">
        <v>1</v>
      </c>
      <c r="E243">
        <v>1</v>
      </c>
      <c r="F243">
        <v>9.5</v>
      </c>
      <c r="G243">
        <v>20508.831445</v>
      </c>
      <c r="H243">
        <v>1.3015000000000001E-2</v>
      </c>
      <c r="I243">
        <v>2</v>
      </c>
    </row>
    <row r="244" spans="1:9" x14ac:dyDescent="0.55000000000000004">
      <c r="A244" t="str">
        <f t="shared" si="3"/>
        <v>X-1-e-0-10.5</v>
      </c>
      <c r="B244" t="s">
        <v>0</v>
      </c>
      <c r="C244">
        <v>1</v>
      </c>
      <c r="D244" t="s">
        <v>2</v>
      </c>
      <c r="E244">
        <v>0</v>
      </c>
      <c r="F244">
        <v>10.5</v>
      </c>
      <c r="G244">
        <v>398.65625999999997</v>
      </c>
      <c r="H244">
        <v>8.0199999999999994E-3</v>
      </c>
      <c r="I244">
        <v>2</v>
      </c>
    </row>
    <row r="245" spans="1:9" x14ac:dyDescent="0.55000000000000004">
      <c r="A245" t="str">
        <f t="shared" si="3"/>
        <v>X-2-f-0-10.5</v>
      </c>
      <c r="B245" t="s">
        <v>0</v>
      </c>
      <c r="C245">
        <v>2</v>
      </c>
      <c r="D245" t="s">
        <v>1</v>
      </c>
      <c r="E245">
        <v>0</v>
      </c>
      <c r="F245">
        <v>10.5</v>
      </c>
      <c r="G245">
        <v>476.52831500000002</v>
      </c>
      <c r="H245">
        <v>1.1639E-2</v>
      </c>
      <c r="I245">
        <v>2</v>
      </c>
    </row>
    <row r="246" spans="1:9" x14ac:dyDescent="0.55000000000000004">
      <c r="A246" t="str">
        <f t="shared" si="3"/>
        <v>X-1-e-1-10.5</v>
      </c>
      <c r="B246" t="s">
        <v>0</v>
      </c>
      <c r="C246">
        <v>1</v>
      </c>
      <c r="D246" t="s">
        <v>2</v>
      </c>
      <c r="E246">
        <v>1</v>
      </c>
      <c r="F246">
        <v>10.5</v>
      </c>
      <c r="G246">
        <v>1562.613186</v>
      </c>
      <c r="H246">
        <v>9.0100000000000006E-3</v>
      </c>
      <c r="I246">
        <v>2</v>
      </c>
    </row>
    <row r="247" spans="1:9" x14ac:dyDescent="0.55000000000000004">
      <c r="A247" t="str">
        <f t="shared" si="3"/>
        <v>X-2-f-1-10.5</v>
      </c>
      <c r="B247" t="s">
        <v>0</v>
      </c>
      <c r="C247">
        <v>2</v>
      </c>
      <c r="D247" t="s">
        <v>1</v>
      </c>
      <c r="E247">
        <v>1</v>
      </c>
      <c r="F247">
        <v>10.5</v>
      </c>
      <c r="G247">
        <v>1638.7635359999999</v>
      </c>
      <c r="H247">
        <v>1.0015E-2</v>
      </c>
      <c r="I247">
        <v>2</v>
      </c>
    </row>
    <row r="248" spans="1:9" x14ac:dyDescent="0.55000000000000004">
      <c r="A248" t="str">
        <f t="shared" si="3"/>
        <v>X-1-e-2-10.5</v>
      </c>
      <c r="B248" t="s">
        <v>0</v>
      </c>
      <c r="C248">
        <v>1</v>
      </c>
      <c r="D248" t="s">
        <v>2</v>
      </c>
      <c r="E248">
        <v>2</v>
      </c>
      <c r="F248">
        <v>10.5</v>
      </c>
      <c r="G248">
        <v>2692.3796339999999</v>
      </c>
      <c r="H248">
        <v>1.4670000000000001E-2</v>
      </c>
      <c r="I248">
        <v>2</v>
      </c>
    </row>
    <row r="249" spans="1:9" x14ac:dyDescent="0.55000000000000004">
      <c r="A249" t="str">
        <f t="shared" si="3"/>
        <v>X-2-f-2-10.5</v>
      </c>
      <c r="B249" t="s">
        <v>0</v>
      </c>
      <c r="C249">
        <v>2</v>
      </c>
      <c r="D249" t="s">
        <v>1</v>
      </c>
      <c r="E249">
        <v>2</v>
      </c>
      <c r="F249">
        <v>10.5</v>
      </c>
      <c r="G249">
        <v>2766.8046009999998</v>
      </c>
      <c r="H249">
        <v>2.5631000000000001E-2</v>
      </c>
      <c r="I249">
        <v>2</v>
      </c>
    </row>
    <row r="250" spans="1:9" x14ac:dyDescent="0.55000000000000004">
      <c r="A250" t="str">
        <f t="shared" si="3"/>
        <v>X-1-e-3-10.5</v>
      </c>
      <c r="B250" t="s">
        <v>0</v>
      </c>
      <c r="C250">
        <v>1</v>
      </c>
      <c r="D250" t="s">
        <v>2</v>
      </c>
      <c r="E250">
        <v>3</v>
      </c>
      <c r="F250">
        <v>10.5</v>
      </c>
      <c r="G250">
        <v>3787.8609150000002</v>
      </c>
      <c r="H250">
        <v>4.2110000000000002E-2</v>
      </c>
      <c r="I250">
        <v>2</v>
      </c>
    </row>
    <row r="251" spans="1:9" x14ac:dyDescent="0.55000000000000004">
      <c r="A251" t="str">
        <f t="shared" si="3"/>
        <v>X-2-f-3-10.5</v>
      </c>
      <c r="B251" t="s">
        <v>0</v>
      </c>
      <c r="C251">
        <v>2</v>
      </c>
      <c r="D251" t="s">
        <v>1</v>
      </c>
      <c r="E251">
        <v>3</v>
      </c>
      <c r="F251">
        <v>10.5</v>
      </c>
      <c r="G251">
        <v>3860.5439249999999</v>
      </c>
      <c r="H251">
        <v>1.2015E-2</v>
      </c>
      <c r="I251">
        <v>2</v>
      </c>
    </row>
    <row r="252" spans="1:9" x14ac:dyDescent="0.55000000000000004">
      <c r="A252" t="str">
        <f t="shared" si="3"/>
        <v>X-1-e-4-10.5</v>
      </c>
      <c r="B252" t="s">
        <v>0</v>
      </c>
      <c r="C252">
        <v>1</v>
      </c>
      <c r="D252" t="s">
        <v>2</v>
      </c>
      <c r="E252">
        <v>4</v>
      </c>
      <c r="F252">
        <v>10.5</v>
      </c>
      <c r="G252">
        <v>4848.7932629999996</v>
      </c>
      <c r="H252">
        <v>1.4200000000000001E-2</v>
      </c>
      <c r="I252">
        <v>2</v>
      </c>
    </row>
    <row r="253" spans="1:9" x14ac:dyDescent="0.55000000000000004">
      <c r="A253" t="str">
        <f t="shared" si="3"/>
        <v>X-2-f-4-10.5</v>
      </c>
      <c r="B253" t="s">
        <v>0</v>
      </c>
      <c r="C253">
        <v>2</v>
      </c>
      <c r="D253" t="s">
        <v>1</v>
      </c>
      <c r="E253">
        <v>4</v>
      </c>
      <c r="F253">
        <v>10.5</v>
      </c>
      <c r="G253">
        <v>4919.7191169999996</v>
      </c>
      <c r="H253">
        <v>5.6330999999999999E-2</v>
      </c>
      <c r="I253">
        <v>2</v>
      </c>
    </row>
    <row r="254" spans="1:9" x14ac:dyDescent="0.55000000000000004">
      <c r="A254" t="str">
        <f t="shared" si="3"/>
        <v>A-1-f-0-10.5</v>
      </c>
      <c r="B254" t="s">
        <v>1121</v>
      </c>
      <c r="C254">
        <v>1</v>
      </c>
      <c r="D254" t="s">
        <v>1</v>
      </c>
      <c r="E254">
        <v>0</v>
      </c>
      <c r="F254">
        <v>10.5</v>
      </c>
      <c r="G254">
        <v>13780.456482</v>
      </c>
      <c r="H254">
        <v>2.1812000000000002E-2</v>
      </c>
      <c r="I254">
        <v>2</v>
      </c>
    </row>
    <row r="255" spans="1:9" x14ac:dyDescent="0.55000000000000004">
      <c r="A255" t="str">
        <f t="shared" si="3"/>
        <v>A-1-e-0-10.5</v>
      </c>
      <c r="B255" t="s">
        <v>1121</v>
      </c>
      <c r="C255">
        <v>1</v>
      </c>
      <c r="D255" t="s">
        <v>2</v>
      </c>
      <c r="E255">
        <v>0</v>
      </c>
      <c r="F255">
        <v>10.5</v>
      </c>
      <c r="G255">
        <v>13822.157224</v>
      </c>
      <c r="H255">
        <v>1.8010000000000002E-2</v>
      </c>
      <c r="I255">
        <v>2</v>
      </c>
    </row>
    <row r="256" spans="1:9" x14ac:dyDescent="0.55000000000000004">
      <c r="A256" t="str">
        <f t="shared" si="3"/>
        <v>A-2-f-0-10.5</v>
      </c>
      <c r="B256" t="s">
        <v>1121</v>
      </c>
      <c r="C256">
        <v>2</v>
      </c>
      <c r="D256" t="s">
        <v>1</v>
      </c>
      <c r="E256">
        <v>0</v>
      </c>
      <c r="F256">
        <v>10.5</v>
      </c>
      <c r="G256">
        <v>14094.222256999999</v>
      </c>
      <c r="H256">
        <v>3.4562000000000002E-2</v>
      </c>
      <c r="I256">
        <v>1</v>
      </c>
    </row>
    <row r="257" spans="1:9" x14ac:dyDescent="0.55000000000000004">
      <c r="A257" t="str">
        <f t="shared" si="3"/>
        <v>A-2-e-0-10.5</v>
      </c>
      <c r="B257" t="s">
        <v>1121</v>
      </c>
      <c r="C257">
        <v>2</v>
      </c>
      <c r="D257" t="s">
        <v>2</v>
      </c>
      <c r="E257">
        <v>0</v>
      </c>
      <c r="F257">
        <v>10.5</v>
      </c>
      <c r="G257">
        <v>14095.594948</v>
      </c>
      <c r="H257">
        <v>2.8228E-2</v>
      </c>
      <c r="I257">
        <v>1</v>
      </c>
    </row>
    <row r="258" spans="1:9" x14ac:dyDescent="0.55000000000000004">
      <c r="A258" t="str">
        <f t="shared" si="3"/>
        <v>B-1-e-0-10.5</v>
      </c>
      <c r="B258" t="s">
        <v>1515</v>
      </c>
      <c r="C258">
        <v>1</v>
      </c>
      <c r="D258" t="s">
        <v>2</v>
      </c>
      <c r="E258">
        <v>0</v>
      </c>
      <c r="F258">
        <v>10.5</v>
      </c>
      <c r="G258">
        <v>14752.325521000001</v>
      </c>
      <c r="H258">
        <v>5.4137999999999999E-2</v>
      </c>
      <c r="I258">
        <v>1</v>
      </c>
    </row>
    <row r="259" spans="1:9" x14ac:dyDescent="0.55000000000000004">
      <c r="A259" t="str">
        <f t="shared" ref="A259:A322" si="4">B259&amp;"-"&amp;C259&amp;"-"&amp;D259&amp;"-"&amp;E259&amp;"-"&amp;F259</f>
        <v>B-2-f-0-10.5</v>
      </c>
      <c r="B259" t="s">
        <v>1515</v>
      </c>
      <c r="C259">
        <v>2</v>
      </c>
      <c r="D259" t="s">
        <v>1</v>
      </c>
      <c r="E259">
        <v>0</v>
      </c>
      <c r="F259">
        <v>10.5</v>
      </c>
      <c r="G259">
        <v>14877.263235</v>
      </c>
      <c r="H259">
        <v>0.31040600000000002</v>
      </c>
      <c r="I259">
        <v>1</v>
      </c>
    </row>
    <row r="260" spans="1:9" x14ac:dyDescent="0.55000000000000004">
      <c r="A260" t="str">
        <f t="shared" si="4"/>
        <v>B-1-e-1-10.5</v>
      </c>
      <c r="B260" t="s">
        <v>1515</v>
      </c>
      <c r="C260">
        <v>1</v>
      </c>
      <c r="D260" t="s">
        <v>2</v>
      </c>
      <c r="E260">
        <v>1</v>
      </c>
      <c r="F260">
        <v>10.5</v>
      </c>
      <c r="G260">
        <v>15935.746695</v>
      </c>
      <c r="H260">
        <v>1.702E-2</v>
      </c>
      <c r="I260">
        <v>1</v>
      </c>
    </row>
    <row r="261" spans="1:9" x14ac:dyDescent="0.55000000000000004">
      <c r="A261" t="str">
        <f t="shared" si="4"/>
        <v>B-2-f-1-10.5</v>
      </c>
      <c r="B261" t="s">
        <v>1515</v>
      </c>
      <c r="C261">
        <v>2</v>
      </c>
      <c r="D261" t="s">
        <v>1</v>
      </c>
      <c r="E261">
        <v>1</v>
      </c>
      <c r="F261">
        <v>10.5</v>
      </c>
      <c r="G261">
        <v>16059.117252</v>
      </c>
      <c r="H261">
        <v>8.9984999999999996E-2</v>
      </c>
      <c r="I261">
        <v>1</v>
      </c>
    </row>
    <row r="262" spans="1:9" x14ac:dyDescent="0.55000000000000004">
      <c r="A262" t="str">
        <f t="shared" si="4"/>
        <v>E-1-e-0-10.5</v>
      </c>
      <c r="B262" t="s">
        <v>680</v>
      </c>
      <c r="C262">
        <v>1</v>
      </c>
      <c r="D262" t="s">
        <v>2</v>
      </c>
      <c r="E262">
        <v>0</v>
      </c>
      <c r="F262">
        <v>10.5</v>
      </c>
      <c r="G262">
        <v>19296.739601000001</v>
      </c>
      <c r="H262">
        <v>0.21301</v>
      </c>
      <c r="I262">
        <v>1</v>
      </c>
    </row>
    <row r="263" spans="1:9" x14ac:dyDescent="0.55000000000000004">
      <c r="A263" t="str">
        <f t="shared" si="4"/>
        <v>E-1-f-0-10.5</v>
      </c>
      <c r="B263" t="s">
        <v>680</v>
      </c>
      <c r="C263">
        <v>1</v>
      </c>
      <c r="D263" t="s">
        <v>1</v>
      </c>
      <c r="E263">
        <v>0</v>
      </c>
      <c r="F263">
        <v>10.5</v>
      </c>
      <c r="G263">
        <v>19297.011406000001</v>
      </c>
      <c r="H263">
        <v>0.31618499999999999</v>
      </c>
      <c r="I263">
        <v>1</v>
      </c>
    </row>
    <row r="264" spans="1:9" x14ac:dyDescent="0.55000000000000004">
      <c r="A264" t="str">
        <f t="shared" si="4"/>
        <v>E-2-e-0-10.5</v>
      </c>
      <c r="B264" t="s">
        <v>680</v>
      </c>
      <c r="C264">
        <v>2</v>
      </c>
      <c r="D264" t="s">
        <v>2</v>
      </c>
      <c r="E264">
        <v>0</v>
      </c>
      <c r="F264">
        <v>10.5</v>
      </c>
      <c r="G264">
        <v>19431.591386</v>
      </c>
      <c r="H264">
        <v>1.3010000000000001E-2</v>
      </c>
      <c r="I264">
        <v>2</v>
      </c>
    </row>
    <row r="265" spans="1:9" x14ac:dyDescent="0.55000000000000004">
      <c r="A265" t="str">
        <f t="shared" si="4"/>
        <v>E-2-f-0-10.5</v>
      </c>
      <c r="B265" t="s">
        <v>680</v>
      </c>
      <c r="C265">
        <v>2</v>
      </c>
      <c r="D265" t="s">
        <v>1</v>
      </c>
      <c r="E265">
        <v>0</v>
      </c>
      <c r="F265">
        <v>10.5</v>
      </c>
      <c r="G265">
        <v>19432.318090000001</v>
      </c>
      <c r="H265">
        <v>1.302E-2</v>
      </c>
      <c r="I265">
        <v>2</v>
      </c>
    </row>
    <row r="266" spans="1:9" x14ac:dyDescent="0.55000000000000004">
      <c r="A266" t="str">
        <f t="shared" si="4"/>
        <v>E-1-e-1-10.5</v>
      </c>
      <c r="B266" t="s">
        <v>680</v>
      </c>
      <c r="C266">
        <v>1</v>
      </c>
      <c r="D266" t="s">
        <v>2</v>
      </c>
      <c r="E266">
        <v>1</v>
      </c>
      <c r="F266">
        <v>10.5</v>
      </c>
      <c r="G266">
        <v>20450.269115999999</v>
      </c>
      <c r="H266">
        <v>1.2019999999999999E-2</v>
      </c>
      <c r="I266">
        <v>2</v>
      </c>
    </row>
    <row r="267" spans="1:9" x14ac:dyDescent="0.55000000000000004">
      <c r="A267" t="str">
        <f t="shared" si="4"/>
        <v>E-1-f-1-10.5</v>
      </c>
      <c r="B267" t="s">
        <v>680</v>
      </c>
      <c r="C267">
        <v>1</v>
      </c>
      <c r="D267" t="s">
        <v>1</v>
      </c>
      <c r="E267">
        <v>1</v>
      </c>
      <c r="F267">
        <v>10.5</v>
      </c>
      <c r="G267">
        <v>20450.413106</v>
      </c>
      <c r="H267">
        <v>1.401E-2</v>
      </c>
      <c r="I267">
        <v>2</v>
      </c>
    </row>
    <row r="268" spans="1:9" x14ac:dyDescent="0.55000000000000004">
      <c r="A268" t="str">
        <f t="shared" si="4"/>
        <v>E-2-e-1-10.5</v>
      </c>
      <c r="B268" t="s">
        <v>680</v>
      </c>
      <c r="C268">
        <v>2</v>
      </c>
      <c r="D268" t="s">
        <v>2</v>
      </c>
      <c r="E268">
        <v>1</v>
      </c>
      <c r="F268">
        <v>10.5</v>
      </c>
      <c r="G268">
        <v>20586.612077000002</v>
      </c>
      <c r="H268">
        <v>1.2019999999999999E-2</v>
      </c>
      <c r="I268">
        <v>2</v>
      </c>
    </row>
    <row r="269" spans="1:9" x14ac:dyDescent="0.55000000000000004">
      <c r="A269" t="str">
        <f t="shared" si="4"/>
        <v>E-2-f-1-10.5</v>
      </c>
      <c r="B269" t="s">
        <v>680</v>
      </c>
      <c r="C269">
        <v>2</v>
      </c>
      <c r="D269" t="s">
        <v>1</v>
      </c>
      <c r="E269">
        <v>1</v>
      </c>
      <c r="F269">
        <v>10.5</v>
      </c>
      <c r="G269">
        <v>20587.215885000001</v>
      </c>
      <c r="H269">
        <v>1.401E-2</v>
      </c>
      <c r="I269">
        <v>2</v>
      </c>
    </row>
    <row r="270" spans="1:9" x14ac:dyDescent="0.55000000000000004">
      <c r="A270" t="str">
        <f t="shared" si="4"/>
        <v>X-1-e-0-11.5</v>
      </c>
      <c r="B270" t="s">
        <v>0</v>
      </c>
      <c r="C270">
        <v>1</v>
      </c>
      <c r="D270" t="s">
        <v>2</v>
      </c>
      <c r="E270">
        <v>0</v>
      </c>
      <c r="F270">
        <v>11.5</v>
      </c>
      <c r="G270">
        <v>477.933424</v>
      </c>
      <c r="H270">
        <v>1.001E-2</v>
      </c>
      <c r="I270">
        <v>2</v>
      </c>
    </row>
    <row r="271" spans="1:9" x14ac:dyDescent="0.55000000000000004">
      <c r="A271" t="str">
        <f t="shared" si="4"/>
        <v>X-2-f-0-11.5</v>
      </c>
      <c r="B271" t="s">
        <v>0</v>
      </c>
      <c r="C271">
        <v>2</v>
      </c>
      <c r="D271" t="s">
        <v>1</v>
      </c>
      <c r="E271">
        <v>0</v>
      </c>
      <c r="F271">
        <v>11.5</v>
      </c>
      <c r="G271">
        <v>562.73786600000005</v>
      </c>
      <c r="H271">
        <v>1.1185E-2</v>
      </c>
      <c r="I271">
        <v>2</v>
      </c>
    </row>
    <row r="272" spans="1:9" x14ac:dyDescent="0.55000000000000004">
      <c r="A272" t="str">
        <f t="shared" si="4"/>
        <v>X-1-e-1-11.5</v>
      </c>
      <c r="B272" t="s">
        <v>0</v>
      </c>
      <c r="C272">
        <v>1</v>
      </c>
      <c r="D272" t="s">
        <v>2</v>
      </c>
      <c r="E272">
        <v>1</v>
      </c>
      <c r="F272">
        <v>11.5</v>
      </c>
      <c r="G272">
        <v>1640.123634</v>
      </c>
      <c r="H272">
        <v>9.0200000000000002E-3</v>
      </c>
      <c r="I272">
        <v>2</v>
      </c>
    </row>
    <row r="273" spans="1:9" x14ac:dyDescent="0.55000000000000004">
      <c r="A273" t="str">
        <f t="shared" si="4"/>
        <v>X-2-f-1-11.5</v>
      </c>
      <c r="B273" t="s">
        <v>0</v>
      </c>
      <c r="C273">
        <v>2</v>
      </c>
      <c r="D273" t="s">
        <v>1</v>
      </c>
      <c r="E273">
        <v>1</v>
      </c>
      <c r="F273">
        <v>11.5</v>
      </c>
      <c r="G273">
        <v>1723.0542909999999</v>
      </c>
      <c r="H273">
        <v>1.2638999999999999E-2</v>
      </c>
      <c r="I273">
        <v>2</v>
      </c>
    </row>
    <row r="274" spans="1:9" x14ac:dyDescent="0.55000000000000004">
      <c r="A274" t="str">
        <f t="shared" si="4"/>
        <v>X-1-e-2-11.5</v>
      </c>
      <c r="B274" t="s">
        <v>0</v>
      </c>
      <c r="C274">
        <v>1</v>
      </c>
      <c r="D274" t="s">
        <v>2</v>
      </c>
      <c r="E274">
        <v>2</v>
      </c>
      <c r="F274">
        <v>11.5</v>
      </c>
      <c r="G274">
        <v>2768.1168499999999</v>
      </c>
      <c r="H274">
        <v>2.3910000000000001E-2</v>
      </c>
      <c r="I274">
        <v>2</v>
      </c>
    </row>
    <row r="275" spans="1:9" x14ac:dyDescent="0.55000000000000004">
      <c r="A275" t="str">
        <f t="shared" si="4"/>
        <v>X-2-f-2-11.5</v>
      </c>
      <c r="B275" t="s">
        <v>0</v>
      </c>
      <c r="C275">
        <v>2</v>
      </c>
      <c r="D275" t="s">
        <v>1</v>
      </c>
      <c r="E275">
        <v>2</v>
      </c>
      <c r="F275">
        <v>11.5</v>
      </c>
      <c r="G275">
        <v>2849.1613400000001</v>
      </c>
      <c r="H275">
        <v>1.1015E-2</v>
      </c>
      <c r="I275">
        <v>2</v>
      </c>
    </row>
    <row r="276" spans="1:9" x14ac:dyDescent="0.55000000000000004">
      <c r="A276" t="str">
        <f t="shared" si="4"/>
        <v>X-1-e-3-11.5</v>
      </c>
      <c r="B276" t="s">
        <v>0</v>
      </c>
      <c r="C276">
        <v>1</v>
      </c>
      <c r="D276" t="s">
        <v>2</v>
      </c>
      <c r="E276">
        <v>3</v>
      </c>
      <c r="F276">
        <v>11.5</v>
      </c>
      <c r="G276">
        <v>3861.8112070000002</v>
      </c>
      <c r="H276">
        <v>1.567E-2</v>
      </c>
      <c r="I276">
        <v>2</v>
      </c>
    </row>
    <row r="277" spans="1:9" x14ac:dyDescent="0.55000000000000004">
      <c r="A277" t="str">
        <f t="shared" si="4"/>
        <v>X-2-f-3-11.5</v>
      </c>
      <c r="B277" t="s">
        <v>0</v>
      </c>
      <c r="C277">
        <v>2</v>
      </c>
      <c r="D277" t="s">
        <v>1</v>
      </c>
      <c r="E277">
        <v>3</v>
      </c>
      <c r="F277">
        <v>11.5</v>
      </c>
      <c r="G277">
        <v>3940.9598270000001</v>
      </c>
      <c r="H277">
        <v>4.0231000000000003E-2</v>
      </c>
      <c r="I277">
        <v>1</v>
      </c>
    </row>
    <row r="278" spans="1:9" x14ac:dyDescent="0.55000000000000004">
      <c r="A278" t="str">
        <f t="shared" si="4"/>
        <v>X-1-e-4-11.5</v>
      </c>
      <c r="B278" t="s">
        <v>0</v>
      </c>
      <c r="C278">
        <v>1</v>
      </c>
      <c r="D278" t="s">
        <v>2</v>
      </c>
      <c r="E278">
        <v>4</v>
      </c>
      <c r="F278">
        <v>11.5</v>
      </c>
      <c r="G278">
        <v>4920.938537</v>
      </c>
      <c r="H278">
        <v>5.0810000000000001E-2</v>
      </c>
      <c r="I278">
        <v>1</v>
      </c>
    </row>
    <row r="279" spans="1:9" x14ac:dyDescent="0.55000000000000004">
      <c r="A279" t="str">
        <f t="shared" si="4"/>
        <v>X-2-f-4-11.5</v>
      </c>
      <c r="B279" t="s">
        <v>0</v>
      </c>
      <c r="C279">
        <v>2</v>
      </c>
      <c r="D279" t="s">
        <v>1</v>
      </c>
      <c r="E279">
        <v>4</v>
      </c>
      <c r="F279">
        <v>11.5</v>
      </c>
      <c r="G279">
        <v>4998.1665009999997</v>
      </c>
      <c r="H279">
        <v>1.8275E-2</v>
      </c>
      <c r="I279">
        <v>1</v>
      </c>
    </row>
    <row r="280" spans="1:9" x14ac:dyDescent="0.55000000000000004">
      <c r="A280" t="str">
        <f t="shared" si="4"/>
        <v>A-1-f-0-11.5</v>
      </c>
      <c r="B280" t="s">
        <v>1121</v>
      </c>
      <c r="C280">
        <v>1</v>
      </c>
      <c r="D280" t="s">
        <v>1</v>
      </c>
      <c r="E280">
        <v>0</v>
      </c>
      <c r="F280">
        <v>11.5</v>
      </c>
      <c r="G280">
        <v>13862.453501</v>
      </c>
      <c r="H280">
        <v>2.001E-2</v>
      </c>
      <c r="I280">
        <v>1</v>
      </c>
    </row>
    <row r="281" spans="1:9" x14ac:dyDescent="0.55000000000000004">
      <c r="A281" t="str">
        <f t="shared" si="4"/>
        <v>A-1-e-0-11.5</v>
      </c>
      <c r="B281" t="s">
        <v>1121</v>
      </c>
      <c r="C281">
        <v>1</v>
      </c>
      <c r="D281" t="s">
        <v>2</v>
      </c>
      <c r="E281">
        <v>0</v>
      </c>
      <c r="F281">
        <v>11.5</v>
      </c>
      <c r="G281">
        <v>13907.308056</v>
      </c>
      <c r="H281">
        <v>2.1184999999999999E-2</v>
      </c>
      <c r="I281">
        <v>1</v>
      </c>
    </row>
    <row r="282" spans="1:9" x14ac:dyDescent="0.55000000000000004">
      <c r="A282" t="str">
        <f t="shared" si="4"/>
        <v>A-2-f-0-11.5</v>
      </c>
      <c r="B282" t="s">
        <v>1121</v>
      </c>
      <c r="C282">
        <v>2</v>
      </c>
      <c r="D282" t="s">
        <v>1</v>
      </c>
      <c r="E282">
        <v>0</v>
      </c>
      <c r="F282">
        <v>11.5</v>
      </c>
      <c r="G282">
        <v>14177.907963</v>
      </c>
      <c r="H282">
        <v>3.2018999999999999E-2</v>
      </c>
      <c r="I282">
        <v>1</v>
      </c>
    </row>
    <row r="283" spans="1:9" x14ac:dyDescent="0.55000000000000004">
      <c r="A283" t="str">
        <f t="shared" si="4"/>
        <v>A-2-e-0-11.5</v>
      </c>
      <c r="B283" t="s">
        <v>1121</v>
      </c>
      <c r="C283">
        <v>2</v>
      </c>
      <c r="D283" t="s">
        <v>2</v>
      </c>
      <c r="E283">
        <v>0</v>
      </c>
      <c r="F283">
        <v>11.5</v>
      </c>
      <c r="G283">
        <v>14179.764641</v>
      </c>
      <c r="H283">
        <v>2.231E-2</v>
      </c>
      <c r="I283">
        <v>1</v>
      </c>
    </row>
    <row r="284" spans="1:9" x14ac:dyDescent="0.55000000000000004">
      <c r="A284" t="str">
        <f t="shared" si="4"/>
        <v>B-1-e-0-11.5</v>
      </c>
      <c r="B284" t="s">
        <v>1515</v>
      </c>
      <c r="C284">
        <v>1</v>
      </c>
      <c r="D284" t="s">
        <v>2</v>
      </c>
      <c r="E284">
        <v>0</v>
      </c>
      <c r="F284">
        <v>11.5</v>
      </c>
      <c r="G284">
        <v>14833.905333999999</v>
      </c>
      <c r="H284">
        <v>1.9778E-2</v>
      </c>
      <c r="I284">
        <v>1</v>
      </c>
    </row>
    <row r="285" spans="1:9" x14ac:dyDescent="0.55000000000000004">
      <c r="A285" t="str">
        <f t="shared" si="4"/>
        <v>B-2-f-0-11.5</v>
      </c>
      <c r="B285" t="s">
        <v>1515</v>
      </c>
      <c r="C285">
        <v>2</v>
      </c>
      <c r="D285" t="s">
        <v>1</v>
      </c>
      <c r="E285">
        <v>0</v>
      </c>
      <c r="F285">
        <v>11.5</v>
      </c>
      <c r="G285">
        <v>14969.898206</v>
      </c>
      <c r="H285">
        <v>0.13142000000000001</v>
      </c>
      <c r="I285">
        <v>1</v>
      </c>
    </row>
    <row r="286" spans="1:9" x14ac:dyDescent="0.55000000000000004">
      <c r="A286" t="str">
        <f t="shared" si="4"/>
        <v>B-1-e-1-11.5</v>
      </c>
      <c r="B286" t="s">
        <v>1515</v>
      </c>
      <c r="C286">
        <v>1</v>
      </c>
      <c r="D286" t="s">
        <v>2</v>
      </c>
      <c r="E286">
        <v>1</v>
      </c>
      <c r="F286">
        <v>11.5</v>
      </c>
      <c r="G286">
        <v>16015.375509</v>
      </c>
      <c r="H286">
        <v>6.6461999999999993E-2</v>
      </c>
      <c r="I286">
        <v>1</v>
      </c>
    </row>
    <row r="287" spans="1:9" x14ac:dyDescent="0.55000000000000004">
      <c r="A287" t="str">
        <f t="shared" si="4"/>
        <v>B-2-f-1-11.5</v>
      </c>
      <c r="B287" t="s">
        <v>1515</v>
      </c>
      <c r="C287">
        <v>2</v>
      </c>
      <c r="D287" t="s">
        <v>1</v>
      </c>
      <c r="E287">
        <v>1</v>
      </c>
      <c r="F287">
        <v>11.5</v>
      </c>
      <c r="G287">
        <v>16149.370446000001</v>
      </c>
      <c r="H287">
        <v>5.6725999999999999E-2</v>
      </c>
      <c r="I287">
        <v>1</v>
      </c>
    </row>
    <row r="288" spans="1:9" x14ac:dyDescent="0.55000000000000004">
      <c r="A288" t="str">
        <f t="shared" si="4"/>
        <v>E-1-e-0-11.5</v>
      </c>
      <c r="B288" t="s">
        <v>680</v>
      </c>
      <c r="C288">
        <v>1</v>
      </c>
      <c r="D288" t="s">
        <v>2</v>
      </c>
      <c r="E288">
        <v>0</v>
      </c>
      <c r="F288">
        <v>11.5</v>
      </c>
      <c r="G288">
        <v>19380.054505</v>
      </c>
      <c r="H288">
        <v>0.21301999999999999</v>
      </c>
      <c r="I288">
        <v>1</v>
      </c>
    </row>
    <row r="289" spans="1:9" x14ac:dyDescent="0.55000000000000004">
      <c r="A289" t="str">
        <f t="shared" si="4"/>
        <v>E-1-f-0-11.5</v>
      </c>
      <c r="B289" t="s">
        <v>680</v>
      </c>
      <c r="C289">
        <v>1</v>
      </c>
      <c r="D289" t="s">
        <v>1</v>
      </c>
      <c r="E289">
        <v>0</v>
      </c>
      <c r="F289">
        <v>11.5</v>
      </c>
      <c r="G289">
        <v>19380.204117000001</v>
      </c>
      <c r="H289">
        <v>0.21501000000000001</v>
      </c>
      <c r="I289">
        <v>1</v>
      </c>
    </row>
    <row r="290" spans="1:9" x14ac:dyDescent="0.55000000000000004">
      <c r="A290" t="str">
        <f t="shared" si="4"/>
        <v>E-2-e-0-11.5</v>
      </c>
      <c r="B290" t="s">
        <v>680</v>
      </c>
      <c r="C290">
        <v>2</v>
      </c>
      <c r="D290" t="s">
        <v>2</v>
      </c>
      <c r="E290">
        <v>0</v>
      </c>
      <c r="F290">
        <v>11.5</v>
      </c>
      <c r="G290">
        <v>19519.455341000001</v>
      </c>
      <c r="H290">
        <v>1.302E-2</v>
      </c>
      <c r="I290">
        <v>1</v>
      </c>
    </row>
    <row r="291" spans="1:9" x14ac:dyDescent="0.55000000000000004">
      <c r="A291" t="str">
        <f t="shared" si="4"/>
        <v>E-2-f-0-11.5</v>
      </c>
      <c r="B291" t="s">
        <v>680</v>
      </c>
      <c r="C291">
        <v>2</v>
      </c>
      <c r="D291" t="s">
        <v>1</v>
      </c>
      <c r="E291">
        <v>0</v>
      </c>
      <c r="F291">
        <v>11.5</v>
      </c>
      <c r="G291">
        <v>19520.359952999999</v>
      </c>
      <c r="H291">
        <v>1.6639000000000001E-2</v>
      </c>
      <c r="I291">
        <v>1</v>
      </c>
    </row>
    <row r="292" spans="1:9" x14ac:dyDescent="0.55000000000000004">
      <c r="A292" t="str">
        <f t="shared" si="4"/>
        <v>E-1-e-1-11.5</v>
      </c>
      <c r="B292" t="s">
        <v>680</v>
      </c>
      <c r="C292">
        <v>1</v>
      </c>
      <c r="D292" t="s">
        <v>2</v>
      </c>
      <c r="E292">
        <v>1</v>
      </c>
      <c r="F292">
        <v>11.5</v>
      </c>
      <c r="G292">
        <v>20531.050103000001</v>
      </c>
      <c r="H292">
        <v>1.401E-2</v>
      </c>
      <c r="I292">
        <v>1</v>
      </c>
    </row>
    <row r="293" spans="1:9" x14ac:dyDescent="0.55000000000000004">
      <c r="A293" t="str">
        <f t="shared" si="4"/>
        <v>E-1-f-1-11.5</v>
      </c>
      <c r="B293" t="s">
        <v>680</v>
      </c>
      <c r="C293">
        <v>1</v>
      </c>
      <c r="D293" t="s">
        <v>1</v>
      </c>
      <c r="E293">
        <v>1</v>
      </c>
      <c r="F293">
        <v>11.5</v>
      </c>
      <c r="G293">
        <v>20531.092746999999</v>
      </c>
      <c r="H293">
        <v>6.7377000000000006E-2</v>
      </c>
      <c r="I293">
        <v>1</v>
      </c>
    </row>
    <row r="294" spans="1:9" x14ac:dyDescent="0.55000000000000004">
      <c r="A294" t="str">
        <f t="shared" si="4"/>
        <v>E-2-e-1-11.5</v>
      </c>
      <c r="B294" t="s">
        <v>680</v>
      </c>
      <c r="C294">
        <v>2</v>
      </c>
      <c r="D294" t="s">
        <v>2</v>
      </c>
      <c r="E294">
        <v>1</v>
      </c>
      <c r="F294">
        <v>11.5</v>
      </c>
      <c r="G294">
        <v>20672.135951</v>
      </c>
      <c r="H294">
        <v>0.16763900000000001</v>
      </c>
      <c r="I294">
        <v>1</v>
      </c>
    </row>
    <row r="295" spans="1:9" x14ac:dyDescent="0.55000000000000004">
      <c r="A295" t="str">
        <f t="shared" si="4"/>
        <v>E-2-f-1-11.5</v>
      </c>
      <c r="B295" t="s">
        <v>680</v>
      </c>
      <c r="C295">
        <v>2</v>
      </c>
      <c r="D295" t="s">
        <v>1</v>
      </c>
      <c r="E295">
        <v>1</v>
      </c>
      <c r="F295">
        <v>11.5</v>
      </c>
      <c r="G295">
        <v>20672.802307999998</v>
      </c>
      <c r="H295">
        <v>1.5015000000000001E-2</v>
      </c>
      <c r="I295">
        <v>1</v>
      </c>
    </row>
    <row r="296" spans="1:9" x14ac:dyDescent="0.55000000000000004">
      <c r="A296" t="str">
        <f t="shared" si="4"/>
        <v>X-1-e-0-12.5</v>
      </c>
      <c r="B296" t="s">
        <v>0</v>
      </c>
      <c r="C296">
        <v>1</v>
      </c>
      <c r="D296" t="s">
        <v>2</v>
      </c>
      <c r="E296">
        <v>0</v>
      </c>
      <c r="F296">
        <v>12.5</v>
      </c>
      <c r="G296">
        <v>564.264408</v>
      </c>
      <c r="H296">
        <v>1.0019999999999999E-2</v>
      </c>
      <c r="I296">
        <v>7</v>
      </c>
    </row>
    <row r="297" spans="1:9" x14ac:dyDescent="0.55000000000000004">
      <c r="A297" t="str">
        <f t="shared" si="4"/>
        <v>X-2-f-0-12.5</v>
      </c>
      <c r="B297" t="s">
        <v>0</v>
      </c>
      <c r="C297">
        <v>2</v>
      </c>
      <c r="D297" t="s">
        <v>1</v>
      </c>
      <c r="E297">
        <v>0</v>
      </c>
      <c r="F297">
        <v>12.5</v>
      </c>
      <c r="G297">
        <v>655.96809800000005</v>
      </c>
      <c r="H297">
        <v>1.4290000000000001E-2</v>
      </c>
      <c r="I297">
        <v>2</v>
      </c>
    </row>
    <row r="298" spans="1:9" x14ac:dyDescent="0.55000000000000004">
      <c r="A298" t="str">
        <f t="shared" si="4"/>
        <v>X-1-e-1-12.5</v>
      </c>
      <c r="B298" t="s">
        <v>0</v>
      </c>
      <c r="C298">
        <v>1</v>
      </c>
      <c r="D298" t="s">
        <v>2</v>
      </c>
      <c r="E298">
        <v>1</v>
      </c>
      <c r="F298">
        <v>12.5</v>
      </c>
      <c r="G298">
        <v>1724.5278310000001</v>
      </c>
      <c r="H298">
        <v>1.1010000000000001E-2</v>
      </c>
      <c r="I298">
        <v>14</v>
      </c>
    </row>
    <row r="299" spans="1:9" x14ac:dyDescent="0.55000000000000004">
      <c r="A299" t="str">
        <f t="shared" si="4"/>
        <v>X-2-f-1-12.5</v>
      </c>
      <c r="B299" t="s">
        <v>0</v>
      </c>
      <c r="C299">
        <v>2</v>
      </c>
      <c r="D299" t="s">
        <v>1</v>
      </c>
      <c r="E299">
        <v>1</v>
      </c>
      <c r="F299">
        <v>12.5</v>
      </c>
      <c r="G299">
        <v>1814.197355</v>
      </c>
      <c r="H299">
        <v>1.2377000000000001E-2</v>
      </c>
      <c r="I299">
        <v>2</v>
      </c>
    </row>
    <row r="300" spans="1:9" x14ac:dyDescent="0.55000000000000004">
      <c r="A300" t="str">
        <f t="shared" si="4"/>
        <v>X-1-e-2-12.5</v>
      </c>
      <c r="B300" t="s">
        <v>0</v>
      </c>
      <c r="C300">
        <v>1</v>
      </c>
      <c r="D300" t="s">
        <v>2</v>
      </c>
      <c r="E300">
        <v>2</v>
      </c>
      <c r="F300">
        <v>12.5</v>
      </c>
      <c r="G300">
        <v>2850.585658</v>
      </c>
      <c r="H300">
        <v>1.4710000000000001E-2</v>
      </c>
      <c r="I300">
        <v>19</v>
      </c>
    </row>
    <row r="301" spans="1:9" x14ac:dyDescent="0.55000000000000004">
      <c r="A301" t="str">
        <f t="shared" si="4"/>
        <v>X-2-f-2-12.5</v>
      </c>
      <c r="B301" t="s">
        <v>0</v>
      </c>
      <c r="C301">
        <v>2</v>
      </c>
      <c r="D301" t="s">
        <v>1</v>
      </c>
      <c r="E301">
        <v>2</v>
      </c>
      <c r="F301">
        <v>12.5</v>
      </c>
      <c r="G301">
        <v>2938.2162109999999</v>
      </c>
      <c r="H301">
        <v>3.3890000000000003E-2</v>
      </c>
      <c r="I301">
        <v>2</v>
      </c>
    </row>
    <row r="302" spans="1:9" x14ac:dyDescent="0.55000000000000004">
      <c r="A302" t="str">
        <f t="shared" si="4"/>
        <v>X-1-e-3-12.5</v>
      </c>
      <c r="B302" t="s">
        <v>0</v>
      </c>
      <c r="C302">
        <v>1</v>
      </c>
      <c r="D302" t="s">
        <v>2</v>
      </c>
      <c r="E302">
        <v>3</v>
      </c>
      <c r="F302">
        <v>12.5</v>
      </c>
      <c r="G302">
        <v>3942.3325589999999</v>
      </c>
      <c r="H302">
        <v>3.5409999999999997E-2</v>
      </c>
      <c r="I302">
        <v>21</v>
      </c>
    </row>
    <row r="303" spans="1:9" x14ac:dyDescent="0.55000000000000004">
      <c r="A303" t="str">
        <f t="shared" si="4"/>
        <v>X-2-f-3-12.5</v>
      </c>
      <c r="B303" t="s">
        <v>0</v>
      </c>
      <c r="C303">
        <v>2</v>
      </c>
      <c r="D303" t="s">
        <v>1</v>
      </c>
      <c r="E303">
        <v>3</v>
      </c>
      <c r="F303">
        <v>12.5</v>
      </c>
      <c r="G303">
        <v>4027.9048779999998</v>
      </c>
      <c r="H303">
        <v>1.8775E-2</v>
      </c>
      <c r="I303">
        <v>2</v>
      </c>
    </row>
    <row r="304" spans="1:9" x14ac:dyDescent="0.55000000000000004">
      <c r="A304" t="str">
        <f t="shared" si="4"/>
        <v>X-1-e-4-12.5</v>
      </c>
      <c r="B304" t="s">
        <v>0</v>
      </c>
      <c r="C304">
        <v>1</v>
      </c>
      <c r="D304" t="s">
        <v>2</v>
      </c>
      <c r="E304">
        <v>4</v>
      </c>
      <c r="F304">
        <v>12.5</v>
      </c>
      <c r="G304">
        <v>4999.4883069999996</v>
      </c>
      <c r="H304">
        <v>2.307E-2</v>
      </c>
      <c r="I304">
        <v>17</v>
      </c>
    </row>
    <row r="305" spans="1:9" x14ac:dyDescent="0.55000000000000004">
      <c r="A305" t="str">
        <f t="shared" si="4"/>
        <v>X-2-f-4-12.5</v>
      </c>
      <c r="B305" t="s">
        <v>0</v>
      </c>
      <c r="C305">
        <v>2</v>
      </c>
      <c r="D305" t="s">
        <v>1</v>
      </c>
      <c r="E305">
        <v>4</v>
      </c>
      <c r="F305">
        <v>12.5</v>
      </c>
      <c r="G305">
        <v>5082.9836409999998</v>
      </c>
      <c r="H305">
        <v>6.0331000000000003E-2</v>
      </c>
      <c r="I305">
        <v>2</v>
      </c>
    </row>
    <row r="306" spans="1:9" x14ac:dyDescent="0.55000000000000004">
      <c r="A306" t="str">
        <f t="shared" si="4"/>
        <v>A-1-f-0-12.5</v>
      </c>
      <c r="B306" t="s">
        <v>1121</v>
      </c>
      <c r="C306">
        <v>1</v>
      </c>
      <c r="D306" t="s">
        <v>1</v>
      </c>
      <c r="E306">
        <v>0</v>
      </c>
      <c r="F306">
        <v>12.5</v>
      </c>
      <c r="G306">
        <v>13951.644507999999</v>
      </c>
      <c r="H306">
        <v>2.002E-2</v>
      </c>
      <c r="I306">
        <v>16</v>
      </c>
    </row>
    <row r="307" spans="1:9" x14ac:dyDescent="0.55000000000000004">
      <c r="A307" t="str">
        <f t="shared" si="4"/>
        <v>A-1-e-0-12.5</v>
      </c>
      <c r="B307" t="s">
        <v>1121</v>
      </c>
      <c r="C307">
        <v>1</v>
      </c>
      <c r="D307" t="s">
        <v>2</v>
      </c>
      <c r="E307">
        <v>0</v>
      </c>
      <c r="F307">
        <v>12.5</v>
      </c>
      <c r="G307">
        <v>13999.437083999999</v>
      </c>
      <c r="H307">
        <v>4.4971999999999998E-2</v>
      </c>
      <c r="I307">
        <v>2</v>
      </c>
    </row>
    <row r="308" spans="1:9" x14ac:dyDescent="0.55000000000000004">
      <c r="A308" t="str">
        <f t="shared" si="4"/>
        <v>A-2-f-0-12.5</v>
      </c>
      <c r="B308" t="s">
        <v>1121</v>
      </c>
      <c r="C308">
        <v>2</v>
      </c>
      <c r="D308" t="s">
        <v>1</v>
      </c>
      <c r="E308">
        <v>0</v>
      </c>
      <c r="F308">
        <v>12.5</v>
      </c>
      <c r="G308">
        <v>14268.694471999999</v>
      </c>
      <c r="H308">
        <v>2.002E-2</v>
      </c>
      <c r="I308">
        <v>21</v>
      </c>
    </row>
    <row r="309" spans="1:9" x14ac:dyDescent="0.55000000000000004">
      <c r="A309" t="str">
        <f t="shared" si="4"/>
        <v>A-2-e-0-12.5</v>
      </c>
      <c r="B309" t="s">
        <v>1121</v>
      </c>
      <c r="C309">
        <v>2</v>
      </c>
      <c r="D309" t="s">
        <v>2</v>
      </c>
      <c r="E309">
        <v>0</v>
      </c>
      <c r="F309">
        <v>12.5</v>
      </c>
      <c r="G309">
        <v>14270.978891999999</v>
      </c>
      <c r="H309">
        <v>5.0871E-2</v>
      </c>
      <c r="I309">
        <v>2</v>
      </c>
    </row>
    <row r="310" spans="1:9" x14ac:dyDescent="0.55000000000000004">
      <c r="A310" t="str">
        <f t="shared" si="4"/>
        <v>B-1-e-0-12.5</v>
      </c>
      <c r="B310" t="s">
        <v>1515</v>
      </c>
      <c r="C310">
        <v>1</v>
      </c>
      <c r="D310" t="s">
        <v>2</v>
      </c>
      <c r="E310">
        <v>0</v>
      </c>
      <c r="F310">
        <v>12.5</v>
      </c>
      <c r="G310">
        <v>14922.972073000001</v>
      </c>
      <c r="H310">
        <v>5.5599999999999997E-2</v>
      </c>
      <c r="I310">
        <v>19</v>
      </c>
    </row>
    <row r="311" spans="1:9" x14ac:dyDescent="0.55000000000000004">
      <c r="A311" t="str">
        <f t="shared" si="4"/>
        <v>B-2-f-0-12.5</v>
      </c>
      <c r="B311" t="s">
        <v>1515</v>
      </c>
      <c r="C311">
        <v>2</v>
      </c>
      <c r="D311" t="s">
        <v>1</v>
      </c>
      <c r="E311">
        <v>0</v>
      </c>
      <c r="F311">
        <v>12.5</v>
      </c>
      <c r="G311">
        <v>15069.717868</v>
      </c>
      <c r="H311">
        <v>9.8584000000000005E-2</v>
      </c>
      <c r="I311">
        <v>2</v>
      </c>
    </row>
    <row r="312" spans="1:9" x14ac:dyDescent="0.55000000000000004">
      <c r="A312" t="str">
        <f t="shared" si="4"/>
        <v>B-1-e-1-12.5</v>
      </c>
      <c r="B312" t="s">
        <v>1515</v>
      </c>
      <c r="C312">
        <v>1</v>
      </c>
      <c r="D312" t="s">
        <v>2</v>
      </c>
      <c r="E312">
        <v>1</v>
      </c>
      <c r="F312">
        <v>12.5</v>
      </c>
      <c r="G312">
        <v>16102.169904</v>
      </c>
      <c r="H312">
        <v>2.3868E-2</v>
      </c>
      <c r="I312">
        <v>18</v>
      </c>
    </row>
    <row r="313" spans="1:9" x14ac:dyDescent="0.55000000000000004">
      <c r="A313" t="str">
        <f t="shared" si="4"/>
        <v>B-2-f-1-12.5</v>
      </c>
      <c r="B313" t="s">
        <v>1515</v>
      </c>
      <c r="C313">
        <v>2</v>
      </c>
      <c r="D313" t="s">
        <v>1</v>
      </c>
      <c r="E313">
        <v>1</v>
      </c>
      <c r="F313">
        <v>12.5</v>
      </c>
      <c r="G313">
        <v>16246.501490000001</v>
      </c>
      <c r="H313">
        <v>0.16870199999999999</v>
      </c>
      <c r="I313">
        <v>2</v>
      </c>
    </row>
    <row r="314" spans="1:9" x14ac:dyDescent="0.55000000000000004">
      <c r="A314" t="str">
        <f t="shared" si="4"/>
        <v>E-1-e-0-12.5</v>
      </c>
      <c r="B314" t="s">
        <v>680</v>
      </c>
      <c r="C314">
        <v>1</v>
      </c>
      <c r="D314" t="s">
        <v>2</v>
      </c>
      <c r="E314">
        <v>0</v>
      </c>
      <c r="F314">
        <v>12.5</v>
      </c>
      <c r="G314">
        <v>19470.000591</v>
      </c>
      <c r="H314">
        <v>0.11501</v>
      </c>
      <c r="I314">
        <v>19</v>
      </c>
    </row>
    <row r="315" spans="1:9" x14ac:dyDescent="0.55000000000000004">
      <c r="A315" t="str">
        <f t="shared" si="4"/>
        <v>E-1-f-0-12.5</v>
      </c>
      <c r="B315" t="s">
        <v>680</v>
      </c>
      <c r="C315">
        <v>1</v>
      </c>
      <c r="D315" t="s">
        <v>1</v>
      </c>
      <c r="E315">
        <v>0</v>
      </c>
      <c r="F315">
        <v>12.5</v>
      </c>
      <c r="G315">
        <v>19470.042120999999</v>
      </c>
      <c r="H315">
        <v>0.11502</v>
      </c>
      <c r="I315">
        <v>2</v>
      </c>
    </row>
    <row r="316" spans="1:9" x14ac:dyDescent="0.55000000000000004">
      <c r="A316" t="str">
        <f t="shared" si="4"/>
        <v>E-2-e-0-12.5</v>
      </c>
      <c r="B316" t="s">
        <v>680</v>
      </c>
      <c r="C316">
        <v>2</v>
      </c>
      <c r="D316" t="s">
        <v>2</v>
      </c>
      <c r="E316">
        <v>0</v>
      </c>
      <c r="F316">
        <v>12.5</v>
      </c>
      <c r="G316">
        <v>19614.645264999999</v>
      </c>
      <c r="H316">
        <v>1.5010000000000001E-2</v>
      </c>
      <c r="I316">
        <v>18</v>
      </c>
    </row>
    <row r="317" spans="1:9" x14ac:dyDescent="0.55000000000000004">
      <c r="A317" t="str">
        <f t="shared" si="4"/>
        <v>E-2-f-0-12.5</v>
      </c>
      <c r="B317" t="s">
        <v>680</v>
      </c>
      <c r="C317">
        <v>2</v>
      </c>
      <c r="D317" t="s">
        <v>1</v>
      </c>
      <c r="E317">
        <v>0</v>
      </c>
      <c r="F317">
        <v>12.5</v>
      </c>
      <c r="G317">
        <v>19615.743921000001</v>
      </c>
      <c r="H317">
        <v>1.502E-2</v>
      </c>
      <c r="I317">
        <v>2</v>
      </c>
    </row>
    <row r="318" spans="1:9" x14ac:dyDescent="0.55000000000000004">
      <c r="A318" t="str">
        <f t="shared" si="4"/>
        <v>E-1-f-1-12.5</v>
      </c>
      <c r="B318" t="s">
        <v>680</v>
      </c>
      <c r="C318">
        <v>1</v>
      </c>
      <c r="D318" t="s">
        <v>1</v>
      </c>
      <c r="E318">
        <v>1</v>
      </c>
      <c r="F318">
        <v>12.5</v>
      </c>
      <c r="G318">
        <v>20618.664349999999</v>
      </c>
      <c r="H318">
        <v>0.12028999999999999</v>
      </c>
      <c r="I318">
        <v>16</v>
      </c>
    </row>
    <row r="319" spans="1:9" x14ac:dyDescent="0.55000000000000004">
      <c r="A319" t="str">
        <f t="shared" si="4"/>
        <v>E-1-e-1-12.5</v>
      </c>
      <c r="B319" t="s">
        <v>680</v>
      </c>
      <c r="C319">
        <v>1</v>
      </c>
      <c r="D319" t="s">
        <v>2</v>
      </c>
      <c r="E319">
        <v>1</v>
      </c>
      <c r="F319">
        <v>12.5</v>
      </c>
      <c r="G319">
        <v>20618.781170999999</v>
      </c>
      <c r="H319">
        <v>1.4019999999999999E-2</v>
      </c>
      <c r="I319">
        <v>2</v>
      </c>
    </row>
    <row r="320" spans="1:9" x14ac:dyDescent="0.55000000000000004">
      <c r="A320" t="str">
        <f t="shared" si="4"/>
        <v>E-2-e-1-12.5</v>
      </c>
      <c r="B320" t="s">
        <v>680</v>
      </c>
      <c r="C320">
        <v>2</v>
      </c>
      <c r="D320" t="s">
        <v>2</v>
      </c>
      <c r="E320">
        <v>1</v>
      </c>
      <c r="F320">
        <v>12.5</v>
      </c>
      <c r="G320">
        <v>20764.629056999998</v>
      </c>
      <c r="H320">
        <v>1.4019999999999999E-2</v>
      </c>
      <c r="I320">
        <v>15</v>
      </c>
    </row>
    <row r="321" spans="1:9" x14ac:dyDescent="0.55000000000000004">
      <c r="A321" t="str">
        <f t="shared" si="4"/>
        <v>E-2-f-1-12.5</v>
      </c>
      <c r="B321" t="s">
        <v>680</v>
      </c>
      <c r="C321">
        <v>2</v>
      </c>
      <c r="D321" t="s">
        <v>1</v>
      </c>
      <c r="E321">
        <v>1</v>
      </c>
      <c r="F321">
        <v>12.5</v>
      </c>
      <c r="G321">
        <v>20765.526461000001</v>
      </c>
      <c r="H321">
        <v>1.601E-2</v>
      </c>
      <c r="I321">
        <v>2</v>
      </c>
    </row>
    <row r="322" spans="1:9" x14ac:dyDescent="0.55000000000000004">
      <c r="A322" t="str">
        <f t="shared" si="4"/>
        <v>X-1-e-0-13.5</v>
      </c>
      <c r="B322" t="s">
        <v>0</v>
      </c>
      <c r="C322">
        <v>1</v>
      </c>
      <c r="D322" t="s">
        <v>2</v>
      </c>
      <c r="E322">
        <v>0</v>
      </c>
      <c r="F322">
        <v>13.5</v>
      </c>
      <c r="G322">
        <v>657.61072200000001</v>
      </c>
      <c r="H322">
        <v>1.2644000000000001E-2</v>
      </c>
      <c r="I322">
        <v>16</v>
      </c>
    </row>
    <row r="323" spans="1:9" x14ac:dyDescent="0.55000000000000004">
      <c r="A323" t="str">
        <f t="shared" ref="A323:A386" si="5">B323&amp;"-"&amp;C323&amp;"-"&amp;D323&amp;"-"&amp;E323&amp;"-"&amp;F323</f>
        <v>X-2-f-0-13.5</v>
      </c>
      <c r="B323" t="s">
        <v>0</v>
      </c>
      <c r="C323">
        <v>2</v>
      </c>
      <c r="D323" t="s">
        <v>1</v>
      </c>
      <c r="E323">
        <v>0</v>
      </c>
      <c r="F323">
        <v>13.5</v>
      </c>
      <c r="G323">
        <v>756.167869</v>
      </c>
      <c r="H323">
        <v>1.3872000000000001E-2</v>
      </c>
      <c r="I323">
        <v>2</v>
      </c>
    </row>
    <row r="324" spans="1:9" x14ac:dyDescent="0.55000000000000004">
      <c r="A324" t="str">
        <f t="shared" si="5"/>
        <v>X-1-e-1-13.5</v>
      </c>
      <c r="B324" t="s">
        <v>0</v>
      </c>
      <c r="C324">
        <v>1</v>
      </c>
      <c r="D324" t="s">
        <v>2</v>
      </c>
      <c r="E324">
        <v>1</v>
      </c>
      <c r="F324">
        <v>13.5</v>
      </c>
      <c r="G324">
        <v>1815.786175</v>
      </c>
      <c r="H324">
        <v>1.102E-2</v>
      </c>
      <c r="I324">
        <v>17</v>
      </c>
    </row>
    <row r="325" spans="1:9" x14ac:dyDescent="0.55000000000000004">
      <c r="A325" t="str">
        <f t="shared" si="5"/>
        <v>X-2-f-1-13.5</v>
      </c>
      <c r="B325" t="s">
        <v>0</v>
      </c>
      <c r="C325">
        <v>2</v>
      </c>
      <c r="D325" t="s">
        <v>1</v>
      </c>
      <c r="E325">
        <v>1</v>
      </c>
      <c r="F325">
        <v>13.5</v>
      </c>
      <c r="G325">
        <v>1912.158688</v>
      </c>
      <c r="H325">
        <v>1.529E-2</v>
      </c>
      <c r="I325">
        <v>2</v>
      </c>
    </row>
    <row r="326" spans="1:9" x14ac:dyDescent="0.55000000000000004">
      <c r="A326" t="str">
        <f t="shared" si="5"/>
        <v>X-1-e-2-13.5</v>
      </c>
      <c r="B326" t="s">
        <v>0</v>
      </c>
      <c r="C326">
        <v>1</v>
      </c>
      <c r="D326" t="s">
        <v>2</v>
      </c>
      <c r="E326">
        <v>2</v>
      </c>
      <c r="F326">
        <v>13.5</v>
      </c>
      <c r="G326">
        <v>2939.7494799999999</v>
      </c>
      <c r="H326">
        <v>3.2244000000000002E-2</v>
      </c>
      <c r="I326">
        <v>14</v>
      </c>
    </row>
    <row r="327" spans="1:9" x14ac:dyDescent="0.55000000000000004">
      <c r="A327" t="str">
        <f t="shared" si="5"/>
        <v>X-2-f-2-13.5</v>
      </c>
      <c r="B327" t="s">
        <v>0</v>
      </c>
      <c r="C327">
        <v>2</v>
      </c>
      <c r="D327" t="s">
        <v>1</v>
      </c>
      <c r="E327">
        <v>2</v>
      </c>
      <c r="F327">
        <v>13.5</v>
      </c>
      <c r="G327">
        <v>3033.9217050000002</v>
      </c>
      <c r="H327">
        <v>1.3377E-2</v>
      </c>
      <c r="I327">
        <v>2</v>
      </c>
    </row>
    <row r="328" spans="1:9" x14ac:dyDescent="0.55000000000000004">
      <c r="A328" t="str">
        <f t="shared" si="5"/>
        <v>X-1-e-3-13.5</v>
      </c>
      <c r="B328" t="s">
        <v>0</v>
      </c>
      <c r="C328">
        <v>1</v>
      </c>
      <c r="D328" t="s">
        <v>2</v>
      </c>
      <c r="E328">
        <v>3</v>
      </c>
      <c r="F328">
        <v>13.5</v>
      </c>
      <c r="G328">
        <v>4029.3840070000001</v>
      </c>
      <c r="H328">
        <v>2.47E-2</v>
      </c>
      <c r="I328">
        <v>14</v>
      </c>
    </row>
    <row r="329" spans="1:9" x14ac:dyDescent="0.55000000000000004">
      <c r="A329" t="str">
        <f t="shared" si="5"/>
        <v>X-2-f-3-13.5</v>
      </c>
      <c r="B329" t="s">
        <v>0</v>
      </c>
      <c r="C329">
        <v>2</v>
      </c>
      <c r="D329" t="s">
        <v>1</v>
      </c>
      <c r="E329">
        <v>3</v>
      </c>
      <c r="F329">
        <v>13.5</v>
      </c>
      <c r="G329">
        <v>4121.3438560000004</v>
      </c>
      <c r="H329">
        <v>4.8590000000000001E-2</v>
      </c>
      <c r="I329">
        <v>2</v>
      </c>
    </row>
    <row r="330" spans="1:9" x14ac:dyDescent="0.55000000000000004">
      <c r="A330" t="str">
        <f t="shared" si="5"/>
        <v>X-1-e-4-13.5</v>
      </c>
      <c r="B330" t="s">
        <v>0</v>
      </c>
      <c r="C330">
        <v>1</v>
      </c>
      <c r="D330" t="s">
        <v>2</v>
      </c>
      <c r="E330">
        <v>4</v>
      </c>
      <c r="F330">
        <v>13.5</v>
      </c>
      <c r="G330">
        <v>5084.4083799999999</v>
      </c>
      <c r="H330">
        <v>6.3109999999999999E-2</v>
      </c>
      <c r="I330">
        <v>13</v>
      </c>
    </row>
    <row r="331" spans="1:9" x14ac:dyDescent="0.55000000000000004">
      <c r="A331" t="str">
        <f t="shared" si="5"/>
        <v>X-2-f-4-13.5</v>
      </c>
      <c r="B331" t="s">
        <v>0</v>
      </c>
      <c r="C331">
        <v>2</v>
      </c>
      <c r="D331" t="s">
        <v>1</v>
      </c>
      <c r="E331">
        <v>4</v>
      </c>
      <c r="F331">
        <v>13.5</v>
      </c>
      <c r="G331">
        <v>5174.1226100000003</v>
      </c>
      <c r="H331">
        <v>2.5935E-2</v>
      </c>
      <c r="I331">
        <v>2</v>
      </c>
    </row>
    <row r="332" spans="1:9" x14ac:dyDescent="0.55000000000000004">
      <c r="A332" t="str">
        <f t="shared" si="5"/>
        <v>A-1-f-0-13.5</v>
      </c>
      <c r="B332" t="s">
        <v>1121</v>
      </c>
      <c r="C332">
        <v>1</v>
      </c>
      <c r="D332" t="s">
        <v>1</v>
      </c>
      <c r="E332">
        <v>0</v>
      </c>
      <c r="F332">
        <v>13.5</v>
      </c>
      <c r="G332">
        <v>14047.958271</v>
      </c>
      <c r="H332">
        <v>2.6653E-2</v>
      </c>
      <c r="I332">
        <v>11</v>
      </c>
    </row>
    <row r="333" spans="1:9" x14ac:dyDescent="0.55000000000000004">
      <c r="A333" t="str">
        <f t="shared" si="5"/>
        <v>A-1-e-0-13.5</v>
      </c>
      <c r="B333" t="s">
        <v>1121</v>
      </c>
      <c r="C333">
        <v>1</v>
      </c>
      <c r="D333" t="s">
        <v>2</v>
      </c>
      <c r="E333">
        <v>0</v>
      </c>
      <c r="F333">
        <v>13.5</v>
      </c>
      <c r="G333">
        <v>14098.567077</v>
      </c>
      <c r="H333">
        <v>4.5744E-2</v>
      </c>
      <c r="I333">
        <v>2</v>
      </c>
    </row>
    <row r="334" spans="1:9" x14ac:dyDescent="0.55000000000000004">
      <c r="A334" t="str">
        <f t="shared" si="5"/>
        <v>A-2-f-0-13.5</v>
      </c>
      <c r="B334" t="s">
        <v>1121</v>
      </c>
      <c r="C334">
        <v>2</v>
      </c>
      <c r="D334" t="s">
        <v>1</v>
      </c>
      <c r="E334">
        <v>0</v>
      </c>
      <c r="F334">
        <v>13.5</v>
      </c>
      <c r="G334">
        <v>14366.590608</v>
      </c>
      <c r="H334">
        <v>2.2644000000000001E-2</v>
      </c>
      <c r="I334">
        <v>9</v>
      </c>
    </row>
    <row r="335" spans="1:9" x14ac:dyDescent="0.55000000000000004">
      <c r="A335" t="str">
        <f t="shared" si="5"/>
        <v>A-2-e-0-13.5</v>
      </c>
      <c r="B335" t="s">
        <v>1121</v>
      </c>
      <c r="C335">
        <v>2</v>
      </c>
      <c r="D335" t="s">
        <v>2</v>
      </c>
      <c r="E335">
        <v>0</v>
      </c>
      <c r="F335">
        <v>13.5</v>
      </c>
      <c r="G335">
        <v>14369.497869999999</v>
      </c>
      <c r="H335">
        <v>2.3872000000000001E-2</v>
      </c>
      <c r="I335">
        <v>2</v>
      </c>
    </row>
    <row r="336" spans="1:9" x14ac:dyDescent="0.55000000000000004">
      <c r="A336" t="str">
        <f t="shared" si="5"/>
        <v>B-1-e-0-13.5</v>
      </c>
      <c r="B336" t="s">
        <v>1515</v>
      </c>
      <c r="C336">
        <v>1</v>
      </c>
      <c r="D336" t="s">
        <v>2</v>
      </c>
      <c r="E336">
        <v>0</v>
      </c>
      <c r="F336">
        <v>13.5</v>
      </c>
      <c r="G336">
        <v>15019.476806999999</v>
      </c>
      <c r="H336">
        <v>4.0014000000000001E-2</v>
      </c>
      <c r="I336">
        <v>9</v>
      </c>
    </row>
    <row r="337" spans="1:9" x14ac:dyDescent="0.55000000000000004">
      <c r="A337" t="str">
        <f t="shared" si="5"/>
        <v>B-2-f-0-13.5</v>
      </c>
      <c r="B337" t="s">
        <v>1515</v>
      </c>
      <c r="C337">
        <v>2</v>
      </c>
      <c r="D337" t="s">
        <v>1</v>
      </c>
      <c r="E337">
        <v>0</v>
      </c>
      <c r="F337">
        <v>13.5</v>
      </c>
      <c r="G337">
        <v>15176.960552</v>
      </c>
      <c r="H337">
        <v>0.19189300000000001</v>
      </c>
      <c r="I337">
        <v>2</v>
      </c>
    </row>
    <row r="338" spans="1:9" x14ac:dyDescent="0.55000000000000004">
      <c r="A338" t="str">
        <f t="shared" si="5"/>
        <v>B-1-e-1-13.5</v>
      </c>
      <c r="B338" t="s">
        <v>1515</v>
      </c>
      <c r="C338">
        <v>1</v>
      </c>
      <c r="D338" t="s">
        <v>2</v>
      </c>
      <c r="E338">
        <v>1</v>
      </c>
      <c r="F338">
        <v>13.5</v>
      </c>
      <c r="G338">
        <v>16196.163637</v>
      </c>
      <c r="H338">
        <v>3.7518000000000003E-2</v>
      </c>
      <c r="I338">
        <v>9</v>
      </c>
    </row>
    <row r="339" spans="1:9" x14ac:dyDescent="0.55000000000000004">
      <c r="A339" t="str">
        <f t="shared" si="5"/>
        <v>B-2-f-1-13.5</v>
      </c>
      <c r="B339" t="s">
        <v>1515</v>
      </c>
      <c r="C339">
        <v>2</v>
      </c>
      <c r="D339" t="s">
        <v>1</v>
      </c>
      <c r="E339">
        <v>1</v>
      </c>
      <c r="F339">
        <v>13.5</v>
      </c>
      <c r="G339">
        <v>16350.946597</v>
      </c>
      <c r="H339">
        <v>0.297927</v>
      </c>
      <c r="I339">
        <v>2</v>
      </c>
    </row>
    <row r="340" spans="1:9" x14ac:dyDescent="0.55000000000000004">
      <c r="A340" t="str">
        <f t="shared" si="5"/>
        <v>E-1-f-0-13.5</v>
      </c>
      <c r="B340" t="s">
        <v>680</v>
      </c>
      <c r="C340">
        <v>1</v>
      </c>
      <c r="D340" t="s">
        <v>1</v>
      </c>
      <c r="E340">
        <v>0</v>
      </c>
      <c r="F340">
        <v>13.5</v>
      </c>
      <c r="G340">
        <v>19567.035822000002</v>
      </c>
      <c r="H340">
        <v>6.7643999999999996E-2</v>
      </c>
      <c r="I340">
        <v>9</v>
      </c>
    </row>
    <row r="341" spans="1:9" x14ac:dyDescent="0.55000000000000004">
      <c r="A341" t="str">
        <f t="shared" si="5"/>
        <v>E-1-e-0-13.5</v>
      </c>
      <c r="B341" t="s">
        <v>680</v>
      </c>
      <c r="C341">
        <v>1</v>
      </c>
      <c r="D341" t="s">
        <v>2</v>
      </c>
      <c r="E341">
        <v>0</v>
      </c>
      <c r="F341">
        <v>13.5</v>
      </c>
      <c r="G341">
        <v>19567.146767999999</v>
      </c>
      <c r="H341">
        <v>6.7710000000000006E-2</v>
      </c>
      <c r="I341">
        <v>2</v>
      </c>
    </row>
    <row r="342" spans="1:9" x14ac:dyDescent="0.55000000000000004">
      <c r="A342" t="str">
        <f t="shared" si="5"/>
        <v>E-2-e-0-13.5</v>
      </c>
      <c r="B342" t="s">
        <v>680</v>
      </c>
      <c r="C342">
        <v>2</v>
      </c>
      <c r="D342" t="s">
        <v>2</v>
      </c>
      <c r="E342">
        <v>0</v>
      </c>
      <c r="F342">
        <v>13.5</v>
      </c>
      <c r="G342">
        <v>19717.102508</v>
      </c>
      <c r="H342">
        <v>1.502E-2</v>
      </c>
      <c r="I342">
        <v>9</v>
      </c>
    </row>
    <row r="343" spans="1:9" x14ac:dyDescent="0.55000000000000004">
      <c r="A343" t="str">
        <f t="shared" si="5"/>
        <v>E-2-f-0-13.5</v>
      </c>
      <c r="B343" t="s">
        <v>680</v>
      </c>
      <c r="C343">
        <v>2</v>
      </c>
      <c r="D343" t="s">
        <v>1</v>
      </c>
      <c r="E343">
        <v>0</v>
      </c>
      <c r="F343">
        <v>13.5</v>
      </c>
      <c r="G343">
        <v>19718.412162000001</v>
      </c>
      <c r="H343">
        <v>1.7644E-2</v>
      </c>
      <c r="I343">
        <v>2</v>
      </c>
    </row>
    <row r="344" spans="1:9" x14ac:dyDescent="0.55000000000000004">
      <c r="A344" t="str">
        <f t="shared" si="5"/>
        <v>E-1-e-1-13.5</v>
      </c>
      <c r="B344" t="s">
        <v>680</v>
      </c>
      <c r="C344">
        <v>1</v>
      </c>
      <c r="D344" t="s">
        <v>2</v>
      </c>
      <c r="E344">
        <v>1</v>
      </c>
      <c r="F344">
        <v>13.5</v>
      </c>
      <c r="G344">
        <v>20713.420813000001</v>
      </c>
      <c r="H344">
        <v>1.8644000000000001E-2</v>
      </c>
      <c r="I344">
        <v>8</v>
      </c>
    </row>
    <row r="345" spans="1:9" x14ac:dyDescent="0.55000000000000004">
      <c r="A345" t="str">
        <f t="shared" si="5"/>
        <v>E-1-f-1-13.5</v>
      </c>
      <c r="B345" t="s">
        <v>680</v>
      </c>
      <c r="C345">
        <v>1</v>
      </c>
      <c r="D345" t="s">
        <v>1</v>
      </c>
      <c r="E345">
        <v>1</v>
      </c>
      <c r="F345">
        <v>13.5</v>
      </c>
      <c r="G345">
        <v>20713.589315000001</v>
      </c>
      <c r="H345">
        <v>0.41602</v>
      </c>
      <c r="I345">
        <v>2</v>
      </c>
    </row>
    <row r="346" spans="1:9" x14ac:dyDescent="0.55000000000000004">
      <c r="A346" t="str">
        <f t="shared" si="5"/>
        <v>E-2-e-1-13.5</v>
      </c>
      <c r="B346" t="s">
        <v>680</v>
      </c>
      <c r="C346">
        <v>2</v>
      </c>
      <c r="D346" t="s">
        <v>2</v>
      </c>
      <c r="E346">
        <v>1</v>
      </c>
      <c r="F346">
        <v>13.5</v>
      </c>
      <c r="G346">
        <v>20864.267306999998</v>
      </c>
      <c r="H346">
        <v>2.1010000000000001E-2</v>
      </c>
      <c r="I346">
        <v>8</v>
      </c>
    </row>
    <row r="347" spans="1:9" x14ac:dyDescent="0.55000000000000004">
      <c r="A347" t="str">
        <f t="shared" si="5"/>
        <v>E-2-f-1-13.5</v>
      </c>
      <c r="B347" t="s">
        <v>680</v>
      </c>
      <c r="C347">
        <v>2</v>
      </c>
      <c r="D347" t="s">
        <v>1</v>
      </c>
      <c r="E347">
        <v>1</v>
      </c>
      <c r="F347">
        <v>13.5</v>
      </c>
      <c r="G347">
        <v>20865.288679000001</v>
      </c>
      <c r="H347">
        <v>6.6019999999999995E-2</v>
      </c>
      <c r="I347">
        <v>2</v>
      </c>
    </row>
    <row r="348" spans="1:9" x14ac:dyDescent="0.55000000000000004">
      <c r="A348" t="str">
        <f t="shared" si="5"/>
        <v>X-1-e-0-14.5</v>
      </c>
      <c r="B348" t="s">
        <v>0</v>
      </c>
      <c r="C348">
        <v>1</v>
      </c>
      <c r="D348" t="s">
        <v>2</v>
      </c>
      <c r="E348">
        <v>0</v>
      </c>
      <c r="F348">
        <v>14.5</v>
      </c>
      <c r="G348">
        <v>757.92920600000002</v>
      </c>
      <c r="H348">
        <v>1.2710000000000001E-2</v>
      </c>
      <c r="I348">
        <v>8</v>
      </c>
    </row>
    <row r="349" spans="1:9" x14ac:dyDescent="0.55000000000000004">
      <c r="A349" t="str">
        <f t="shared" si="5"/>
        <v>X-2-f-0-14.5</v>
      </c>
      <c r="B349" t="s">
        <v>0</v>
      </c>
      <c r="C349">
        <v>2</v>
      </c>
      <c r="D349" t="s">
        <v>1</v>
      </c>
      <c r="E349">
        <v>0</v>
      </c>
      <c r="F349">
        <v>14.5</v>
      </c>
      <c r="G349">
        <v>863.30300499999998</v>
      </c>
      <c r="H349">
        <v>1.7602E-2</v>
      </c>
      <c r="I349">
        <v>2</v>
      </c>
    </row>
    <row r="350" spans="1:9" x14ac:dyDescent="0.55000000000000004">
      <c r="A350" t="str">
        <f t="shared" si="5"/>
        <v>X-1-e-1-14.5</v>
      </c>
      <c r="B350" t="s">
        <v>0</v>
      </c>
      <c r="C350">
        <v>1</v>
      </c>
      <c r="D350" t="s">
        <v>2</v>
      </c>
      <c r="E350">
        <v>1</v>
      </c>
      <c r="F350">
        <v>14.5</v>
      </c>
      <c r="G350">
        <v>1913.8594439999999</v>
      </c>
      <c r="H350">
        <v>1.3644E-2</v>
      </c>
      <c r="I350">
        <v>5</v>
      </c>
    </row>
    <row r="351" spans="1:9" x14ac:dyDescent="0.55000000000000004">
      <c r="A351" t="str">
        <f t="shared" si="5"/>
        <v>X-2-f-1-14.5</v>
      </c>
      <c r="B351" t="s">
        <v>0</v>
      </c>
      <c r="C351">
        <v>2</v>
      </c>
      <c r="D351" t="s">
        <v>1</v>
      </c>
      <c r="E351">
        <v>1</v>
      </c>
      <c r="F351">
        <v>14.5</v>
      </c>
      <c r="G351">
        <v>2016.8858379999999</v>
      </c>
      <c r="H351">
        <v>1.4872E-2</v>
      </c>
      <c r="I351">
        <v>2</v>
      </c>
    </row>
    <row r="352" spans="1:9" x14ac:dyDescent="0.55000000000000004">
      <c r="A352" t="str">
        <f t="shared" si="5"/>
        <v>X-1-e-2-14.5</v>
      </c>
      <c r="B352" t="s">
        <v>0</v>
      </c>
      <c r="C352">
        <v>1</v>
      </c>
      <c r="D352" t="s">
        <v>2</v>
      </c>
      <c r="E352">
        <v>2</v>
      </c>
      <c r="F352">
        <v>14.5</v>
      </c>
      <c r="G352">
        <v>3035.5639839999999</v>
      </c>
      <c r="H352">
        <v>1.8630000000000001E-2</v>
      </c>
      <c r="I352">
        <v>5</v>
      </c>
    </row>
    <row r="353" spans="1:9" x14ac:dyDescent="0.55000000000000004">
      <c r="A353" t="str">
        <f t="shared" si="5"/>
        <v>X-2-f-2-14.5</v>
      </c>
      <c r="B353" t="s">
        <v>0</v>
      </c>
      <c r="C353">
        <v>2</v>
      </c>
      <c r="D353" t="s">
        <v>1</v>
      </c>
      <c r="E353">
        <v>2</v>
      </c>
      <c r="F353">
        <v>14.5</v>
      </c>
      <c r="G353">
        <v>3136.23972</v>
      </c>
      <c r="H353">
        <v>4.2902000000000003E-2</v>
      </c>
      <c r="I353">
        <v>2</v>
      </c>
    </row>
    <row r="354" spans="1:9" x14ac:dyDescent="0.55000000000000004">
      <c r="A354" t="str">
        <f t="shared" si="5"/>
        <v>X-1-e-3-14.5</v>
      </c>
      <c r="B354" t="s">
        <v>0</v>
      </c>
      <c r="C354">
        <v>1</v>
      </c>
      <c r="D354" t="s">
        <v>2</v>
      </c>
      <c r="E354">
        <v>3</v>
      </c>
      <c r="F354">
        <v>14.5</v>
      </c>
      <c r="G354">
        <v>4122.9272000000001</v>
      </c>
      <c r="H354">
        <v>5.2844000000000002E-2</v>
      </c>
      <c r="I354">
        <v>4</v>
      </c>
    </row>
    <row r="355" spans="1:9" x14ac:dyDescent="0.55000000000000004">
      <c r="A355" t="str">
        <f t="shared" si="5"/>
        <v>X-2-f-3-14.5</v>
      </c>
      <c r="B355" t="s">
        <v>0</v>
      </c>
      <c r="C355">
        <v>2</v>
      </c>
      <c r="D355" t="s">
        <v>1</v>
      </c>
      <c r="E355">
        <v>3</v>
      </c>
      <c r="F355">
        <v>14.5</v>
      </c>
      <c r="G355">
        <v>4221.2268430000004</v>
      </c>
      <c r="H355">
        <v>2.0187E-2</v>
      </c>
      <c r="I355">
        <v>2</v>
      </c>
    </row>
    <row r="356" spans="1:9" x14ac:dyDescent="0.55000000000000004">
      <c r="A356" t="str">
        <f t="shared" si="5"/>
        <v>X-1-e-4-14.5</v>
      </c>
      <c r="B356" t="s">
        <v>0</v>
      </c>
      <c r="C356">
        <v>1</v>
      </c>
      <c r="D356" t="s">
        <v>2</v>
      </c>
      <c r="E356">
        <v>4</v>
      </c>
      <c r="F356">
        <v>14.5</v>
      </c>
      <c r="G356">
        <v>5175.6493689999998</v>
      </c>
      <c r="H356">
        <v>3.2160000000000001E-2</v>
      </c>
      <c r="I356">
        <v>4</v>
      </c>
    </row>
    <row r="357" spans="1:9" x14ac:dyDescent="0.55000000000000004">
      <c r="A357" t="str">
        <f t="shared" si="5"/>
        <v>X-2-f-4-14.5</v>
      </c>
      <c r="B357" t="s">
        <v>0</v>
      </c>
      <c r="C357">
        <v>2</v>
      </c>
      <c r="D357" t="s">
        <v>1</v>
      </c>
      <c r="E357">
        <v>4</v>
      </c>
      <c r="F357">
        <v>14.5</v>
      </c>
      <c r="G357">
        <v>5271.5497320000004</v>
      </c>
      <c r="H357">
        <v>7.7689999999999995E-2</v>
      </c>
      <c r="I357">
        <v>2</v>
      </c>
    </row>
    <row r="358" spans="1:9" x14ac:dyDescent="0.55000000000000004">
      <c r="A358" t="str">
        <f t="shared" si="5"/>
        <v>A-1-f-0-14.5</v>
      </c>
      <c r="B358" t="s">
        <v>1121</v>
      </c>
      <c r="C358">
        <v>1</v>
      </c>
      <c r="D358" t="s">
        <v>1</v>
      </c>
      <c r="E358">
        <v>0</v>
      </c>
      <c r="F358">
        <v>14.5</v>
      </c>
      <c r="G358">
        <v>14151.368184000001</v>
      </c>
      <c r="H358">
        <v>3.0332000000000001E-2</v>
      </c>
      <c r="I358">
        <v>4</v>
      </c>
    </row>
    <row r="359" spans="1:9" x14ac:dyDescent="0.55000000000000004">
      <c r="A359" t="str">
        <f t="shared" si="5"/>
        <v>A-1-e-0-14.5</v>
      </c>
      <c r="B359" t="s">
        <v>1121</v>
      </c>
      <c r="C359">
        <v>1</v>
      </c>
      <c r="D359" t="s">
        <v>2</v>
      </c>
      <c r="E359">
        <v>0</v>
      </c>
      <c r="F359">
        <v>14.5</v>
      </c>
      <c r="G359">
        <v>14204.607076</v>
      </c>
      <c r="H359">
        <v>3.3198999999999999E-2</v>
      </c>
      <c r="I359">
        <v>1</v>
      </c>
    </row>
    <row r="360" spans="1:9" x14ac:dyDescent="0.55000000000000004">
      <c r="A360" t="str">
        <f t="shared" si="5"/>
        <v>A-2-f-0-14.5</v>
      </c>
      <c r="B360" t="s">
        <v>1121</v>
      </c>
      <c r="C360">
        <v>2</v>
      </c>
      <c r="D360" t="s">
        <v>1</v>
      </c>
      <c r="E360">
        <v>0</v>
      </c>
      <c r="F360">
        <v>14.5</v>
      </c>
      <c r="G360">
        <v>14471.517701000001</v>
      </c>
      <c r="H360">
        <v>2.3872000000000001E-2</v>
      </c>
      <c r="I360">
        <v>12</v>
      </c>
    </row>
    <row r="361" spans="1:9" x14ac:dyDescent="0.55000000000000004">
      <c r="A361" t="str">
        <f t="shared" si="5"/>
        <v>A-2-e-0-14.5</v>
      </c>
      <c r="B361" t="s">
        <v>1121</v>
      </c>
      <c r="C361">
        <v>2</v>
      </c>
      <c r="D361" t="s">
        <v>2</v>
      </c>
      <c r="E361">
        <v>0</v>
      </c>
      <c r="F361">
        <v>14.5</v>
      </c>
      <c r="G361">
        <v>14475.10304</v>
      </c>
      <c r="H361">
        <v>2.7602000000000002E-2</v>
      </c>
      <c r="I361">
        <v>1</v>
      </c>
    </row>
    <row r="362" spans="1:9" x14ac:dyDescent="0.55000000000000004">
      <c r="A362" t="str">
        <f t="shared" si="5"/>
        <v>B-1-e-0-14.5</v>
      </c>
      <c r="B362" t="s">
        <v>1515</v>
      </c>
      <c r="C362">
        <v>1</v>
      </c>
      <c r="D362" t="s">
        <v>2</v>
      </c>
      <c r="E362">
        <v>0</v>
      </c>
      <c r="F362">
        <v>14.5</v>
      </c>
      <c r="G362">
        <v>15123.28419</v>
      </c>
      <c r="H362">
        <v>6.3889000000000001E-2</v>
      </c>
      <c r="I362">
        <v>3</v>
      </c>
    </row>
    <row r="363" spans="1:9" x14ac:dyDescent="0.55000000000000004">
      <c r="A363" t="str">
        <f t="shared" si="5"/>
        <v>B-2-f-0-14.5</v>
      </c>
      <c r="B363" t="s">
        <v>1515</v>
      </c>
      <c r="C363">
        <v>2</v>
      </c>
      <c r="D363" t="s">
        <v>1</v>
      </c>
      <c r="E363">
        <v>0</v>
      </c>
      <c r="F363">
        <v>14.5</v>
      </c>
      <c r="G363">
        <v>15291.330988</v>
      </c>
      <c r="H363">
        <v>0.302118</v>
      </c>
      <c r="I363">
        <v>8</v>
      </c>
    </row>
    <row r="364" spans="1:9" x14ac:dyDescent="0.55000000000000004">
      <c r="A364" t="str">
        <f t="shared" si="5"/>
        <v>B-1-e-1-14.5</v>
      </c>
      <c r="B364" t="s">
        <v>1515</v>
      </c>
      <c r="C364">
        <v>1</v>
      </c>
      <c r="D364" t="s">
        <v>2</v>
      </c>
      <c r="E364">
        <v>1</v>
      </c>
      <c r="F364">
        <v>14.5</v>
      </c>
      <c r="G364">
        <v>16296.383553</v>
      </c>
      <c r="H364">
        <v>1.1062259999999999</v>
      </c>
      <c r="I364">
        <v>2</v>
      </c>
    </row>
    <row r="365" spans="1:9" x14ac:dyDescent="0.55000000000000004">
      <c r="A365" t="str">
        <f t="shared" si="5"/>
        <v>B-2-f-1-14.5</v>
      </c>
      <c r="B365" t="s">
        <v>1515</v>
      </c>
      <c r="C365">
        <v>2</v>
      </c>
      <c r="D365" t="s">
        <v>1</v>
      </c>
      <c r="E365">
        <v>1</v>
      </c>
      <c r="F365">
        <v>14.5</v>
      </c>
      <c r="G365">
        <v>16462.434728</v>
      </c>
      <c r="H365">
        <v>0.12973199999999999</v>
      </c>
      <c r="I365">
        <v>17</v>
      </c>
    </row>
    <row r="366" spans="1:9" x14ac:dyDescent="0.55000000000000004">
      <c r="A366" t="str">
        <f t="shared" si="5"/>
        <v>E-1-f-0-14.5</v>
      </c>
      <c r="B366" t="s">
        <v>680</v>
      </c>
      <c r="C366">
        <v>1</v>
      </c>
      <c r="D366" t="s">
        <v>1</v>
      </c>
      <c r="E366">
        <v>0</v>
      </c>
      <c r="F366">
        <v>14.5</v>
      </c>
      <c r="G366">
        <v>19671.130540999999</v>
      </c>
      <c r="H366">
        <v>1.771E-2</v>
      </c>
      <c r="I366">
        <v>2</v>
      </c>
    </row>
    <row r="367" spans="1:9" x14ac:dyDescent="0.55000000000000004">
      <c r="A367" t="str">
        <f t="shared" si="5"/>
        <v>E-1-e-0-14.5</v>
      </c>
      <c r="B367" t="s">
        <v>680</v>
      </c>
      <c r="C367">
        <v>1</v>
      </c>
      <c r="D367" t="s">
        <v>2</v>
      </c>
      <c r="E367">
        <v>0</v>
      </c>
      <c r="F367">
        <v>14.5</v>
      </c>
      <c r="G367">
        <v>19671.400970999999</v>
      </c>
      <c r="H367">
        <v>4.2602000000000001E-2</v>
      </c>
      <c r="I367">
        <v>19</v>
      </c>
    </row>
    <row r="368" spans="1:9" x14ac:dyDescent="0.55000000000000004">
      <c r="A368" t="str">
        <f t="shared" si="5"/>
        <v>E-2-e-0-14.5</v>
      </c>
      <c r="B368" t="s">
        <v>680</v>
      </c>
      <c r="C368">
        <v>2</v>
      </c>
      <c r="D368" t="s">
        <v>2</v>
      </c>
      <c r="E368">
        <v>0</v>
      </c>
      <c r="F368">
        <v>14.5</v>
      </c>
      <c r="G368">
        <v>19826.773488999999</v>
      </c>
      <c r="H368">
        <v>1.7644E-2</v>
      </c>
      <c r="I368">
        <v>2</v>
      </c>
    </row>
    <row r="369" spans="1:9" x14ac:dyDescent="0.55000000000000004">
      <c r="A369" t="str">
        <f t="shared" si="5"/>
        <v>E-2-f-0-14.5</v>
      </c>
      <c r="B369" t="s">
        <v>680</v>
      </c>
      <c r="C369">
        <v>2</v>
      </c>
      <c r="D369" t="s">
        <v>1</v>
      </c>
      <c r="E369">
        <v>0</v>
      </c>
      <c r="F369">
        <v>14.5</v>
      </c>
      <c r="G369">
        <v>19828.300001</v>
      </c>
      <c r="H369">
        <v>1.771E-2</v>
      </c>
      <c r="I369">
        <v>16</v>
      </c>
    </row>
    <row r="370" spans="1:9" x14ac:dyDescent="0.55000000000000004">
      <c r="A370" t="str">
        <f t="shared" si="5"/>
        <v>E-1-f-1-14.5</v>
      </c>
      <c r="B370" t="s">
        <v>680</v>
      </c>
      <c r="C370">
        <v>1</v>
      </c>
      <c r="D370" t="s">
        <v>1</v>
      </c>
      <c r="E370">
        <v>1</v>
      </c>
      <c r="F370">
        <v>14.5</v>
      </c>
      <c r="G370">
        <v>20814.757544</v>
      </c>
      <c r="H370">
        <v>0.21864400000000001</v>
      </c>
      <c r="I370">
        <v>2</v>
      </c>
    </row>
    <row r="371" spans="1:9" x14ac:dyDescent="0.55000000000000004">
      <c r="A371" t="str">
        <f t="shared" si="5"/>
        <v>E-1-e-1-14.5</v>
      </c>
      <c r="B371" t="s">
        <v>680</v>
      </c>
      <c r="C371">
        <v>1</v>
      </c>
      <c r="D371" t="s">
        <v>2</v>
      </c>
      <c r="E371">
        <v>1</v>
      </c>
      <c r="F371">
        <v>14.5</v>
      </c>
      <c r="G371">
        <v>20814.944393000002</v>
      </c>
      <c r="H371">
        <v>1.602E-2</v>
      </c>
      <c r="I371">
        <v>17</v>
      </c>
    </row>
    <row r="372" spans="1:9" x14ac:dyDescent="0.55000000000000004">
      <c r="A372" t="str">
        <f t="shared" si="5"/>
        <v>E-2-e-1-14.5</v>
      </c>
      <c r="B372" t="s">
        <v>680</v>
      </c>
      <c r="C372">
        <v>2</v>
      </c>
      <c r="D372" t="s">
        <v>2</v>
      </c>
      <c r="E372">
        <v>1</v>
      </c>
      <c r="F372">
        <v>14.5</v>
      </c>
      <c r="G372">
        <v>20970.895630999999</v>
      </c>
      <c r="H372">
        <v>1.602E-2</v>
      </c>
      <c r="I372">
        <v>2</v>
      </c>
    </row>
    <row r="373" spans="1:9" x14ac:dyDescent="0.55000000000000004">
      <c r="A373" t="str">
        <f t="shared" si="5"/>
        <v>E-2-f-1-14.5</v>
      </c>
      <c r="B373" t="s">
        <v>680</v>
      </c>
      <c r="C373">
        <v>2</v>
      </c>
      <c r="D373" t="s">
        <v>1</v>
      </c>
      <c r="E373">
        <v>1</v>
      </c>
      <c r="F373">
        <v>14.5</v>
      </c>
      <c r="G373">
        <v>20972.13335</v>
      </c>
      <c r="H373">
        <v>1.8644000000000001E-2</v>
      </c>
      <c r="I373">
        <v>21</v>
      </c>
    </row>
    <row r="374" spans="1:9" x14ac:dyDescent="0.55000000000000004">
      <c r="A374" t="str">
        <f t="shared" si="5"/>
        <v>X-1-e-0-15.5</v>
      </c>
      <c r="B374" t="s">
        <v>0</v>
      </c>
      <c r="C374">
        <v>1</v>
      </c>
      <c r="D374" t="s">
        <v>2</v>
      </c>
      <c r="E374">
        <v>0</v>
      </c>
      <c r="F374">
        <v>15.5</v>
      </c>
      <c r="G374">
        <v>865.17765899999995</v>
      </c>
      <c r="H374">
        <v>1.5054E-2</v>
      </c>
      <c r="I374">
        <v>2</v>
      </c>
    </row>
    <row r="375" spans="1:9" x14ac:dyDescent="0.55000000000000004">
      <c r="A375" t="str">
        <f t="shared" si="5"/>
        <v>X-2-f-0-15.5</v>
      </c>
      <c r="B375" t="s">
        <v>0</v>
      </c>
      <c r="C375">
        <v>2</v>
      </c>
      <c r="D375" t="s">
        <v>1</v>
      </c>
      <c r="E375">
        <v>0</v>
      </c>
      <c r="F375">
        <v>15.5</v>
      </c>
      <c r="G375">
        <v>977.31410700000004</v>
      </c>
      <c r="H375">
        <v>1.5872000000000001E-2</v>
      </c>
      <c r="I375">
        <v>20</v>
      </c>
    </row>
    <row r="376" spans="1:9" x14ac:dyDescent="0.55000000000000004">
      <c r="A376" t="str">
        <f t="shared" si="5"/>
        <v>X-1-e-1-15.5</v>
      </c>
      <c r="B376" t="s">
        <v>0</v>
      </c>
      <c r="C376">
        <v>1</v>
      </c>
      <c r="D376" t="s">
        <v>2</v>
      </c>
      <c r="E376">
        <v>1</v>
      </c>
      <c r="F376">
        <v>15.5</v>
      </c>
      <c r="G376">
        <v>2018.700932</v>
      </c>
      <c r="H376">
        <v>1.3960999999999999E-2</v>
      </c>
      <c r="I376">
        <v>2</v>
      </c>
    </row>
    <row r="377" spans="1:9" x14ac:dyDescent="0.55000000000000004">
      <c r="A377" t="str">
        <f t="shared" si="5"/>
        <v>X-2-f-1-15.5</v>
      </c>
      <c r="B377" t="s">
        <v>0</v>
      </c>
      <c r="C377">
        <v>2</v>
      </c>
      <c r="D377" t="s">
        <v>1</v>
      </c>
      <c r="E377">
        <v>1</v>
      </c>
      <c r="F377">
        <v>15.5</v>
      </c>
      <c r="G377">
        <v>2128.3407689999999</v>
      </c>
      <c r="H377">
        <v>1.8602E-2</v>
      </c>
      <c r="I377">
        <v>18</v>
      </c>
    </row>
    <row r="378" spans="1:9" x14ac:dyDescent="0.55000000000000004">
      <c r="A378" t="str">
        <f t="shared" si="5"/>
        <v>X-1-e-2-15.5</v>
      </c>
      <c r="B378" t="s">
        <v>0</v>
      </c>
      <c r="C378">
        <v>1</v>
      </c>
      <c r="D378" t="s">
        <v>2</v>
      </c>
      <c r="E378">
        <v>2</v>
      </c>
      <c r="F378">
        <v>15.5</v>
      </c>
      <c r="G378">
        <v>3137.9885340000001</v>
      </c>
      <c r="H378">
        <v>4.5544000000000001E-2</v>
      </c>
      <c r="I378">
        <v>2</v>
      </c>
    </row>
    <row r="379" spans="1:9" x14ac:dyDescent="0.55000000000000004">
      <c r="A379" t="str">
        <f t="shared" si="5"/>
        <v>X-2-f-2-15.5</v>
      </c>
      <c r="B379" t="s">
        <v>0</v>
      </c>
      <c r="C379">
        <v>2</v>
      </c>
      <c r="D379" t="s">
        <v>1</v>
      </c>
      <c r="E379">
        <v>2</v>
      </c>
      <c r="F379">
        <v>15.5</v>
      </c>
      <c r="G379">
        <v>3245.1150280000002</v>
      </c>
      <c r="H379">
        <v>2.5971999999999999E-2</v>
      </c>
      <c r="I379">
        <v>18</v>
      </c>
    </row>
    <row r="380" spans="1:9" x14ac:dyDescent="0.55000000000000004">
      <c r="A380" t="str">
        <f t="shared" si="5"/>
        <v>X-1-e-3-15.5</v>
      </c>
      <c r="B380" t="s">
        <v>0</v>
      </c>
      <c r="C380">
        <v>1</v>
      </c>
      <c r="D380" t="s">
        <v>2</v>
      </c>
      <c r="E380">
        <v>3</v>
      </c>
      <c r="F380">
        <v>15.5</v>
      </c>
      <c r="G380">
        <v>4222.9154310000004</v>
      </c>
      <c r="H380">
        <v>2.649E-2</v>
      </c>
      <c r="I380">
        <v>2</v>
      </c>
    </row>
    <row r="381" spans="1:9" x14ac:dyDescent="0.55000000000000004">
      <c r="A381" t="str">
        <f t="shared" si="5"/>
        <v>X-2-f-3-15.5</v>
      </c>
      <c r="B381" t="s">
        <v>0</v>
      </c>
      <c r="C381">
        <v>2</v>
      </c>
      <c r="D381" t="s">
        <v>1</v>
      </c>
      <c r="E381">
        <v>3</v>
      </c>
      <c r="F381">
        <v>15.5</v>
      </c>
      <c r="G381">
        <v>4327.5134079999998</v>
      </c>
      <c r="H381">
        <v>6.6701999999999997E-2</v>
      </c>
      <c r="I381">
        <v>18</v>
      </c>
    </row>
    <row r="382" spans="1:9" x14ac:dyDescent="0.55000000000000004">
      <c r="A382" t="str">
        <f t="shared" si="5"/>
        <v>X-1-e-4-15.5</v>
      </c>
      <c r="B382" t="s">
        <v>0</v>
      </c>
      <c r="C382">
        <v>1</v>
      </c>
      <c r="D382" t="s">
        <v>2</v>
      </c>
      <c r="E382">
        <v>4</v>
      </c>
      <c r="F382">
        <v>15.5</v>
      </c>
      <c r="G382">
        <v>5273.1747240000004</v>
      </c>
      <c r="H382">
        <v>7.1101999999999999E-2</v>
      </c>
      <c r="I382">
        <v>2</v>
      </c>
    </row>
    <row r="383" spans="1:9" x14ac:dyDescent="0.55000000000000004">
      <c r="A383" t="str">
        <f t="shared" si="5"/>
        <v>X-2-f-4-15.5</v>
      </c>
      <c r="B383" t="s">
        <v>0</v>
      </c>
      <c r="C383">
        <v>2</v>
      </c>
      <c r="D383" t="s">
        <v>1</v>
      </c>
      <c r="E383">
        <v>4</v>
      </c>
      <c r="F383">
        <v>15.5</v>
      </c>
      <c r="G383">
        <v>5375.204643</v>
      </c>
      <c r="H383">
        <v>2.1187000000000001E-2</v>
      </c>
      <c r="I383">
        <v>15</v>
      </c>
    </row>
    <row r="384" spans="1:9" x14ac:dyDescent="0.55000000000000004">
      <c r="A384" t="str">
        <f t="shared" si="5"/>
        <v>A-1-f-0-15.5</v>
      </c>
      <c r="B384" t="s">
        <v>1121</v>
      </c>
      <c r="C384">
        <v>1</v>
      </c>
      <c r="D384" t="s">
        <v>1</v>
      </c>
      <c r="E384">
        <v>0</v>
      </c>
      <c r="F384">
        <v>15.5</v>
      </c>
      <c r="G384">
        <v>14261.883347999999</v>
      </c>
      <c r="H384">
        <v>3.4033000000000001E-2</v>
      </c>
      <c r="I384">
        <v>2</v>
      </c>
    </row>
    <row r="385" spans="1:9" x14ac:dyDescent="0.55000000000000004">
      <c r="A385" t="str">
        <f t="shared" si="5"/>
        <v>A-1-e-0-15.5</v>
      </c>
      <c r="B385" t="s">
        <v>1121</v>
      </c>
      <c r="C385">
        <v>1</v>
      </c>
      <c r="D385" t="s">
        <v>2</v>
      </c>
      <c r="E385">
        <v>0</v>
      </c>
      <c r="F385">
        <v>15.5</v>
      </c>
      <c r="G385">
        <v>14317.508035999999</v>
      </c>
      <c r="H385">
        <v>2.4961000000000001E-2</v>
      </c>
      <c r="I385">
        <v>15</v>
      </c>
    </row>
    <row r="386" spans="1:9" x14ac:dyDescent="0.55000000000000004">
      <c r="A386" t="str">
        <f t="shared" si="5"/>
        <v>A-2-f-0-15.5</v>
      </c>
      <c r="B386" t="s">
        <v>1121</v>
      </c>
      <c r="C386">
        <v>2</v>
      </c>
      <c r="D386" t="s">
        <v>1</v>
      </c>
      <c r="E386">
        <v>0</v>
      </c>
      <c r="F386">
        <v>15.5</v>
      </c>
      <c r="G386">
        <v>14583.482624</v>
      </c>
      <c r="H386">
        <v>5.2742999999999998E-2</v>
      </c>
      <c r="I386">
        <v>2</v>
      </c>
    </row>
    <row r="387" spans="1:9" x14ac:dyDescent="0.55000000000000004">
      <c r="A387" t="str">
        <f t="shared" ref="A387:A450" si="6">B387&amp;"-"&amp;C387&amp;"-"&amp;D387&amp;"-"&amp;E387&amp;"-"&amp;F387</f>
        <v>A-2-e-0-15.5</v>
      </c>
      <c r="B387" t="s">
        <v>1121</v>
      </c>
      <c r="C387">
        <v>2</v>
      </c>
      <c r="D387" t="s">
        <v>2</v>
      </c>
      <c r="E387">
        <v>0</v>
      </c>
      <c r="F387">
        <v>15.5</v>
      </c>
      <c r="G387">
        <v>14587.8869</v>
      </c>
      <c r="H387">
        <v>2.2710000000000001E-2</v>
      </c>
      <c r="I387">
        <v>16</v>
      </c>
    </row>
    <row r="388" spans="1:9" x14ac:dyDescent="0.55000000000000004">
      <c r="A388" t="str">
        <f t="shared" si="6"/>
        <v>B-1-e-0-15.5</v>
      </c>
      <c r="B388" t="s">
        <v>1515</v>
      </c>
      <c r="C388">
        <v>1</v>
      </c>
      <c r="D388" t="s">
        <v>2</v>
      </c>
      <c r="E388">
        <v>0</v>
      </c>
      <c r="F388">
        <v>15.5</v>
      </c>
      <c r="G388">
        <v>15234.388585999999</v>
      </c>
      <c r="H388">
        <v>5.7134999999999998E-2</v>
      </c>
      <c r="I388">
        <v>2</v>
      </c>
    </row>
    <row r="389" spans="1:9" x14ac:dyDescent="0.55000000000000004">
      <c r="A389" t="str">
        <f t="shared" si="6"/>
        <v>B-2-f-0-15.5</v>
      </c>
      <c r="B389" t="s">
        <v>1515</v>
      </c>
      <c r="C389">
        <v>2</v>
      </c>
      <c r="D389" t="s">
        <v>1</v>
      </c>
      <c r="E389">
        <v>0</v>
      </c>
      <c r="F389">
        <v>15.5</v>
      </c>
      <c r="G389">
        <v>15412.513994000001</v>
      </c>
      <c r="H389">
        <v>0.51160499999999998</v>
      </c>
      <c r="I389">
        <v>16</v>
      </c>
    </row>
    <row r="390" spans="1:9" x14ac:dyDescent="0.55000000000000004">
      <c r="A390" t="str">
        <f t="shared" si="6"/>
        <v>B-1-e-1-15.5</v>
      </c>
      <c r="B390" t="s">
        <v>1515</v>
      </c>
      <c r="C390">
        <v>1</v>
      </c>
      <c r="D390" t="s">
        <v>2</v>
      </c>
      <c r="E390">
        <v>1</v>
      </c>
      <c r="F390">
        <v>15.5</v>
      </c>
      <c r="G390">
        <v>16405.692137999999</v>
      </c>
      <c r="H390">
        <v>8.2573999999999995E-2</v>
      </c>
      <c r="I390">
        <v>2</v>
      </c>
    </row>
    <row r="391" spans="1:9" x14ac:dyDescent="0.55000000000000004">
      <c r="A391" t="str">
        <f t="shared" si="6"/>
        <v>B-2-f-1-15.5</v>
      </c>
      <c r="B391" t="s">
        <v>1515</v>
      </c>
      <c r="C391">
        <v>2</v>
      </c>
      <c r="D391" t="s">
        <v>1</v>
      </c>
      <c r="E391">
        <v>1</v>
      </c>
      <c r="F391">
        <v>15.5</v>
      </c>
      <c r="G391">
        <v>16580.514381000001</v>
      </c>
      <c r="H391">
        <v>0.17687700000000001</v>
      </c>
      <c r="I391">
        <v>12</v>
      </c>
    </row>
    <row r="392" spans="1:9" x14ac:dyDescent="0.55000000000000004">
      <c r="A392" t="str">
        <f t="shared" si="6"/>
        <v>E-1-f-0-15.5</v>
      </c>
      <c r="B392" t="s">
        <v>680</v>
      </c>
      <c r="C392">
        <v>1</v>
      </c>
      <c r="D392" t="s">
        <v>1</v>
      </c>
      <c r="E392">
        <v>0</v>
      </c>
      <c r="F392">
        <v>15.5</v>
      </c>
      <c r="G392">
        <v>19782.277492000001</v>
      </c>
      <c r="H392">
        <v>2.0053999999999999E-2</v>
      </c>
      <c r="I392">
        <v>2</v>
      </c>
    </row>
    <row r="393" spans="1:9" x14ac:dyDescent="0.55000000000000004">
      <c r="A393" t="str">
        <f t="shared" si="6"/>
        <v>E-1-e-0-15.5</v>
      </c>
      <c r="B393" t="s">
        <v>680</v>
      </c>
      <c r="C393">
        <v>1</v>
      </c>
      <c r="D393" t="s">
        <v>2</v>
      </c>
      <c r="E393">
        <v>0</v>
      </c>
      <c r="F393">
        <v>15.5</v>
      </c>
      <c r="G393">
        <v>19782.703021000001</v>
      </c>
      <c r="H393">
        <v>1.9961E-2</v>
      </c>
      <c r="I393">
        <v>13</v>
      </c>
    </row>
    <row r="394" spans="1:9" x14ac:dyDescent="0.55000000000000004">
      <c r="A394" t="str">
        <f t="shared" si="6"/>
        <v>E-2-e-0-15.5</v>
      </c>
      <c r="B394" t="s">
        <v>680</v>
      </c>
      <c r="C394">
        <v>2</v>
      </c>
      <c r="D394" t="s">
        <v>2</v>
      </c>
      <c r="E394">
        <v>0</v>
      </c>
      <c r="F394">
        <v>15.5</v>
      </c>
      <c r="G394">
        <v>19943.501047000002</v>
      </c>
      <c r="H394">
        <v>0.11771</v>
      </c>
      <c r="I394">
        <v>2</v>
      </c>
    </row>
    <row r="395" spans="1:9" x14ac:dyDescent="0.55000000000000004">
      <c r="A395" t="str">
        <f t="shared" si="6"/>
        <v>E-2-f-0-15.5</v>
      </c>
      <c r="B395" t="s">
        <v>680</v>
      </c>
      <c r="C395">
        <v>2</v>
      </c>
      <c r="D395" t="s">
        <v>1</v>
      </c>
      <c r="E395">
        <v>0</v>
      </c>
      <c r="F395">
        <v>15.5</v>
      </c>
      <c r="G395">
        <v>19945.353043999999</v>
      </c>
      <c r="H395">
        <v>2.0053999999999999E-2</v>
      </c>
      <c r="I395">
        <v>12</v>
      </c>
    </row>
    <row r="396" spans="1:9" x14ac:dyDescent="0.55000000000000004">
      <c r="A396" t="str">
        <f t="shared" si="6"/>
        <v>E-1-f-1-15.5</v>
      </c>
      <c r="B396" t="s">
        <v>680</v>
      </c>
      <c r="C396">
        <v>1</v>
      </c>
      <c r="D396" t="s">
        <v>1</v>
      </c>
      <c r="E396">
        <v>1</v>
      </c>
      <c r="F396">
        <v>15.5</v>
      </c>
      <c r="G396">
        <v>20922.942652000002</v>
      </c>
      <c r="H396">
        <v>0.21896099999999999</v>
      </c>
      <c r="I396">
        <v>12</v>
      </c>
    </row>
    <row r="397" spans="1:9" x14ac:dyDescent="0.55000000000000004">
      <c r="A397" t="str">
        <f t="shared" si="6"/>
        <v>E-1-e-1-15.5</v>
      </c>
      <c r="B397" t="s">
        <v>680</v>
      </c>
      <c r="C397">
        <v>1</v>
      </c>
      <c r="D397" t="s">
        <v>2</v>
      </c>
      <c r="E397">
        <v>1</v>
      </c>
      <c r="F397">
        <v>15.5</v>
      </c>
      <c r="G397">
        <v>20923.306166999999</v>
      </c>
      <c r="H397">
        <v>2.1801999999999998E-2</v>
      </c>
      <c r="I397">
        <v>10</v>
      </c>
    </row>
    <row r="398" spans="1:9" x14ac:dyDescent="0.55000000000000004">
      <c r="A398" t="str">
        <f t="shared" si="6"/>
        <v>E-2-e-1-15.5</v>
      </c>
      <c r="B398" t="s">
        <v>680</v>
      </c>
      <c r="C398">
        <v>2</v>
      </c>
      <c r="D398" t="s">
        <v>2</v>
      </c>
      <c r="E398">
        <v>1</v>
      </c>
      <c r="F398">
        <v>15.5</v>
      </c>
      <c r="G398">
        <v>21084.464930999999</v>
      </c>
      <c r="H398">
        <v>1.8644000000000001E-2</v>
      </c>
      <c r="I398">
        <v>1</v>
      </c>
    </row>
    <row r="399" spans="1:9" x14ac:dyDescent="0.55000000000000004">
      <c r="A399" t="str">
        <f t="shared" si="6"/>
        <v>E-2-f-1-15.5</v>
      </c>
      <c r="B399" t="s">
        <v>680</v>
      </c>
      <c r="C399">
        <v>2</v>
      </c>
      <c r="D399" t="s">
        <v>1</v>
      </c>
      <c r="E399">
        <v>1</v>
      </c>
      <c r="F399">
        <v>15.5</v>
      </c>
      <c r="G399">
        <v>21085.878949999998</v>
      </c>
      <c r="H399">
        <v>1.9872000000000001E-2</v>
      </c>
      <c r="I399">
        <v>8</v>
      </c>
    </row>
    <row r="400" spans="1:9" x14ac:dyDescent="0.55000000000000004">
      <c r="A400" t="str">
        <f t="shared" si="6"/>
        <v>X-1-e-0-16.5</v>
      </c>
      <c r="B400" t="s">
        <v>0</v>
      </c>
      <c r="C400">
        <v>1</v>
      </c>
      <c r="D400" t="s">
        <v>2</v>
      </c>
      <c r="E400">
        <v>0</v>
      </c>
      <c r="F400">
        <v>16.5</v>
      </c>
      <c r="G400">
        <v>979.30796499999997</v>
      </c>
      <c r="H400">
        <v>1.4961E-2</v>
      </c>
      <c r="I400">
        <v>1</v>
      </c>
    </row>
    <row r="401" spans="1:9" x14ac:dyDescent="0.55000000000000004">
      <c r="A401" t="str">
        <f t="shared" si="6"/>
        <v>X-2-f-0-16.5</v>
      </c>
      <c r="B401" t="s">
        <v>0</v>
      </c>
      <c r="C401">
        <v>2</v>
      </c>
      <c r="D401" t="s">
        <v>1</v>
      </c>
      <c r="E401">
        <v>0</v>
      </c>
      <c r="F401">
        <v>16.5</v>
      </c>
      <c r="G401">
        <v>1098.1649829999999</v>
      </c>
      <c r="H401">
        <v>1.9602000000000001E-2</v>
      </c>
      <c r="I401">
        <v>7</v>
      </c>
    </row>
    <row r="402" spans="1:9" x14ac:dyDescent="0.55000000000000004">
      <c r="A402" t="str">
        <f t="shared" si="6"/>
        <v>X-1-e-1-16.5</v>
      </c>
      <c r="B402" t="s">
        <v>0</v>
      </c>
      <c r="C402">
        <v>1</v>
      </c>
      <c r="D402" t="s">
        <v>2</v>
      </c>
      <c r="E402">
        <v>1</v>
      </c>
      <c r="F402">
        <v>16.5</v>
      </c>
      <c r="G402">
        <v>2130.2648330000002</v>
      </c>
      <c r="H402">
        <v>1.6802000000000001E-2</v>
      </c>
      <c r="I402">
        <v>1</v>
      </c>
    </row>
    <row r="403" spans="1:9" x14ac:dyDescent="0.55000000000000004">
      <c r="A403" t="str">
        <f t="shared" si="6"/>
        <v>X-2-f-1-16.5</v>
      </c>
      <c r="B403" t="s">
        <v>0</v>
      </c>
      <c r="C403">
        <v>2</v>
      </c>
      <c r="D403" t="s">
        <v>1</v>
      </c>
      <c r="E403">
        <v>1</v>
      </c>
      <c r="F403">
        <v>16.5</v>
      </c>
      <c r="G403">
        <v>2246.4629249999998</v>
      </c>
      <c r="H403">
        <v>1.6872000000000002E-2</v>
      </c>
      <c r="I403">
        <v>7</v>
      </c>
    </row>
    <row r="404" spans="1:9" x14ac:dyDescent="0.55000000000000004">
      <c r="A404" t="str">
        <f t="shared" si="6"/>
        <v>X-1-e-2-16.5</v>
      </c>
      <c r="B404" t="s">
        <v>0</v>
      </c>
      <c r="C404">
        <v>1</v>
      </c>
      <c r="D404" t="s">
        <v>2</v>
      </c>
      <c r="E404">
        <v>2</v>
      </c>
      <c r="F404">
        <v>16.5</v>
      </c>
      <c r="G404">
        <v>3246.9741479999998</v>
      </c>
      <c r="H404">
        <v>2.5260999999999999E-2</v>
      </c>
      <c r="I404">
        <v>1</v>
      </c>
    </row>
    <row r="405" spans="1:9" x14ac:dyDescent="0.55000000000000004">
      <c r="A405" t="str">
        <f t="shared" si="6"/>
        <v>X-2-f-2-16.5</v>
      </c>
      <c r="B405" t="s">
        <v>0</v>
      </c>
      <c r="C405">
        <v>2</v>
      </c>
      <c r="D405" t="s">
        <v>1</v>
      </c>
      <c r="E405">
        <v>2</v>
      </c>
      <c r="F405">
        <v>16.5</v>
      </c>
      <c r="G405">
        <v>3360.5081839999998</v>
      </c>
      <c r="H405">
        <v>7.7002000000000001E-2</v>
      </c>
      <c r="I405">
        <v>7</v>
      </c>
    </row>
    <row r="406" spans="1:9" x14ac:dyDescent="0.55000000000000004">
      <c r="A406" t="str">
        <f t="shared" si="6"/>
        <v>X-1-e-3-16.5</v>
      </c>
      <c r="B406" t="s">
        <v>0</v>
      </c>
      <c r="C406">
        <v>1</v>
      </c>
      <c r="D406" t="s">
        <v>2</v>
      </c>
      <c r="E406">
        <v>3</v>
      </c>
      <c r="F406">
        <v>16.5</v>
      </c>
      <c r="G406">
        <v>4329.3026490000002</v>
      </c>
      <c r="H406">
        <v>5.2802000000000002E-2</v>
      </c>
      <c r="I406">
        <v>1</v>
      </c>
    </row>
    <row r="407" spans="1:9" x14ac:dyDescent="0.55000000000000004">
      <c r="A407" t="str">
        <f t="shared" si="6"/>
        <v>X-2-f-3-16.5</v>
      </c>
      <c r="B407" t="s">
        <v>0</v>
      </c>
      <c r="C407">
        <v>2</v>
      </c>
      <c r="D407" t="s">
        <v>1</v>
      </c>
      <c r="E407">
        <v>3</v>
      </c>
      <c r="F407">
        <v>16.5</v>
      </c>
      <c r="G407">
        <v>4440.1445940000003</v>
      </c>
      <c r="H407">
        <v>3.3262E-2</v>
      </c>
      <c r="I407">
        <v>7</v>
      </c>
    </row>
    <row r="408" spans="1:9" x14ac:dyDescent="0.55000000000000004">
      <c r="A408" t="str">
        <f t="shared" si="6"/>
        <v>X-1-e-4-16.5</v>
      </c>
      <c r="B408" t="s">
        <v>0</v>
      </c>
      <c r="C408">
        <v>1</v>
      </c>
      <c r="D408" t="s">
        <v>2</v>
      </c>
      <c r="E408">
        <v>4</v>
      </c>
      <c r="F408">
        <v>16.5</v>
      </c>
      <c r="G408">
        <v>5376.9308309999997</v>
      </c>
      <c r="H408">
        <v>2.7490000000000001E-2</v>
      </c>
      <c r="I408">
        <v>1</v>
      </c>
    </row>
    <row r="409" spans="1:9" x14ac:dyDescent="0.55000000000000004">
      <c r="A409" t="str">
        <f t="shared" si="6"/>
        <v>X-2-f-4-16.5</v>
      </c>
      <c r="B409" t="s">
        <v>0</v>
      </c>
      <c r="C409">
        <v>2</v>
      </c>
      <c r="D409" t="s">
        <v>1</v>
      </c>
      <c r="E409">
        <v>4</v>
      </c>
      <c r="F409">
        <v>16.5</v>
      </c>
      <c r="G409">
        <v>5485.0505080000003</v>
      </c>
      <c r="H409">
        <v>6.7701999999999998E-2</v>
      </c>
      <c r="I409">
        <v>6</v>
      </c>
    </row>
    <row r="410" spans="1:9" x14ac:dyDescent="0.55000000000000004">
      <c r="A410" t="str">
        <f t="shared" si="6"/>
        <v>A-1-f-0-16.5</v>
      </c>
      <c r="B410" t="s">
        <v>1121</v>
      </c>
      <c r="C410">
        <v>1</v>
      </c>
      <c r="D410" t="s">
        <v>1</v>
      </c>
      <c r="E410">
        <v>0</v>
      </c>
      <c r="F410">
        <v>16.5</v>
      </c>
      <c r="G410">
        <v>14379.392261000001</v>
      </c>
      <c r="H410">
        <v>5.8401000000000002E-2</v>
      </c>
      <c r="I410">
        <v>1</v>
      </c>
    </row>
    <row r="411" spans="1:9" x14ac:dyDescent="0.55000000000000004">
      <c r="A411" t="str">
        <f t="shared" si="6"/>
        <v>A-1-e-0-16.5</v>
      </c>
      <c r="B411" t="s">
        <v>1121</v>
      </c>
      <c r="C411">
        <v>1</v>
      </c>
      <c r="D411" t="s">
        <v>2</v>
      </c>
      <c r="E411">
        <v>0</v>
      </c>
      <c r="F411">
        <v>16.5</v>
      </c>
      <c r="G411">
        <v>14437.211928000001</v>
      </c>
      <c r="H411">
        <v>3.8228999999999999E-2</v>
      </c>
      <c r="I411">
        <v>7</v>
      </c>
    </row>
    <row r="412" spans="1:9" x14ac:dyDescent="0.55000000000000004">
      <c r="A412" t="str">
        <f t="shared" si="6"/>
        <v>A-2-f-0-16.5</v>
      </c>
      <c r="B412" t="s">
        <v>1121</v>
      </c>
      <c r="C412">
        <v>2</v>
      </c>
      <c r="D412" t="s">
        <v>1</v>
      </c>
      <c r="E412">
        <v>0</v>
      </c>
      <c r="F412">
        <v>16.5</v>
      </c>
      <c r="G412">
        <v>14702.350071000001</v>
      </c>
      <c r="H412">
        <v>3.6318000000000003E-2</v>
      </c>
      <c r="I412">
        <v>1</v>
      </c>
    </row>
    <row r="413" spans="1:9" x14ac:dyDescent="0.55000000000000004">
      <c r="A413" t="str">
        <f t="shared" si="6"/>
        <v>A-2-e-0-16.5</v>
      </c>
      <c r="B413" t="s">
        <v>1121</v>
      </c>
      <c r="C413">
        <v>2</v>
      </c>
      <c r="D413" t="s">
        <v>2</v>
      </c>
      <c r="E413">
        <v>0</v>
      </c>
      <c r="F413">
        <v>16.5</v>
      </c>
      <c r="G413">
        <v>14707.750107</v>
      </c>
      <c r="H413">
        <v>4.9786999999999998E-2</v>
      </c>
      <c r="I413">
        <v>7</v>
      </c>
    </row>
    <row r="414" spans="1:9" x14ac:dyDescent="0.55000000000000004">
      <c r="A414" t="str">
        <f t="shared" si="6"/>
        <v>B-1-e-0-16.5</v>
      </c>
      <c r="B414" t="s">
        <v>1515</v>
      </c>
      <c r="C414">
        <v>1</v>
      </c>
      <c r="D414" t="s">
        <v>2</v>
      </c>
      <c r="E414">
        <v>0</v>
      </c>
      <c r="F414">
        <v>16.5</v>
      </c>
      <c r="G414">
        <v>15352.709851</v>
      </c>
      <c r="H414">
        <v>0.111083</v>
      </c>
      <c r="I414">
        <v>1</v>
      </c>
    </row>
    <row r="415" spans="1:9" x14ac:dyDescent="0.55000000000000004">
      <c r="A415" t="str">
        <f t="shared" si="6"/>
        <v>B-2-f-0-16.5</v>
      </c>
      <c r="B415" t="s">
        <v>1515</v>
      </c>
      <c r="C415">
        <v>2</v>
      </c>
      <c r="D415" t="s">
        <v>1</v>
      </c>
      <c r="E415">
        <v>0</v>
      </c>
      <c r="F415">
        <v>16.5</v>
      </c>
      <c r="G415">
        <v>15540.676987999999</v>
      </c>
      <c r="H415">
        <v>0.111105</v>
      </c>
      <c r="I415">
        <v>4</v>
      </c>
    </row>
    <row r="416" spans="1:9" x14ac:dyDescent="0.55000000000000004">
      <c r="A416" t="str">
        <f t="shared" si="6"/>
        <v>B-1-e-1-16.5</v>
      </c>
      <c r="B416" t="s">
        <v>1515</v>
      </c>
      <c r="C416">
        <v>1</v>
      </c>
      <c r="D416" t="s">
        <v>2</v>
      </c>
      <c r="E416">
        <v>1</v>
      </c>
      <c r="F416">
        <v>16.5</v>
      </c>
      <c r="G416">
        <v>16521.119955999999</v>
      </c>
      <c r="H416">
        <v>0.100824</v>
      </c>
      <c r="I416">
        <v>1</v>
      </c>
    </row>
    <row r="417" spans="1:9" x14ac:dyDescent="0.55000000000000004">
      <c r="A417" t="str">
        <f t="shared" si="6"/>
        <v>B-2-f-1-16.5</v>
      </c>
      <c r="B417" t="s">
        <v>1515</v>
      </c>
      <c r="C417">
        <v>2</v>
      </c>
      <c r="D417" t="s">
        <v>1</v>
      </c>
      <c r="E417">
        <v>1</v>
      </c>
      <c r="F417">
        <v>16.5</v>
      </c>
      <c r="G417">
        <v>16704.96587</v>
      </c>
      <c r="H417">
        <v>0.28706700000000002</v>
      </c>
      <c r="I417">
        <v>6</v>
      </c>
    </row>
    <row r="418" spans="1:9" x14ac:dyDescent="0.55000000000000004">
      <c r="A418" t="str">
        <f t="shared" si="6"/>
        <v>E-1-f-0-16.5</v>
      </c>
      <c r="B418" t="s">
        <v>680</v>
      </c>
      <c r="C418">
        <v>1</v>
      </c>
      <c r="D418" t="s">
        <v>1</v>
      </c>
      <c r="E418">
        <v>0</v>
      </c>
      <c r="F418">
        <v>16.5</v>
      </c>
      <c r="G418">
        <v>19900.390439999999</v>
      </c>
      <c r="H418">
        <v>1.9961E-2</v>
      </c>
      <c r="I418">
        <v>1</v>
      </c>
    </row>
    <row r="419" spans="1:9" x14ac:dyDescent="0.55000000000000004">
      <c r="A419" t="str">
        <f t="shared" si="6"/>
        <v>E-1-e-0-16.5</v>
      </c>
      <c r="B419" t="s">
        <v>680</v>
      </c>
      <c r="C419">
        <v>1</v>
      </c>
      <c r="D419" t="s">
        <v>2</v>
      </c>
      <c r="E419">
        <v>0</v>
      </c>
      <c r="F419">
        <v>16.5</v>
      </c>
      <c r="G419">
        <v>19901.016735000001</v>
      </c>
      <c r="H419">
        <v>2.0053999999999999E-2</v>
      </c>
      <c r="I419">
        <v>4</v>
      </c>
    </row>
    <row r="420" spans="1:9" x14ac:dyDescent="0.55000000000000004">
      <c r="A420" t="str">
        <f t="shared" si="6"/>
        <v>E-2-e-0-16.5</v>
      </c>
      <c r="B420" t="s">
        <v>680</v>
      </c>
      <c r="C420">
        <v>2</v>
      </c>
      <c r="D420" t="s">
        <v>2</v>
      </c>
      <c r="E420">
        <v>0</v>
      </c>
      <c r="F420">
        <v>16.5</v>
      </c>
      <c r="G420">
        <v>20067.464926000001</v>
      </c>
      <c r="H420">
        <v>2.0053999999999999E-2</v>
      </c>
      <c r="I420">
        <v>1</v>
      </c>
    </row>
    <row r="421" spans="1:9" x14ac:dyDescent="0.55000000000000004">
      <c r="A421" t="str">
        <f t="shared" si="6"/>
        <v>E-2-f-0-16.5</v>
      </c>
      <c r="B421" t="s">
        <v>680</v>
      </c>
      <c r="C421">
        <v>2</v>
      </c>
      <c r="D421" t="s">
        <v>1</v>
      </c>
      <c r="E421">
        <v>0</v>
      </c>
      <c r="F421">
        <v>16.5</v>
      </c>
      <c r="G421">
        <v>20069.488390999999</v>
      </c>
      <c r="H421">
        <v>1.9961E-2</v>
      </c>
      <c r="I421">
        <v>3</v>
      </c>
    </row>
    <row r="422" spans="1:9" x14ac:dyDescent="0.55000000000000004">
      <c r="A422" t="str">
        <f t="shared" si="6"/>
        <v>E-1-f-1-16.5</v>
      </c>
      <c r="B422" t="s">
        <v>680</v>
      </c>
      <c r="C422">
        <v>1</v>
      </c>
      <c r="D422" t="s">
        <v>1</v>
      </c>
      <c r="E422">
        <v>1</v>
      </c>
      <c r="F422">
        <v>16.5</v>
      </c>
      <c r="G422">
        <v>21037.925622999999</v>
      </c>
      <c r="H422">
        <v>0.12180199999999999</v>
      </c>
      <c r="I422">
        <v>1</v>
      </c>
    </row>
    <row r="423" spans="1:9" x14ac:dyDescent="0.55000000000000004">
      <c r="A423" t="str">
        <f t="shared" si="6"/>
        <v>E-1-e-1-16.5</v>
      </c>
      <c r="B423" t="s">
        <v>680</v>
      </c>
      <c r="C423">
        <v>1</v>
      </c>
      <c r="D423" t="s">
        <v>2</v>
      </c>
      <c r="E423">
        <v>1</v>
      </c>
      <c r="F423">
        <v>16.5</v>
      </c>
      <c r="G423">
        <v>21038.437811</v>
      </c>
      <c r="H423">
        <v>1.8960999999999999E-2</v>
      </c>
      <c r="I423">
        <v>3</v>
      </c>
    </row>
    <row r="424" spans="1:9" x14ac:dyDescent="0.55000000000000004">
      <c r="A424" t="str">
        <f t="shared" si="6"/>
        <v>E-2-e-1-16.5</v>
      </c>
      <c r="B424" t="s">
        <v>680</v>
      </c>
      <c r="C424">
        <v>2</v>
      </c>
      <c r="D424" t="s">
        <v>2</v>
      </c>
      <c r="E424">
        <v>1</v>
      </c>
      <c r="F424">
        <v>16.5</v>
      </c>
      <c r="G424">
        <v>21204.895945</v>
      </c>
      <c r="H424">
        <v>2.1871999999999999E-2</v>
      </c>
      <c r="I424">
        <v>1</v>
      </c>
    </row>
    <row r="425" spans="1:9" x14ac:dyDescent="0.55000000000000004">
      <c r="A425" t="str">
        <f t="shared" si="6"/>
        <v>E-2-f-1-16.5</v>
      </c>
      <c r="B425" t="s">
        <v>680</v>
      </c>
      <c r="C425">
        <v>2</v>
      </c>
      <c r="D425" t="s">
        <v>1</v>
      </c>
      <c r="E425">
        <v>1</v>
      </c>
      <c r="F425">
        <v>16.5</v>
      </c>
      <c r="G425">
        <v>21206.478277999999</v>
      </c>
      <c r="H425">
        <v>2.1801999999999998E-2</v>
      </c>
      <c r="I425">
        <v>3</v>
      </c>
    </row>
    <row r="426" spans="1:9" x14ac:dyDescent="0.55000000000000004">
      <c r="A426" t="str">
        <f t="shared" si="6"/>
        <v>X-1-e-0-17.5</v>
      </c>
      <c r="B426" t="s">
        <v>0</v>
      </c>
      <c r="C426">
        <v>1</v>
      </c>
      <c r="D426" t="s">
        <v>2</v>
      </c>
      <c r="E426">
        <v>0</v>
      </c>
      <c r="F426">
        <v>17.5</v>
      </c>
      <c r="G426">
        <v>1100.2720440000001</v>
      </c>
      <c r="H426">
        <v>2.0237999999999999E-2</v>
      </c>
      <c r="I426">
        <v>1</v>
      </c>
    </row>
    <row r="427" spans="1:9" x14ac:dyDescent="0.55000000000000004">
      <c r="A427" t="str">
        <f t="shared" si="6"/>
        <v>X-2-f-0-17.5</v>
      </c>
      <c r="B427" t="s">
        <v>0</v>
      </c>
      <c r="C427">
        <v>2</v>
      </c>
      <c r="D427" t="s">
        <v>1</v>
      </c>
      <c r="E427">
        <v>0</v>
      </c>
      <c r="F427">
        <v>17.5</v>
      </c>
      <c r="G427">
        <v>1225.789869</v>
      </c>
      <c r="H427">
        <v>1.8364999999999999E-2</v>
      </c>
      <c r="I427">
        <v>2</v>
      </c>
    </row>
    <row r="428" spans="1:9" x14ac:dyDescent="0.55000000000000004">
      <c r="A428" t="str">
        <f t="shared" si="6"/>
        <v>X-1-e-1-17.5</v>
      </c>
      <c r="B428" t="s">
        <v>0</v>
      </c>
      <c r="C428">
        <v>1</v>
      </c>
      <c r="D428" t="s">
        <v>2</v>
      </c>
      <c r="E428">
        <v>1</v>
      </c>
      <c r="F428">
        <v>17.5</v>
      </c>
      <c r="G428">
        <v>2248.4989799999998</v>
      </c>
      <c r="H428">
        <v>1.5960999999999999E-2</v>
      </c>
      <c r="I428">
        <v>2</v>
      </c>
    </row>
    <row r="429" spans="1:9" x14ac:dyDescent="0.55000000000000004">
      <c r="A429" t="str">
        <f t="shared" si="6"/>
        <v>X-2-f-1-17.5</v>
      </c>
      <c r="B429" t="s">
        <v>0</v>
      </c>
      <c r="C429">
        <v>2</v>
      </c>
      <c r="D429" t="s">
        <v>1</v>
      </c>
      <c r="E429">
        <v>1</v>
      </c>
      <c r="F429">
        <v>17.5</v>
      </c>
      <c r="G429">
        <v>2371.2109719999999</v>
      </c>
      <c r="H429">
        <v>2.0601999999999999E-2</v>
      </c>
      <c r="I429">
        <v>2</v>
      </c>
    </row>
    <row r="430" spans="1:9" x14ac:dyDescent="0.55000000000000004">
      <c r="A430" t="str">
        <f t="shared" si="6"/>
        <v>X-1-e-2-17.5</v>
      </c>
      <c r="B430" t="s">
        <v>0</v>
      </c>
      <c r="C430">
        <v>1</v>
      </c>
      <c r="D430" t="s">
        <v>2</v>
      </c>
      <c r="E430">
        <v>2</v>
      </c>
      <c r="F430">
        <v>17.5</v>
      </c>
      <c r="G430">
        <v>3362.4709400000002</v>
      </c>
      <c r="H430">
        <v>1.7801999999999998E-2</v>
      </c>
      <c r="I430">
        <v>2</v>
      </c>
    </row>
    <row r="431" spans="1:9" x14ac:dyDescent="0.55000000000000004">
      <c r="A431" t="str">
        <f t="shared" si="6"/>
        <v>X-2-f-2-17.5</v>
      </c>
      <c r="B431" t="s">
        <v>0</v>
      </c>
      <c r="C431">
        <v>2</v>
      </c>
      <c r="D431" t="s">
        <v>1</v>
      </c>
      <c r="E431">
        <v>2</v>
      </c>
      <c r="F431">
        <v>17.5</v>
      </c>
      <c r="G431">
        <v>3482.3538610000001</v>
      </c>
      <c r="H431">
        <v>2.2662000000000002E-2</v>
      </c>
      <c r="I431">
        <v>2</v>
      </c>
    </row>
    <row r="432" spans="1:9" x14ac:dyDescent="0.55000000000000004">
      <c r="A432" t="str">
        <f t="shared" si="6"/>
        <v>X-1-e-3-17.5</v>
      </c>
      <c r="B432" t="s">
        <v>0</v>
      </c>
      <c r="C432">
        <v>1</v>
      </c>
      <c r="D432" t="s">
        <v>2</v>
      </c>
      <c r="E432">
        <v>3</v>
      </c>
      <c r="F432">
        <v>17.5</v>
      </c>
      <c r="G432">
        <v>4442.0391040000004</v>
      </c>
      <c r="H432">
        <v>2.5600999999999999E-2</v>
      </c>
      <c r="I432">
        <v>2</v>
      </c>
    </row>
    <row r="433" spans="1:9" x14ac:dyDescent="0.55000000000000004">
      <c r="A433" t="str">
        <f t="shared" si="6"/>
        <v>X-2-f-3-17.5</v>
      </c>
      <c r="B433" t="s">
        <v>0</v>
      </c>
      <c r="C433">
        <v>2</v>
      </c>
      <c r="D433" t="s">
        <v>1</v>
      </c>
      <c r="E433">
        <v>3</v>
      </c>
      <c r="F433">
        <v>17.5</v>
      </c>
      <c r="G433">
        <v>4559.0790059999999</v>
      </c>
      <c r="H433">
        <v>7.1562000000000001E-2</v>
      </c>
      <c r="I433">
        <v>2</v>
      </c>
    </row>
    <row r="434" spans="1:9" x14ac:dyDescent="0.55000000000000004">
      <c r="A434" t="str">
        <f t="shared" si="6"/>
        <v>X-1-e-4-17.5</v>
      </c>
      <c r="B434" t="s">
        <v>0</v>
      </c>
      <c r="C434">
        <v>1</v>
      </c>
      <c r="D434" t="s">
        <v>2</v>
      </c>
      <c r="E434">
        <v>4</v>
      </c>
      <c r="F434">
        <v>17.5</v>
      </c>
      <c r="G434">
        <v>5486.8726489999999</v>
      </c>
      <c r="H434">
        <v>5.3802000000000003E-2</v>
      </c>
      <c r="I434">
        <v>2</v>
      </c>
    </row>
    <row r="435" spans="1:9" x14ac:dyDescent="0.55000000000000004">
      <c r="A435" t="str">
        <f t="shared" si="6"/>
        <v>X-2-f-4-17.5</v>
      </c>
      <c r="B435" t="s">
        <v>0</v>
      </c>
      <c r="C435">
        <v>2</v>
      </c>
      <c r="D435" t="s">
        <v>1</v>
      </c>
      <c r="E435">
        <v>4</v>
      </c>
      <c r="F435">
        <v>17.5</v>
      </c>
      <c r="G435">
        <v>5601.0268939999996</v>
      </c>
      <c r="H435">
        <v>3.4262000000000001E-2</v>
      </c>
      <c r="I435">
        <v>3</v>
      </c>
    </row>
    <row r="436" spans="1:9" x14ac:dyDescent="0.55000000000000004">
      <c r="A436" t="str">
        <f t="shared" si="6"/>
        <v>A-1-f-0-17.5</v>
      </c>
      <c r="B436" t="s">
        <v>1121</v>
      </c>
      <c r="C436">
        <v>1</v>
      </c>
      <c r="D436" t="s">
        <v>1</v>
      </c>
      <c r="E436">
        <v>0</v>
      </c>
      <c r="F436">
        <v>17.5</v>
      </c>
      <c r="G436">
        <v>14503.859009</v>
      </c>
      <c r="H436">
        <v>5.7146000000000002E-2</v>
      </c>
      <c r="I436">
        <v>4</v>
      </c>
    </row>
    <row r="437" spans="1:9" x14ac:dyDescent="0.55000000000000004">
      <c r="A437" t="str">
        <f t="shared" si="6"/>
        <v>A-1-e-0-17.5</v>
      </c>
      <c r="B437" t="s">
        <v>1121</v>
      </c>
      <c r="C437">
        <v>1</v>
      </c>
      <c r="D437" t="s">
        <v>2</v>
      </c>
      <c r="E437">
        <v>0</v>
      </c>
      <c r="F437">
        <v>17.5</v>
      </c>
      <c r="G437">
        <v>14563.739185</v>
      </c>
      <c r="H437">
        <v>2.8660000000000001E-2</v>
      </c>
      <c r="I437">
        <v>4</v>
      </c>
    </row>
    <row r="438" spans="1:9" x14ac:dyDescent="0.55000000000000004">
      <c r="A438" t="str">
        <f t="shared" si="6"/>
        <v>A-2-f-0-17.5</v>
      </c>
      <c r="B438" t="s">
        <v>1121</v>
      </c>
      <c r="C438">
        <v>2</v>
      </c>
      <c r="D438" t="s">
        <v>1</v>
      </c>
      <c r="E438">
        <v>0</v>
      </c>
      <c r="F438">
        <v>17.5</v>
      </c>
      <c r="G438">
        <v>14828.211727</v>
      </c>
      <c r="H438">
        <v>3.0238000000000001E-2</v>
      </c>
      <c r="I438">
        <v>4</v>
      </c>
    </row>
    <row r="439" spans="1:9" x14ac:dyDescent="0.55000000000000004">
      <c r="A439" t="str">
        <f t="shared" si="6"/>
        <v>A-2-e-0-17.5</v>
      </c>
      <c r="B439" t="s">
        <v>1121</v>
      </c>
      <c r="C439">
        <v>2</v>
      </c>
      <c r="D439" t="s">
        <v>2</v>
      </c>
      <c r="E439">
        <v>0</v>
      </c>
      <c r="F439">
        <v>17.5</v>
      </c>
      <c r="G439">
        <v>14834.542805999999</v>
      </c>
      <c r="H439">
        <v>2.6960999999999999E-2</v>
      </c>
      <c r="I439">
        <v>4</v>
      </c>
    </row>
    <row r="440" spans="1:9" x14ac:dyDescent="0.55000000000000004">
      <c r="A440" t="str">
        <f t="shared" si="6"/>
        <v>B-1-e-0-17.5</v>
      </c>
      <c r="B440" t="s">
        <v>1515</v>
      </c>
      <c r="C440">
        <v>1</v>
      </c>
      <c r="D440" t="s">
        <v>2</v>
      </c>
      <c r="E440">
        <v>0</v>
      </c>
      <c r="F440">
        <v>17.5</v>
      </c>
      <c r="G440">
        <v>15478.263633</v>
      </c>
      <c r="H440">
        <v>5.2832999999999998E-2</v>
      </c>
      <c r="I440">
        <v>6</v>
      </c>
    </row>
    <row r="441" spans="1:9" x14ac:dyDescent="0.55000000000000004">
      <c r="A441" t="str">
        <f t="shared" si="6"/>
        <v>B-2-f-0-17.5</v>
      </c>
      <c r="B441" t="s">
        <v>1515</v>
      </c>
      <c r="C441">
        <v>2</v>
      </c>
      <c r="D441" t="s">
        <v>1</v>
      </c>
      <c r="E441">
        <v>0</v>
      </c>
      <c r="F441">
        <v>17.5</v>
      </c>
      <c r="G441">
        <v>15675.994546</v>
      </c>
      <c r="H441">
        <v>3.2335999999999997E-2</v>
      </c>
      <c r="I441">
        <v>6</v>
      </c>
    </row>
    <row r="442" spans="1:9" x14ac:dyDescent="0.55000000000000004">
      <c r="A442" t="str">
        <f t="shared" si="6"/>
        <v>B-1-e-1-17.5</v>
      </c>
      <c r="B442" t="s">
        <v>1515</v>
      </c>
      <c r="C442">
        <v>1</v>
      </c>
      <c r="D442" t="s">
        <v>2</v>
      </c>
      <c r="E442">
        <v>1</v>
      </c>
      <c r="F442">
        <v>17.5</v>
      </c>
      <c r="G442">
        <v>16643.485312000001</v>
      </c>
      <c r="H442">
        <v>0.202622</v>
      </c>
      <c r="I442">
        <v>7</v>
      </c>
    </row>
    <row r="443" spans="1:9" x14ac:dyDescent="0.55000000000000004">
      <c r="A443" t="str">
        <f t="shared" si="6"/>
        <v>B-2-f-1-17.5</v>
      </c>
      <c r="B443" t="s">
        <v>1515</v>
      </c>
      <c r="C443">
        <v>2</v>
      </c>
      <c r="D443" t="s">
        <v>1</v>
      </c>
      <c r="E443">
        <v>1</v>
      </c>
      <c r="F443">
        <v>17.5</v>
      </c>
      <c r="G443">
        <v>16837.648309</v>
      </c>
      <c r="H443">
        <v>2.9364999999999999E-2</v>
      </c>
      <c r="I443">
        <v>7</v>
      </c>
    </row>
    <row r="444" spans="1:9" x14ac:dyDescent="0.55000000000000004">
      <c r="A444" t="str">
        <f t="shared" si="6"/>
        <v>E-1-f-0-17.5</v>
      </c>
      <c r="B444" t="s">
        <v>680</v>
      </c>
      <c r="C444">
        <v>1</v>
      </c>
      <c r="D444" t="s">
        <v>1</v>
      </c>
      <c r="E444">
        <v>0</v>
      </c>
      <c r="F444">
        <v>17.5</v>
      </c>
      <c r="G444">
        <v>20025.448785</v>
      </c>
      <c r="H444">
        <v>2.5238E-2</v>
      </c>
      <c r="I444">
        <v>6</v>
      </c>
    </row>
    <row r="445" spans="1:9" x14ac:dyDescent="0.55000000000000004">
      <c r="A445" t="str">
        <f t="shared" si="6"/>
        <v>E-1-e-0-17.5</v>
      </c>
      <c r="B445" t="s">
        <v>680</v>
      </c>
      <c r="C445">
        <v>1</v>
      </c>
      <c r="D445" t="s">
        <v>2</v>
      </c>
      <c r="E445">
        <v>0</v>
      </c>
      <c r="F445">
        <v>17.5</v>
      </c>
      <c r="G445">
        <v>20026.283074999999</v>
      </c>
      <c r="H445">
        <v>1.9961E-2</v>
      </c>
      <c r="I445">
        <v>6</v>
      </c>
    </row>
    <row r="446" spans="1:9" x14ac:dyDescent="0.55000000000000004">
      <c r="A446" t="str">
        <f t="shared" si="6"/>
        <v>E-2-e-0-17.5</v>
      </c>
      <c r="B446" t="s">
        <v>680</v>
      </c>
      <c r="C446">
        <v>2</v>
      </c>
      <c r="D446" t="s">
        <v>2</v>
      </c>
      <c r="E446">
        <v>0</v>
      </c>
      <c r="F446">
        <v>17.5</v>
      </c>
      <c r="G446">
        <v>20198.354136999998</v>
      </c>
      <c r="H446">
        <v>1.9961E-2</v>
      </c>
      <c r="I446">
        <v>5</v>
      </c>
    </row>
    <row r="447" spans="1:9" x14ac:dyDescent="0.55000000000000004">
      <c r="A447" t="str">
        <f t="shared" si="6"/>
        <v>E-2-f-0-17.5</v>
      </c>
      <c r="B447" t="s">
        <v>680</v>
      </c>
      <c r="C447">
        <v>2</v>
      </c>
      <c r="D447" t="s">
        <v>1</v>
      </c>
      <c r="E447">
        <v>0</v>
      </c>
      <c r="F447">
        <v>17.5</v>
      </c>
      <c r="G447">
        <v>20200.655430999999</v>
      </c>
      <c r="H447">
        <v>2.4601999999999999E-2</v>
      </c>
      <c r="I447">
        <v>5</v>
      </c>
    </row>
    <row r="448" spans="1:9" x14ac:dyDescent="0.55000000000000004">
      <c r="A448" t="str">
        <f t="shared" si="6"/>
        <v>E-1-f-1-17.5</v>
      </c>
      <c r="B448" t="s">
        <v>680</v>
      </c>
      <c r="C448">
        <v>1</v>
      </c>
      <c r="D448" t="s">
        <v>1</v>
      </c>
      <c r="E448">
        <v>1</v>
      </c>
      <c r="F448">
        <v>17.5</v>
      </c>
      <c r="G448">
        <v>21159.63726</v>
      </c>
      <c r="H448">
        <v>0.120961</v>
      </c>
      <c r="I448">
        <v>5</v>
      </c>
    </row>
    <row r="449" spans="1:9" x14ac:dyDescent="0.55000000000000004">
      <c r="A449" t="str">
        <f t="shared" si="6"/>
        <v>E-1-e-1-17.5</v>
      </c>
      <c r="B449" t="s">
        <v>680</v>
      </c>
      <c r="C449">
        <v>1</v>
      </c>
      <c r="D449" t="s">
        <v>2</v>
      </c>
      <c r="E449">
        <v>1</v>
      </c>
      <c r="F449">
        <v>17.5</v>
      </c>
      <c r="G449">
        <v>21160.294516999998</v>
      </c>
      <c r="H449">
        <v>2.1801999999999998E-2</v>
      </c>
      <c r="I449">
        <v>5</v>
      </c>
    </row>
    <row r="450" spans="1:9" x14ac:dyDescent="0.55000000000000004">
      <c r="A450" t="str">
        <f t="shared" si="6"/>
        <v>E-2-e-1-17.5</v>
      </c>
      <c r="B450" t="s">
        <v>680</v>
      </c>
      <c r="C450">
        <v>2</v>
      </c>
      <c r="D450" t="s">
        <v>2</v>
      </c>
      <c r="E450">
        <v>1</v>
      </c>
      <c r="F450">
        <v>17.5</v>
      </c>
      <c r="G450">
        <v>21332.143211999999</v>
      </c>
      <c r="H450">
        <v>2.5602E-2</v>
      </c>
      <c r="I450">
        <v>4</v>
      </c>
    </row>
    <row r="451" spans="1:9" x14ac:dyDescent="0.55000000000000004">
      <c r="A451" t="str">
        <f t="shared" ref="A451:A514" si="7">B451&amp;"-"&amp;C451&amp;"-"&amp;D451&amp;"-"&amp;E451&amp;"-"&amp;F451</f>
        <v>E-2-f-1-17.5</v>
      </c>
      <c r="B451" t="s">
        <v>680</v>
      </c>
      <c r="C451">
        <v>2</v>
      </c>
      <c r="D451" t="s">
        <v>1</v>
      </c>
      <c r="E451">
        <v>1</v>
      </c>
      <c r="F451">
        <v>17.5</v>
      </c>
      <c r="G451">
        <v>21333.857263000002</v>
      </c>
      <c r="H451">
        <v>2.1871999999999999E-2</v>
      </c>
      <c r="I451">
        <v>4</v>
      </c>
    </row>
    <row r="452" spans="1:9" x14ac:dyDescent="0.55000000000000004">
      <c r="A452" t="str">
        <f t="shared" si="7"/>
        <v>X-1-e-0-18.5</v>
      </c>
      <c r="B452" t="s">
        <v>0</v>
      </c>
      <c r="C452">
        <v>1</v>
      </c>
      <c r="D452" t="s">
        <v>2</v>
      </c>
      <c r="E452">
        <v>0</v>
      </c>
      <c r="F452">
        <v>18.5</v>
      </c>
      <c r="G452">
        <v>1228.0093010000001</v>
      </c>
      <c r="H452">
        <v>1.6961E-2</v>
      </c>
      <c r="I452">
        <v>5</v>
      </c>
    </row>
    <row r="453" spans="1:9" x14ac:dyDescent="0.55000000000000004">
      <c r="A453" t="str">
        <f t="shared" si="7"/>
        <v>X-2-f-0-18.5</v>
      </c>
      <c r="B453" t="s">
        <v>0</v>
      </c>
      <c r="C453">
        <v>2</v>
      </c>
      <c r="D453" t="s">
        <v>1</v>
      </c>
      <c r="E453">
        <v>0</v>
      </c>
      <c r="F453">
        <v>18.5</v>
      </c>
      <c r="G453">
        <v>1360.144546</v>
      </c>
      <c r="H453">
        <v>2.2336000000000002E-2</v>
      </c>
      <c r="I453">
        <v>5</v>
      </c>
    </row>
    <row r="454" spans="1:9" x14ac:dyDescent="0.55000000000000004">
      <c r="A454" t="str">
        <f t="shared" si="7"/>
        <v>X-1-e-1-18.5</v>
      </c>
      <c r="B454" t="s">
        <v>0</v>
      </c>
      <c r="C454">
        <v>1</v>
      </c>
      <c r="D454" t="s">
        <v>2</v>
      </c>
      <c r="E454">
        <v>1</v>
      </c>
      <c r="F454">
        <v>18.5</v>
      </c>
      <c r="G454">
        <v>2373.3557900000001</v>
      </c>
      <c r="H454">
        <v>2.1238E-2</v>
      </c>
      <c r="I454">
        <v>6</v>
      </c>
    </row>
    <row r="455" spans="1:9" x14ac:dyDescent="0.55000000000000004">
      <c r="A455" t="str">
        <f t="shared" si="7"/>
        <v>X-2-f-1-18.5</v>
      </c>
      <c r="B455" t="s">
        <v>0</v>
      </c>
      <c r="C455">
        <v>2</v>
      </c>
      <c r="D455" t="s">
        <v>1</v>
      </c>
      <c r="E455">
        <v>1</v>
      </c>
      <c r="F455">
        <v>18.5</v>
      </c>
      <c r="G455">
        <v>2502.518309</v>
      </c>
      <c r="H455">
        <v>1.9365E-2</v>
      </c>
      <c r="I455">
        <v>6</v>
      </c>
    </row>
    <row r="456" spans="1:9" x14ac:dyDescent="0.55000000000000004">
      <c r="A456" t="str">
        <f t="shared" si="7"/>
        <v>X-1-e-2-18.5</v>
      </c>
      <c r="B456" t="s">
        <v>0</v>
      </c>
      <c r="C456">
        <v>1</v>
      </c>
      <c r="D456" t="s">
        <v>2</v>
      </c>
      <c r="E456">
        <v>2</v>
      </c>
      <c r="F456">
        <v>18.5</v>
      </c>
      <c r="G456">
        <v>3484.4239590000002</v>
      </c>
      <c r="H456">
        <v>1.6961E-2</v>
      </c>
      <c r="I456">
        <v>5</v>
      </c>
    </row>
    <row r="457" spans="1:9" x14ac:dyDescent="0.55000000000000004">
      <c r="A457" t="str">
        <f t="shared" si="7"/>
        <v>X-2-f-2-18.5</v>
      </c>
      <c r="B457" t="s">
        <v>0</v>
      </c>
      <c r="C457">
        <v>2</v>
      </c>
      <c r="D457" t="s">
        <v>1</v>
      </c>
      <c r="E457">
        <v>2</v>
      </c>
      <c r="F457">
        <v>18.5</v>
      </c>
      <c r="G457">
        <v>3610.6101279999998</v>
      </c>
      <c r="H457">
        <v>2.9461999999999999E-2</v>
      </c>
      <c r="I457">
        <v>5</v>
      </c>
    </row>
    <row r="458" spans="1:9" x14ac:dyDescent="0.55000000000000004">
      <c r="A458" t="str">
        <f t="shared" si="7"/>
        <v>X-1-e-3-18.5</v>
      </c>
      <c r="B458" t="s">
        <v>0</v>
      </c>
      <c r="C458">
        <v>1</v>
      </c>
      <c r="D458" t="s">
        <v>2</v>
      </c>
      <c r="E458">
        <v>3</v>
      </c>
      <c r="F458">
        <v>18.5</v>
      </c>
      <c r="G458">
        <v>4561.0709459999998</v>
      </c>
      <c r="H458">
        <v>1.8801999999999999E-2</v>
      </c>
      <c r="I458">
        <v>5</v>
      </c>
    </row>
    <row r="459" spans="1:9" x14ac:dyDescent="0.55000000000000004">
      <c r="A459" t="str">
        <f t="shared" si="7"/>
        <v>X-2-f-3-18.5</v>
      </c>
      <c r="B459" t="s">
        <v>0</v>
      </c>
      <c r="C459">
        <v>2</v>
      </c>
      <c r="D459" t="s">
        <v>1</v>
      </c>
      <c r="E459">
        <v>3</v>
      </c>
      <c r="F459">
        <v>18.5</v>
      </c>
      <c r="G459">
        <v>4684.2453610000002</v>
      </c>
      <c r="H459">
        <v>2.3661999999999999E-2</v>
      </c>
      <c r="I459">
        <v>5</v>
      </c>
    </row>
    <row r="460" spans="1:9" x14ac:dyDescent="0.55000000000000004">
      <c r="A460" t="str">
        <f t="shared" si="7"/>
        <v>X-1-e-4-18.5</v>
      </c>
      <c r="B460" t="s">
        <v>0</v>
      </c>
      <c r="C460">
        <v>1</v>
      </c>
      <c r="D460" t="s">
        <v>2</v>
      </c>
      <c r="E460">
        <v>4</v>
      </c>
      <c r="F460">
        <v>18.5</v>
      </c>
      <c r="G460">
        <v>5602.9454040000001</v>
      </c>
      <c r="H460">
        <v>2.6601E-2</v>
      </c>
      <c r="I460">
        <v>5</v>
      </c>
    </row>
    <row r="461" spans="1:9" x14ac:dyDescent="0.55000000000000004">
      <c r="A461" t="str">
        <f t="shared" si="7"/>
        <v>X-2-f-4-18.5</v>
      </c>
      <c r="B461" t="s">
        <v>0</v>
      </c>
      <c r="C461">
        <v>2</v>
      </c>
      <c r="D461" t="s">
        <v>1</v>
      </c>
      <c r="E461">
        <v>4</v>
      </c>
      <c r="F461">
        <v>18.5</v>
      </c>
      <c r="G461">
        <v>5723.0782060000001</v>
      </c>
      <c r="H461">
        <v>7.2562000000000001E-2</v>
      </c>
      <c r="I461">
        <v>5</v>
      </c>
    </row>
    <row r="462" spans="1:9" x14ac:dyDescent="0.55000000000000004">
      <c r="A462" t="str">
        <f t="shared" si="7"/>
        <v>A-1-f-0-18.5</v>
      </c>
      <c r="B462" t="s">
        <v>1121</v>
      </c>
      <c r="C462">
        <v>1</v>
      </c>
      <c r="D462" t="s">
        <v>1</v>
      </c>
      <c r="E462">
        <v>0</v>
      </c>
      <c r="F462">
        <v>18.5</v>
      </c>
      <c r="G462">
        <v>14635.266409</v>
      </c>
      <c r="H462">
        <v>5.6831E-2</v>
      </c>
      <c r="I462">
        <v>5</v>
      </c>
    </row>
    <row r="463" spans="1:9" x14ac:dyDescent="0.55000000000000004">
      <c r="A463" t="str">
        <f t="shared" si="7"/>
        <v>A-1-e-0-18.5</v>
      </c>
      <c r="B463" t="s">
        <v>1121</v>
      </c>
      <c r="C463">
        <v>1</v>
      </c>
      <c r="D463" t="s">
        <v>2</v>
      </c>
      <c r="E463">
        <v>0</v>
      </c>
      <c r="F463">
        <v>18.5</v>
      </c>
      <c r="G463">
        <v>14696.995109</v>
      </c>
      <c r="H463">
        <v>3.2988000000000003E-2</v>
      </c>
      <c r="I463">
        <v>5</v>
      </c>
    </row>
    <row r="464" spans="1:9" x14ac:dyDescent="0.55000000000000004">
      <c r="A464" t="str">
        <f t="shared" si="7"/>
        <v>A-2-f-0-18.5</v>
      </c>
      <c r="B464" t="s">
        <v>1121</v>
      </c>
      <c r="C464">
        <v>2</v>
      </c>
      <c r="D464" t="s">
        <v>1</v>
      </c>
      <c r="E464">
        <v>0</v>
      </c>
      <c r="F464">
        <v>18.5</v>
      </c>
      <c r="G464">
        <v>14960.889010000001</v>
      </c>
      <c r="H464">
        <v>2.6960999999999999E-2</v>
      </c>
      <c r="I464">
        <v>4</v>
      </c>
    </row>
    <row r="465" spans="1:9" x14ac:dyDescent="0.55000000000000004">
      <c r="A465" t="str">
        <f t="shared" si="7"/>
        <v>A-2-e-0-18.5</v>
      </c>
      <c r="B465" t="s">
        <v>1121</v>
      </c>
      <c r="C465">
        <v>2</v>
      </c>
      <c r="D465" t="s">
        <v>2</v>
      </c>
      <c r="E465">
        <v>0</v>
      </c>
      <c r="F465">
        <v>18.5</v>
      </c>
      <c r="G465">
        <v>14968.344945000001</v>
      </c>
      <c r="H465">
        <v>3.2988000000000003E-2</v>
      </c>
      <c r="I465">
        <v>4</v>
      </c>
    </row>
    <row r="466" spans="1:9" x14ac:dyDescent="0.55000000000000004">
      <c r="A466" t="str">
        <f t="shared" si="7"/>
        <v>B-1-e-0-18.5</v>
      </c>
      <c r="B466" t="s">
        <v>1515</v>
      </c>
      <c r="C466">
        <v>1</v>
      </c>
      <c r="D466" t="s">
        <v>2</v>
      </c>
      <c r="E466">
        <v>0</v>
      </c>
      <c r="F466">
        <v>18.5</v>
      </c>
      <c r="G466">
        <v>15610.918575</v>
      </c>
      <c r="H466">
        <v>3.0238000000000001E-2</v>
      </c>
      <c r="I466">
        <v>4</v>
      </c>
    </row>
    <row r="467" spans="1:9" x14ac:dyDescent="0.55000000000000004">
      <c r="A467" t="str">
        <f t="shared" si="7"/>
        <v>B-2-f-0-18.5</v>
      </c>
      <c r="B467" t="s">
        <v>1515</v>
      </c>
      <c r="C467">
        <v>2</v>
      </c>
      <c r="D467" t="s">
        <v>1</v>
      </c>
      <c r="E467">
        <v>0</v>
      </c>
      <c r="F467">
        <v>18.5</v>
      </c>
      <c r="G467">
        <v>15818.437330999999</v>
      </c>
      <c r="H467">
        <v>3.0365E-2</v>
      </c>
      <c r="I467">
        <v>4</v>
      </c>
    </row>
    <row r="468" spans="1:9" x14ac:dyDescent="0.55000000000000004">
      <c r="A468" t="str">
        <f t="shared" si="7"/>
        <v>B-1-e-1-18.5</v>
      </c>
      <c r="B468" t="s">
        <v>1515</v>
      </c>
      <c r="C468">
        <v>1</v>
      </c>
      <c r="D468" t="s">
        <v>2</v>
      </c>
      <c r="E468">
        <v>1</v>
      </c>
      <c r="F468">
        <v>18.5</v>
      </c>
      <c r="G468">
        <v>16772.694028000002</v>
      </c>
      <c r="H468">
        <v>2.5961000000000001E-2</v>
      </c>
      <c r="I468">
        <v>4</v>
      </c>
    </row>
    <row r="469" spans="1:9" x14ac:dyDescent="0.55000000000000004">
      <c r="A469" t="str">
        <f t="shared" si="7"/>
        <v>B-2-f-1-18.5</v>
      </c>
      <c r="B469" t="s">
        <v>1515</v>
      </c>
      <c r="C469">
        <v>2</v>
      </c>
      <c r="D469" t="s">
        <v>1</v>
      </c>
      <c r="E469">
        <v>1</v>
      </c>
      <c r="F469">
        <v>18.5</v>
      </c>
      <c r="G469">
        <v>16976.326766999999</v>
      </c>
      <c r="H469">
        <v>3.39E-2</v>
      </c>
      <c r="I469">
        <v>4</v>
      </c>
    </row>
    <row r="470" spans="1:9" x14ac:dyDescent="0.55000000000000004">
      <c r="A470" t="str">
        <f t="shared" si="7"/>
        <v>E-1-f-0-18.5</v>
      </c>
      <c r="B470" t="s">
        <v>680</v>
      </c>
      <c r="C470">
        <v>1</v>
      </c>
      <c r="D470" t="s">
        <v>1</v>
      </c>
      <c r="E470">
        <v>0</v>
      </c>
      <c r="F470">
        <v>18.5</v>
      </c>
      <c r="G470">
        <v>20157.391951000001</v>
      </c>
      <c r="H470">
        <v>2.1961000000000001E-2</v>
      </c>
      <c r="I470">
        <v>4</v>
      </c>
    </row>
    <row r="471" spans="1:9" x14ac:dyDescent="0.55000000000000004">
      <c r="A471" t="str">
        <f t="shared" si="7"/>
        <v>E-1-e-0-18.5</v>
      </c>
      <c r="B471" t="s">
        <v>680</v>
      </c>
      <c r="C471">
        <v>1</v>
      </c>
      <c r="D471" t="s">
        <v>2</v>
      </c>
      <c r="E471">
        <v>0</v>
      </c>
      <c r="F471">
        <v>18.5</v>
      </c>
      <c r="G471">
        <v>20158.452246000001</v>
      </c>
      <c r="H471">
        <v>2.5238E-2</v>
      </c>
      <c r="I471">
        <v>4</v>
      </c>
    </row>
    <row r="472" spans="1:9" x14ac:dyDescent="0.55000000000000004">
      <c r="A472" t="str">
        <f t="shared" si="7"/>
        <v>E-2-e-0-18.5</v>
      </c>
      <c r="B472" t="s">
        <v>680</v>
      </c>
      <c r="C472">
        <v>2</v>
      </c>
      <c r="D472" t="s">
        <v>2</v>
      </c>
      <c r="E472">
        <v>0</v>
      </c>
      <c r="F472">
        <v>18.5</v>
      </c>
      <c r="G472">
        <v>20336.192255000002</v>
      </c>
      <c r="H472">
        <v>2.5238E-2</v>
      </c>
      <c r="I472">
        <v>3</v>
      </c>
    </row>
    <row r="473" spans="1:9" x14ac:dyDescent="0.55000000000000004">
      <c r="A473" t="str">
        <f t="shared" si="7"/>
        <v>E-2-f-0-18.5</v>
      </c>
      <c r="B473" t="s">
        <v>680</v>
      </c>
      <c r="C473">
        <v>2</v>
      </c>
      <c r="D473" t="s">
        <v>1</v>
      </c>
      <c r="E473">
        <v>0</v>
      </c>
      <c r="F473">
        <v>18.5</v>
      </c>
      <c r="G473">
        <v>20338.76699</v>
      </c>
      <c r="H473">
        <v>2.1961000000000001E-2</v>
      </c>
      <c r="I473">
        <v>4</v>
      </c>
    </row>
    <row r="474" spans="1:9" x14ac:dyDescent="0.55000000000000004">
      <c r="A474" t="str">
        <f t="shared" si="7"/>
        <v>E-1-f-1-18.5</v>
      </c>
      <c r="B474" t="s">
        <v>680</v>
      </c>
      <c r="C474">
        <v>1</v>
      </c>
      <c r="D474" t="s">
        <v>1</v>
      </c>
      <c r="E474">
        <v>1</v>
      </c>
      <c r="F474">
        <v>18.5</v>
      </c>
      <c r="G474">
        <v>21288.042819999999</v>
      </c>
      <c r="H474">
        <v>7.6238E-2</v>
      </c>
      <c r="I474">
        <v>3</v>
      </c>
    </row>
    <row r="475" spans="1:9" x14ac:dyDescent="0.55000000000000004">
      <c r="A475" t="str">
        <f t="shared" si="7"/>
        <v>E-2-f-1-18.5</v>
      </c>
      <c r="B475" t="s">
        <v>680</v>
      </c>
      <c r="C475">
        <v>2</v>
      </c>
      <c r="D475" t="s">
        <v>1</v>
      </c>
      <c r="E475">
        <v>1</v>
      </c>
      <c r="F475">
        <v>18.5</v>
      </c>
      <c r="G475">
        <v>21467.921570999999</v>
      </c>
      <c r="H475">
        <v>2.6238000000000001E-2</v>
      </c>
      <c r="I475">
        <v>4</v>
      </c>
    </row>
    <row r="476" spans="1:9" x14ac:dyDescent="0.55000000000000004">
      <c r="A476" t="str">
        <f t="shared" si="7"/>
        <v>X-1-e-0-19.5</v>
      </c>
      <c r="B476" t="s">
        <v>0</v>
      </c>
      <c r="C476">
        <v>1</v>
      </c>
      <c r="D476" t="s">
        <v>2</v>
      </c>
      <c r="E476">
        <v>0</v>
      </c>
      <c r="F476">
        <v>19.5</v>
      </c>
      <c r="G476">
        <v>1362.475105</v>
      </c>
      <c r="H476">
        <v>2.2988000000000001E-2</v>
      </c>
      <c r="I476">
        <v>4</v>
      </c>
    </row>
    <row r="477" spans="1:9" x14ac:dyDescent="0.55000000000000004">
      <c r="A477" t="str">
        <f t="shared" si="7"/>
        <v>X-2-f-0-19.5</v>
      </c>
      <c r="B477" t="s">
        <v>0</v>
      </c>
      <c r="C477">
        <v>2</v>
      </c>
      <c r="D477" t="s">
        <v>1</v>
      </c>
      <c r="E477">
        <v>0</v>
      </c>
      <c r="F477">
        <v>19.5</v>
      </c>
      <c r="G477">
        <v>1501.1573310000001</v>
      </c>
      <c r="H477">
        <v>2.0365000000000001E-2</v>
      </c>
      <c r="I477">
        <v>4</v>
      </c>
    </row>
    <row r="478" spans="1:9" x14ac:dyDescent="0.55000000000000004">
      <c r="A478" t="str">
        <f t="shared" si="7"/>
        <v>X-1-e-1-19.5</v>
      </c>
      <c r="B478" t="s">
        <v>0</v>
      </c>
      <c r="C478">
        <v>1</v>
      </c>
      <c r="D478" t="s">
        <v>2</v>
      </c>
      <c r="E478">
        <v>1</v>
      </c>
      <c r="F478">
        <v>19.5</v>
      </c>
      <c r="G478">
        <v>2504.7690769999999</v>
      </c>
      <c r="H478">
        <v>1.7961000000000001E-2</v>
      </c>
      <c r="I478">
        <v>2</v>
      </c>
    </row>
    <row r="479" spans="1:9" x14ac:dyDescent="0.55000000000000004">
      <c r="A479" t="str">
        <f t="shared" si="7"/>
        <v>X-2-f-1-19.5</v>
      </c>
      <c r="B479" t="s">
        <v>0</v>
      </c>
      <c r="C479">
        <v>2</v>
      </c>
      <c r="D479" t="s">
        <v>1</v>
      </c>
      <c r="E479">
        <v>1</v>
      </c>
      <c r="F479">
        <v>19.5</v>
      </c>
      <c r="G479">
        <v>2640.3367669999998</v>
      </c>
      <c r="H479">
        <v>2.3900000000000001E-2</v>
      </c>
      <c r="I479">
        <v>3</v>
      </c>
    </row>
    <row r="480" spans="1:9" x14ac:dyDescent="0.55000000000000004">
      <c r="A480" t="str">
        <f t="shared" si="7"/>
        <v>X-1-e-2-19.5</v>
      </c>
      <c r="B480" t="s">
        <v>0</v>
      </c>
      <c r="C480">
        <v>1</v>
      </c>
      <c r="D480" t="s">
        <v>2</v>
      </c>
      <c r="E480">
        <v>2</v>
      </c>
      <c r="F480">
        <v>19.5</v>
      </c>
      <c r="G480">
        <v>3612.7819519999998</v>
      </c>
      <c r="H480">
        <v>1.9802E-2</v>
      </c>
      <c r="I480">
        <v>2</v>
      </c>
    </row>
    <row r="481" spans="1:9" x14ac:dyDescent="0.55000000000000004">
      <c r="A481" t="str">
        <f t="shared" si="7"/>
        <v>X-2-f-2-19.5</v>
      </c>
      <c r="B481" t="s">
        <v>0</v>
      </c>
      <c r="C481">
        <v>2</v>
      </c>
      <c r="D481" t="s">
        <v>1</v>
      </c>
      <c r="E481">
        <v>2</v>
      </c>
      <c r="F481">
        <v>19.5</v>
      </c>
      <c r="G481">
        <v>3745.2047170000001</v>
      </c>
      <c r="H481">
        <v>2.0365000000000001E-2</v>
      </c>
      <c r="I481">
        <v>3</v>
      </c>
    </row>
    <row r="482" spans="1:9" x14ac:dyDescent="0.55000000000000004">
      <c r="A482" t="str">
        <f t="shared" si="7"/>
        <v>X-1-e-3-19.5</v>
      </c>
      <c r="B482" t="s">
        <v>0</v>
      </c>
      <c r="C482">
        <v>1</v>
      </c>
      <c r="D482" t="s">
        <v>2</v>
      </c>
      <c r="E482">
        <v>3</v>
      </c>
      <c r="F482">
        <v>19.5</v>
      </c>
      <c r="G482">
        <v>4686.3409460000003</v>
      </c>
      <c r="H482">
        <v>1.7961000000000001E-2</v>
      </c>
      <c r="I482">
        <v>2</v>
      </c>
    </row>
    <row r="483" spans="1:9" x14ac:dyDescent="0.55000000000000004">
      <c r="A483" t="str">
        <f t="shared" si="7"/>
        <v>X-2-f-3-19.5</v>
      </c>
      <c r="B483" t="s">
        <v>0</v>
      </c>
      <c r="C483">
        <v>2</v>
      </c>
      <c r="D483" t="s">
        <v>1</v>
      </c>
      <c r="E483">
        <v>3</v>
      </c>
      <c r="F483">
        <v>19.5</v>
      </c>
      <c r="G483">
        <v>4815.6021309999996</v>
      </c>
      <c r="H483">
        <v>3.0461999999999999E-2</v>
      </c>
      <c r="I483">
        <v>2</v>
      </c>
    </row>
    <row r="484" spans="1:9" x14ac:dyDescent="0.55000000000000004">
      <c r="A484" t="str">
        <f t="shared" si="7"/>
        <v>X-1-e-4-19.5</v>
      </c>
      <c r="B484" t="s">
        <v>0</v>
      </c>
      <c r="C484">
        <v>1</v>
      </c>
      <c r="D484" t="s">
        <v>2</v>
      </c>
      <c r="E484">
        <v>4</v>
      </c>
      <c r="F484">
        <v>19.5</v>
      </c>
      <c r="G484">
        <v>5725.0889459999999</v>
      </c>
      <c r="H484">
        <v>1.9802E-2</v>
      </c>
      <c r="I484">
        <v>1</v>
      </c>
    </row>
    <row r="485" spans="1:9" x14ac:dyDescent="0.55000000000000004">
      <c r="A485" t="str">
        <f t="shared" si="7"/>
        <v>X-2-f-4-19.5</v>
      </c>
      <c r="B485" t="s">
        <v>0</v>
      </c>
      <c r="C485">
        <v>2</v>
      </c>
      <c r="D485" t="s">
        <v>1</v>
      </c>
      <c r="E485">
        <v>4</v>
      </c>
      <c r="F485">
        <v>19.5</v>
      </c>
      <c r="G485">
        <v>5851.1400610000001</v>
      </c>
      <c r="H485">
        <v>2.4662E-2</v>
      </c>
      <c r="I485">
        <v>2</v>
      </c>
    </row>
    <row r="486" spans="1:9" x14ac:dyDescent="0.55000000000000004">
      <c r="A486" t="str">
        <f t="shared" si="7"/>
        <v>A-1-f-0-19.5</v>
      </c>
      <c r="B486" t="s">
        <v>1121</v>
      </c>
      <c r="C486">
        <v>1</v>
      </c>
      <c r="D486" t="s">
        <v>1</v>
      </c>
      <c r="E486">
        <v>0</v>
      </c>
      <c r="F486">
        <v>19.5</v>
      </c>
      <c r="G486">
        <v>14773.522573</v>
      </c>
      <c r="H486">
        <v>5.1272999999999999E-2</v>
      </c>
      <c r="I486">
        <v>1</v>
      </c>
    </row>
    <row r="487" spans="1:9" x14ac:dyDescent="0.55000000000000004">
      <c r="A487" t="str">
        <f t="shared" si="7"/>
        <v>A-1-e-0-19.5</v>
      </c>
      <c r="B487" t="s">
        <v>1121</v>
      </c>
      <c r="C487">
        <v>1</v>
      </c>
      <c r="D487" t="s">
        <v>2</v>
      </c>
      <c r="E487">
        <v>0</v>
      </c>
      <c r="F487">
        <v>19.5</v>
      </c>
      <c r="G487">
        <v>14836.879273</v>
      </c>
      <c r="H487">
        <v>6.4976000000000006E-2</v>
      </c>
      <c r="I487">
        <v>1</v>
      </c>
    </row>
    <row r="488" spans="1:9" x14ac:dyDescent="0.55000000000000004">
      <c r="A488" t="str">
        <f t="shared" si="7"/>
        <v>A-2-f-0-19.5</v>
      </c>
      <c r="B488" t="s">
        <v>1121</v>
      </c>
      <c r="C488">
        <v>2</v>
      </c>
      <c r="D488" t="s">
        <v>1</v>
      </c>
      <c r="E488">
        <v>0</v>
      </c>
      <c r="F488">
        <v>19.5</v>
      </c>
      <c r="G488">
        <v>15100.424535</v>
      </c>
      <c r="H488">
        <v>3.2335999999999997E-2</v>
      </c>
      <c r="I488">
        <v>1</v>
      </c>
    </row>
    <row r="489" spans="1:9" x14ac:dyDescent="0.55000000000000004">
      <c r="A489" t="str">
        <f t="shared" si="7"/>
        <v>A-2-e-0-19.5</v>
      </c>
      <c r="B489" t="s">
        <v>1121</v>
      </c>
      <c r="C489">
        <v>2</v>
      </c>
      <c r="D489" t="s">
        <v>2</v>
      </c>
      <c r="E489">
        <v>0</v>
      </c>
      <c r="F489">
        <v>19.5</v>
      </c>
      <c r="G489">
        <v>15109.077706</v>
      </c>
      <c r="H489">
        <v>3.0365E-2</v>
      </c>
      <c r="I489">
        <v>1</v>
      </c>
    </row>
    <row r="490" spans="1:9" x14ac:dyDescent="0.55000000000000004">
      <c r="A490" t="str">
        <f t="shared" si="7"/>
        <v>B-1-e-0-19.5</v>
      </c>
      <c r="B490" t="s">
        <v>1515</v>
      </c>
      <c r="C490">
        <v>1</v>
      </c>
      <c r="D490" t="s">
        <v>2</v>
      </c>
      <c r="E490">
        <v>0</v>
      </c>
      <c r="F490">
        <v>19.5</v>
      </c>
      <c r="G490">
        <v>15750.638776</v>
      </c>
      <c r="H490">
        <v>2.8872999999999999E-2</v>
      </c>
      <c r="I490">
        <v>1</v>
      </c>
    </row>
    <row r="491" spans="1:9" x14ac:dyDescent="0.55000000000000004">
      <c r="A491" t="str">
        <f t="shared" si="7"/>
        <v>B-2-f-0-19.5</v>
      </c>
      <c r="B491" t="s">
        <v>1515</v>
      </c>
      <c r="C491">
        <v>2</v>
      </c>
      <c r="D491" t="s">
        <v>1</v>
      </c>
      <c r="E491">
        <v>0</v>
      </c>
      <c r="F491">
        <v>19.5</v>
      </c>
      <c r="G491">
        <v>15967.841570000001</v>
      </c>
      <c r="H491">
        <v>3.5451999999999997E-2</v>
      </c>
      <c r="I491">
        <v>1</v>
      </c>
    </row>
    <row r="492" spans="1:9" x14ac:dyDescent="0.55000000000000004">
      <c r="A492" t="str">
        <f t="shared" si="7"/>
        <v>B-1-e-1-19.5</v>
      </c>
      <c r="B492" t="s">
        <v>1515</v>
      </c>
      <c r="C492">
        <v>1</v>
      </c>
      <c r="D492" t="s">
        <v>2</v>
      </c>
      <c r="E492">
        <v>1</v>
      </c>
      <c r="F492">
        <v>19.5</v>
      </c>
      <c r="G492">
        <v>16908.773083</v>
      </c>
      <c r="H492">
        <v>3.4487999999999998E-2</v>
      </c>
      <c r="I492">
        <v>1</v>
      </c>
    </row>
    <row r="493" spans="1:9" x14ac:dyDescent="0.55000000000000004">
      <c r="A493" t="str">
        <f t="shared" si="7"/>
        <v>B-2-f-1-19.5</v>
      </c>
      <c r="B493" t="s">
        <v>1515</v>
      </c>
      <c r="C493">
        <v>2</v>
      </c>
      <c r="D493" t="s">
        <v>1</v>
      </c>
      <c r="E493">
        <v>1</v>
      </c>
      <c r="F493">
        <v>19.5</v>
      </c>
      <c r="G493">
        <v>17121.801341999999</v>
      </c>
      <c r="H493">
        <v>3.1364999999999997E-2</v>
      </c>
      <c r="I493">
        <v>1</v>
      </c>
    </row>
    <row r="494" spans="1:9" x14ac:dyDescent="0.55000000000000004">
      <c r="A494" t="str">
        <f t="shared" si="7"/>
        <v>E-1-f-0-19.5</v>
      </c>
      <c r="B494" t="s">
        <v>680</v>
      </c>
      <c r="C494">
        <v>1</v>
      </c>
      <c r="D494" t="s">
        <v>1</v>
      </c>
      <c r="E494">
        <v>0</v>
      </c>
      <c r="F494">
        <v>19.5</v>
      </c>
      <c r="G494">
        <v>20296.167215000001</v>
      </c>
      <c r="H494">
        <v>2.7987999999999999E-2</v>
      </c>
      <c r="I494">
        <v>1</v>
      </c>
    </row>
    <row r="495" spans="1:9" x14ac:dyDescent="0.55000000000000004">
      <c r="A495" t="str">
        <f t="shared" si="7"/>
        <v>E-1-e-0-19.5</v>
      </c>
      <c r="B495" t="s">
        <v>680</v>
      </c>
      <c r="C495">
        <v>1</v>
      </c>
      <c r="D495" t="s">
        <v>2</v>
      </c>
      <c r="E495">
        <v>0</v>
      </c>
      <c r="F495">
        <v>19.5</v>
      </c>
      <c r="G495">
        <v>20297.456779</v>
      </c>
      <c r="H495">
        <v>2.1961000000000001E-2</v>
      </c>
      <c r="I495">
        <v>1</v>
      </c>
    </row>
    <row r="496" spans="1:9" x14ac:dyDescent="0.55000000000000004">
      <c r="A496" t="str">
        <f t="shared" si="7"/>
        <v>E-2-e-0-19.5</v>
      </c>
      <c r="B496" t="s">
        <v>680</v>
      </c>
      <c r="C496">
        <v>2</v>
      </c>
      <c r="D496" t="s">
        <v>2</v>
      </c>
      <c r="E496">
        <v>0</v>
      </c>
      <c r="F496">
        <v>19.5</v>
      </c>
      <c r="G496">
        <v>20480.887280999999</v>
      </c>
      <c r="H496">
        <v>2.5364999999999999E-2</v>
      </c>
      <c r="I496">
        <v>2</v>
      </c>
    </row>
    <row r="497" spans="1:9" x14ac:dyDescent="0.55000000000000004">
      <c r="A497" t="str">
        <f t="shared" si="7"/>
        <v>E-2-f-0-19.5</v>
      </c>
      <c r="B497" t="s">
        <v>680</v>
      </c>
      <c r="C497">
        <v>2</v>
      </c>
      <c r="D497" t="s">
        <v>1</v>
      </c>
      <c r="E497">
        <v>0</v>
      </c>
      <c r="F497">
        <v>19.5</v>
      </c>
      <c r="G497">
        <v>20483.762137000002</v>
      </c>
      <c r="H497">
        <v>2.7335999999999999E-2</v>
      </c>
      <c r="I497">
        <v>2</v>
      </c>
    </row>
    <row r="498" spans="1:9" x14ac:dyDescent="0.55000000000000004">
      <c r="A498" t="str">
        <f t="shared" si="7"/>
        <v>E-1-f-1-19.5</v>
      </c>
      <c r="B498" t="s">
        <v>680</v>
      </c>
      <c r="C498">
        <v>1</v>
      </c>
      <c r="D498" t="s">
        <v>1</v>
      </c>
      <c r="E498">
        <v>1</v>
      </c>
      <c r="F498">
        <v>19.5</v>
      </c>
      <c r="G498">
        <v>21423.031157000001</v>
      </c>
      <c r="H498">
        <v>7.2960999999999998E-2</v>
      </c>
      <c r="I498">
        <v>2</v>
      </c>
    </row>
    <row r="499" spans="1:9" x14ac:dyDescent="0.55000000000000004">
      <c r="A499" t="str">
        <f t="shared" si="7"/>
        <v>X-1-e-0-20.5</v>
      </c>
      <c r="B499" t="s">
        <v>0</v>
      </c>
      <c r="C499">
        <v>1</v>
      </c>
      <c r="D499" t="s">
        <v>2</v>
      </c>
      <c r="E499">
        <v>0</v>
      </c>
      <c r="F499">
        <v>20.5</v>
      </c>
      <c r="G499">
        <v>1503.59825</v>
      </c>
      <c r="H499">
        <v>1.8960999999999999E-2</v>
      </c>
      <c r="I499">
        <v>2</v>
      </c>
    </row>
    <row r="500" spans="1:9" x14ac:dyDescent="0.55000000000000004">
      <c r="A500" t="str">
        <f t="shared" si="7"/>
        <v>X-2-f-0-20.5</v>
      </c>
      <c r="B500" t="s">
        <v>0</v>
      </c>
      <c r="C500">
        <v>2</v>
      </c>
      <c r="D500" t="s">
        <v>1</v>
      </c>
      <c r="E500">
        <v>0</v>
      </c>
      <c r="F500">
        <v>20.5</v>
      </c>
      <c r="G500">
        <v>1648.7815700000001</v>
      </c>
      <c r="H500">
        <v>2.5451999999999999E-2</v>
      </c>
      <c r="I500">
        <v>2</v>
      </c>
    </row>
    <row r="501" spans="1:9" x14ac:dyDescent="0.55000000000000004">
      <c r="A501" t="str">
        <f t="shared" si="7"/>
        <v>X-1-e-1-20.5</v>
      </c>
      <c r="B501" t="s">
        <v>0</v>
      </c>
      <c r="C501">
        <v>1</v>
      </c>
      <c r="D501" t="s">
        <v>2</v>
      </c>
      <c r="E501">
        <v>1</v>
      </c>
      <c r="F501">
        <v>20.5</v>
      </c>
      <c r="G501">
        <v>2642.6930830000001</v>
      </c>
      <c r="H501">
        <v>2.4487999999999999E-2</v>
      </c>
      <c r="I501">
        <v>4</v>
      </c>
    </row>
    <row r="502" spans="1:9" x14ac:dyDescent="0.55000000000000004">
      <c r="A502" t="str">
        <f t="shared" si="7"/>
        <v>X-2-f-1-20.5</v>
      </c>
      <c r="B502" t="s">
        <v>0</v>
      </c>
      <c r="C502">
        <v>2</v>
      </c>
      <c r="D502" t="s">
        <v>1</v>
      </c>
      <c r="E502">
        <v>1</v>
      </c>
      <c r="F502">
        <v>20.5</v>
      </c>
      <c r="G502">
        <v>2784.5913420000002</v>
      </c>
      <c r="H502">
        <v>2.1364999999999999E-2</v>
      </c>
      <c r="I502">
        <v>5</v>
      </c>
    </row>
    <row r="503" spans="1:9" x14ac:dyDescent="0.55000000000000004">
      <c r="A503" t="str">
        <f t="shared" si="7"/>
        <v>X-1-e-2-20.5</v>
      </c>
      <c r="B503" t="s">
        <v>0</v>
      </c>
      <c r="C503">
        <v>1</v>
      </c>
      <c r="D503" t="s">
        <v>2</v>
      </c>
      <c r="E503">
        <v>2</v>
      </c>
      <c r="F503">
        <v>20.5</v>
      </c>
      <c r="G503">
        <v>3747.479934</v>
      </c>
      <c r="H503">
        <v>1.8960999999999999E-2</v>
      </c>
      <c r="I503">
        <v>4</v>
      </c>
    </row>
    <row r="504" spans="1:9" x14ac:dyDescent="0.55000000000000004">
      <c r="A504" t="str">
        <f t="shared" si="7"/>
        <v>X-2-f-2-20.5</v>
      </c>
      <c r="B504" t="s">
        <v>0</v>
      </c>
      <c r="C504">
        <v>2</v>
      </c>
      <c r="D504" t="s">
        <v>1</v>
      </c>
      <c r="E504">
        <v>2</v>
      </c>
      <c r="F504">
        <v>20.5</v>
      </c>
      <c r="G504">
        <v>3886.0876330000001</v>
      </c>
      <c r="H504">
        <v>3.1461999999999997E-2</v>
      </c>
      <c r="I504">
        <v>5</v>
      </c>
    </row>
    <row r="505" spans="1:9" x14ac:dyDescent="0.55000000000000004">
      <c r="A505" t="str">
        <f t="shared" si="7"/>
        <v>X-1-e-3-20.5</v>
      </c>
      <c r="B505" t="s">
        <v>0</v>
      </c>
      <c r="C505">
        <v>1</v>
      </c>
      <c r="D505" t="s">
        <v>2</v>
      </c>
      <c r="E505">
        <v>3</v>
      </c>
      <c r="F505">
        <v>20.5</v>
      </c>
      <c r="G505">
        <v>4817.7960409999996</v>
      </c>
      <c r="H505">
        <v>5.3102000000000003E-2</v>
      </c>
      <c r="I505">
        <v>4</v>
      </c>
    </row>
    <row r="506" spans="1:9" x14ac:dyDescent="0.55000000000000004">
      <c r="A506" t="str">
        <f t="shared" si="7"/>
        <v>X-2-f-3-20.5</v>
      </c>
      <c r="B506" t="s">
        <v>0</v>
      </c>
      <c r="C506">
        <v>2</v>
      </c>
      <c r="D506" t="s">
        <v>1</v>
      </c>
      <c r="E506">
        <v>3</v>
      </c>
      <c r="F506">
        <v>20.5</v>
      </c>
      <c r="G506">
        <v>4953.0734990000001</v>
      </c>
      <c r="H506">
        <v>2.1364999999999999E-2</v>
      </c>
      <c r="I506">
        <v>5</v>
      </c>
    </row>
    <row r="507" spans="1:9" x14ac:dyDescent="0.55000000000000004">
      <c r="A507" t="str">
        <f t="shared" si="7"/>
        <v>X-1-e-4-20.5</v>
      </c>
      <c r="B507" t="s">
        <v>0</v>
      </c>
      <c r="C507">
        <v>1</v>
      </c>
      <c r="D507" t="s">
        <v>2</v>
      </c>
      <c r="E507">
        <v>4</v>
      </c>
      <c r="F507">
        <v>20.5</v>
      </c>
      <c r="G507">
        <v>5853.2521459999998</v>
      </c>
      <c r="H507">
        <v>1.8960999999999999E-2</v>
      </c>
      <c r="I507">
        <v>5</v>
      </c>
    </row>
    <row r="508" spans="1:9" x14ac:dyDescent="0.55000000000000004">
      <c r="A508" t="str">
        <f t="shared" si="7"/>
        <v>A-1-f-0-20.5</v>
      </c>
      <c r="B508" t="s">
        <v>1121</v>
      </c>
      <c r="C508">
        <v>1</v>
      </c>
      <c r="D508" t="s">
        <v>1</v>
      </c>
      <c r="E508">
        <v>0</v>
      </c>
      <c r="F508">
        <v>20.5</v>
      </c>
      <c r="G508">
        <v>14918.573426999999</v>
      </c>
      <c r="H508">
        <v>3.0365E-2</v>
      </c>
      <c r="I508">
        <v>5</v>
      </c>
    </row>
    <row r="509" spans="1:9" x14ac:dyDescent="0.55000000000000004">
      <c r="A509" t="str">
        <f t="shared" si="7"/>
        <v>A-1-e-0-20.5</v>
      </c>
      <c r="B509" t="s">
        <v>1121</v>
      </c>
      <c r="C509">
        <v>1</v>
      </c>
      <c r="D509" t="s">
        <v>2</v>
      </c>
      <c r="E509">
        <v>0</v>
      </c>
      <c r="F509">
        <v>20.5</v>
      </c>
      <c r="G509">
        <v>14983.302355</v>
      </c>
      <c r="H509">
        <v>3.6644999999999997E-2</v>
      </c>
      <c r="I509">
        <v>4</v>
      </c>
    </row>
    <row r="510" spans="1:9" x14ac:dyDescent="0.55000000000000004">
      <c r="A510" t="str">
        <f t="shared" si="7"/>
        <v>A-2-f-0-20.5</v>
      </c>
      <c r="B510" t="s">
        <v>1121</v>
      </c>
      <c r="C510">
        <v>2</v>
      </c>
      <c r="D510" t="s">
        <v>1</v>
      </c>
      <c r="E510">
        <v>0</v>
      </c>
      <c r="F510">
        <v>20.5</v>
      </c>
      <c r="G510">
        <v>15246.657427</v>
      </c>
      <c r="H510">
        <v>4.3407000000000001E-2</v>
      </c>
      <c r="I510">
        <v>4</v>
      </c>
    </row>
    <row r="511" spans="1:9" x14ac:dyDescent="0.55000000000000004">
      <c r="A511" t="str">
        <f t="shared" si="7"/>
        <v>A-2-e-0-20.5</v>
      </c>
      <c r="B511" t="s">
        <v>1121</v>
      </c>
      <c r="C511">
        <v>2</v>
      </c>
      <c r="D511" t="s">
        <v>2</v>
      </c>
      <c r="E511">
        <v>0</v>
      </c>
      <c r="F511">
        <v>20.5</v>
      </c>
      <c r="G511">
        <v>15256.76938</v>
      </c>
      <c r="H511">
        <v>3.8078000000000001E-2</v>
      </c>
      <c r="I511">
        <v>4</v>
      </c>
    </row>
    <row r="512" spans="1:9" x14ac:dyDescent="0.55000000000000004">
      <c r="A512" t="str">
        <f t="shared" si="7"/>
        <v>B-1-e-0-20.5</v>
      </c>
      <c r="B512" t="s">
        <v>1515</v>
      </c>
      <c r="C512">
        <v>1</v>
      </c>
      <c r="D512" t="s">
        <v>2</v>
      </c>
      <c r="E512">
        <v>0</v>
      </c>
      <c r="F512">
        <v>20.5</v>
      </c>
      <c r="G512">
        <v>15897.302170000001</v>
      </c>
      <c r="H512">
        <v>5.1686000000000003E-2</v>
      </c>
      <c r="I512">
        <v>4</v>
      </c>
    </row>
    <row r="513" spans="1:9" x14ac:dyDescent="0.55000000000000004">
      <c r="A513" t="str">
        <f t="shared" si="7"/>
        <v>B-2-f-0-20.5</v>
      </c>
      <c r="B513" t="s">
        <v>1515</v>
      </c>
      <c r="C513">
        <v>2</v>
      </c>
      <c r="D513" t="s">
        <v>1</v>
      </c>
      <c r="E513">
        <v>0</v>
      </c>
      <c r="F513">
        <v>20.5</v>
      </c>
      <c r="G513">
        <v>16124.126219</v>
      </c>
      <c r="H513">
        <v>3.2948999999999999E-2</v>
      </c>
      <c r="I513">
        <v>4</v>
      </c>
    </row>
    <row r="514" spans="1:9" x14ac:dyDescent="0.55000000000000004">
      <c r="A514" t="str">
        <f t="shared" si="7"/>
        <v>B-1-e-1-20.5</v>
      </c>
      <c r="B514" t="s">
        <v>1515</v>
      </c>
      <c r="C514">
        <v>1</v>
      </c>
      <c r="D514" t="s">
        <v>2</v>
      </c>
      <c r="E514">
        <v>1</v>
      </c>
      <c r="F514">
        <v>20.5</v>
      </c>
      <c r="G514">
        <v>17051.911521000002</v>
      </c>
      <c r="H514">
        <v>0.244895</v>
      </c>
      <c r="I514">
        <v>4</v>
      </c>
    </row>
    <row r="515" spans="1:9" x14ac:dyDescent="0.55000000000000004">
      <c r="A515" t="str">
        <f t="shared" ref="A515:A578" si="8">B515&amp;"-"&amp;C515&amp;"-"&amp;D515&amp;"-"&amp;E515&amp;"-"&amp;F515</f>
        <v>B-2-f-1-20.5</v>
      </c>
      <c r="B515" t="s">
        <v>1515</v>
      </c>
      <c r="C515">
        <v>2</v>
      </c>
      <c r="D515" t="s">
        <v>1</v>
      </c>
      <c r="E515">
        <v>1</v>
      </c>
      <c r="F515">
        <v>20.5</v>
      </c>
      <c r="G515">
        <v>17273.835283</v>
      </c>
      <c r="H515">
        <v>3.7411E-2</v>
      </c>
      <c r="I515">
        <v>5</v>
      </c>
    </row>
    <row r="516" spans="1:9" x14ac:dyDescent="0.55000000000000004">
      <c r="A516" t="str">
        <f t="shared" si="8"/>
        <v>E-1-f-0-20.5</v>
      </c>
      <c r="B516" t="s">
        <v>680</v>
      </c>
      <c r="C516">
        <v>1</v>
      </c>
      <c r="D516" t="s">
        <v>1</v>
      </c>
      <c r="E516">
        <v>0</v>
      </c>
      <c r="F516">
        <v>20.5</v>
      </c>
      <c r="G516">
        <v>20441.704559999998</v>
      </c>
      <c r="H516">
        <v>2.3961E-2</v>
      </c>
      <c r="I516">
        <v>5</v>
      </c>
    </row>
    <row r="517" spans="1:9" x14ac:dyDescent="0.55000000000000004">
      <c r="A517" t="str">
        <f t="shared" si="8"/>
        <v>E-1-e-0-20.5</v>
      </c>
      <c r="B517" t="s">
        <v>680</v>
      </c>
      <c r="C517">
        <v>1</v>
      </c>
      <c r="D517" t="s">
        <v>2</v>
      </c>
      <c r="E517">
        <v>0</v>
      </c>
      <c r="F517">
        <v>20.5</v>
      </c>
      <c r="G517">
        <v>20443.242222000001</v>
      </c>
      <c r="H517">
        <v>3.0452E-2</v>
      </c>
      <c r="I517">
        <v>5</v>
      </c>
    </row>
    <row r="518" spans="1:9" x14ac:dyDescent="0.55000000000000004">
      <c r="A518" t="str">
        <f t="shared" si="8"/>
        <v>E-2-e-0-20.5</v>
      </c>
      <c r="B518" t="s">
        <v>680</v>
      </c>
      <c r="C518">
        <v>2</v>
      </c>
      <c r="D518" t="s">
        <v>2</v>
      </c>
      <c r="E518">
        <v>0</v>
      </c>
      <c r="F518">
        <v>20.5</v>
      </c>
      <c r="G518">
        <v>20632.380420000001</v>
      </c>
      <c r="H518">
        <v>3.0452E-2</v>
      </c>
      <c r="I518">
        <v>5</v>
      </c>
    </row>
    <row r="519" spans="1:9" x14ac:dyDescent="0.55000000000000004">
      <c r="A519" t="str">
        <f t="shared" si="8"/>
        <v>E-2-f-0-20.5</v>
      </c>
      <c r="B519" t="s">
        <v>680</v>
      </c>
      <c r="C519">
        <v>2</v>
      </c>
      <c r="D519" t="s">
        <v>1</v>
      </c>
      <c r="E519">
        <v>0</v>
      </c>
      <c r="F519">
        <v>20.5</v>
      </c>
      <c r="G519">
        <v>20635.545514000001</v>
      </c>
      <c r="H519">
        <v>2.7949000000000002E-2</v>
      </c>
      <c r="I519">
        <v>4</v>
      </c>
    </row>
    <row r="520" spans="1:9" x14ac:dyDescent="0.55000000000000004">
      <c r="A520" t="str">
        <f t="shared" si="8"/>
        <v>E-1-f-1-20.5</v>
      </c>
      <c r="B520" t="s">
        <v>680</v>
      </c>
      <c r="C520">
        <v>1</v>
      </c>
      <c r="D520" t="s">
        <v>1</v>
      </c>
      <c r="E520">
        <v>1</v>
      </c>
      <c r="F520">
        <v>20.5</v>
      </c>
      <c r="G520">
        <v>21564.589323</v>
      </c>
      <c r="H520">
        <v>2.9488E-2</v>
      </c>
      <c r="I520">
        <v>4</v>
      </c>
    </row>
    <row r="521" spans="1:9" x14ac:dyDescent="0.55000000000000004">
      <c r="A521" t="str">
        <f t="shared" si="8"/>
        <v>X-1-e-0-21.5</v>
      </c>
      <c r="B521" t="s">
        <v>0</v>
      </c>
      <c r="C521">
        <v>1</v>
      </c>
      <c r="D521" t="s">
        <v>2</v>
      </c>
      <c r="E521">
        <v>0</v>
      </c>
      <c r="F521">
        <v>21.5</v>
      </c>
      <c r="G521">
        <v>1651.3292349999999</v>
      </c>
      <c r="H521">
        <v>2.5784000000000001E-2</v>
      </c>
      <c r="I521">
        <v>5</v>
      </c>
    </row>
    <row r="522" spans="1:9" x14ac:dyDescent="0.55000000000000004">
      <c r="A522" t="str">
        <f t="shared" si="8"/>
        <v>X-2-f-0-21.5</v>
      </c>
      <c r="B522" t="s">
        <v>0</v>
      </c>
      <c r="C522">
        <v>2</v>
      </c>
      <c r="D522" t="s">
        <v>1</v>
      </c>
      <c r="E522">
        <v>0</v>
      </c>
      <c r="F522">
        <v>21.5</v>
      </c>
      <c r="G522">
        <v>1802.9362189999999</v>
      </c>
      <c r="H522">
        <v>2.2949000000000001E-2</v>
      </c>
      <c r="I522">
        <v>5</v>
      </c>
    </row>
    <row r="523" spans="1:9" x14ac:dyDescent="0.55000000000000004">
      <c r="A523" t="str">
        <f t="shared" si="8"/>
        <v>X-1-e-1-21.5</v>
      </c>
      <c r="B523" t="s">
        <v>0</v>
      </c>
      <c r="C523">
        <v>1</v>
      </c>
      <c r="D523" t="s">
        <v>2</v>
      </c>
      <c r="E523">
        <v>1</v>
      </c>
      <c r="F523">
        <v>21.5</v>
      </c>
      <c r="G523">
        <v>2787.0539640000002</v>
      </c>
      <c r="H523">
        <v>1.9961E-2</v>
      </c>
      <c r="I523">
        <v>4</v>
      </c>
    </row>
    <row r="524" spans="1:9" x14ac:dyDescent="0.55000000000000004">
      <c r="A524" t="str">
        <f t="shared" si="8"/>
        <v>X-2-f-1-21.5</v>
      </c>
      <c r="B524" t="s">
        <v>0</v>
      </c>
      <c r="C524">
        <v>2</v>
      </c>
      <c r="D524" t="s">
        <v>1</v>
      </c>
      <c r="E524">
        <v>1</v>
      </c>
      <c r="F524">
        <v>21.5</v>
      </c>
      <c r="G524">
        <v>2935.235283</v>
      </c>
      <c r="H524">
        <v>2.7411000000000001E-2</v>
      </c>
      <c r="I524">
        <v>4</v>
      </c>
    </row>
    <row r="525" spans="1:9" x14ac:dyDescent="0.55000000000000004">
      <c r="A525" t="str">
        <f t="shared" si="8"/>
        <v>X-1-e-2-21.5</v>
      </c>
      <c r="B525" t="s">
        <v>0</v>
      </c>
      <c r="C525">
        <v>1</v>
      </c>
      <c r="D525" t="s">
        <v>2</v>
      </c>
      <c r="E525">
        <v>2</v>
      </c>
      <c r="F525">
        <v>21.5</v>
      </c>
      <c r="G525">
        <v>3888.4623299999998</v>
      </c>
      <c r="H525">
        <v>5.4788000000000003E-2</v>
      </c>
      <c r="I525">
        <v>5</v>
      </c>
    </row>
    <row r="526" spans="1:9" x14ac:dyDescent="0.55000000000000004">
      <c r="A526" t="str">
        <f t="shared" si="8"/>
        <v>X-2-f-2-21.5</v>
      </c>
      <c r="B526" t="s">
        <v>0</v>
      </c>
      <c r="C526">
        <v>2</v>
      </c>
      <c r="D526" t="s">
        <v>1</v>
      </c>
      <c r="E526">
        <v>2</v>
      </c>
      <c r="F526">
        <v>21.5</v>
      </c>
      <c r="G526">
        <v>4033.1849820000002</v>
      </c>
      <c r="H526">
        <v>2.2364999999999999E-2</v>
      </c>
      <c r="I526">
        <v>5</v>
      </c>
    </row>
    <row r="527" spans="1:9" x14ac:dyDescent="0.55000000000000004">
      <c r="A527" t="str">
        <f t="shared" si="8"/>
        <v>X-1-e-3-21.5</v>
      </c>
      <c r="B527" t="s">
        <v>0</v>
      </c>
      <c r="C527">
        <v>1</v>
      </c>
      <c r="D527" t="s">
        <v>2</v>
      </c>
      <c r="E527">
        <v>3</v>
      </c>
      <c r="F527">
        <v>21.5</v>
      </c>
      <c r="G527">
        <v>4955.3615280000004</v>
      </c>
      <c r="H527">
        <v>1.9961E-2</v>
      </c>
      <c r="I527">
        <v>3</v>
      </c>
    </row>
    <row r="528" spans="1:9" x14ac:dyDescent="0.55000000000000004">
      <c r="A528" t="str">
        <f t="shared" si="8"/>
        <v>X-2-f-4-21.5</v>
      </c>
      <c r="B528" t="s">
        <v>0</v>
      </c>
      <c r="C528">
        <v>2</v>
      </c>
      <c r="D528" t="s">
        <v>1</v>
      </c>
      <c r="E528">
        <v>4</v>
      </c>
      <c r="F528">
        <v>21.5</v>
      </c>
      <c r="G528">
        <v>6125.0690990000003</v>
      </c>
      <c r="H528">
        <v>2.2364999999999999E-2</v>
      </c>
      <c r="I528">
        <v>3</v>
      </c>
    </row>
    <row r="529" spans="1:9" x14ac:dyDescent="0.55000000000000004">
      <c r="A529" t="str">
        <f t="shared" si="8"/>
        <v>A-1-f-0-21.5</v>
      </c>
      <c r="B529" t="s">
        <v>1121</v>
      </c>
      <c r="C529">
        <v>1</v>
      </c>
      <c r="D529" t="s">
        <v>1</v>
      </c>
      <c r="E529">
        <v>0</v>
      </c>
      <c r="F529">
        <v>21.5</v>
      </c>
      <c r="G529">
        <v>15070.398342</v>
      </c>
      <c r="H529">
        <v>5.0805000000000003E-2</v>
      </c>
      <c r="I529">
        <v>3</v>
      </c>
    </row>
    <row r="530" spans="1:9" x14ac:dyDescent="0.55000000000000004">
      <c r="A530" t="str">
        <f t="shared" si="8"/>
        <v>A-1-e-0-21.5</v>
      </c>
      <c r="B530" t="s">
        <v>1121</v>
      </c>
      <c r="C530">
        <v>1</v>
      </c>
      <c r="D530" t="s">
        <v>2</v>
      </c>
      <c r="E530">
        <v>0</v>
      </c>
      <c r="F530">
        <v>21.5</v>
      </c>
      <c r="G530">
        <v>15136.268113</v>
      </c>
      <c r="H530">
        <v>2.8961000000000001E-2</v>
      </c>
      <c r="I530">
        <v>3</v>
      </c>
    </row>
    <row r="531" spans="1:9" x14ac:dyDescent="0.55000000000000004">
      <c r="A531" t="str">
        <f t="shared" si="8"/>
        <v>A-2-f-0-21.5</v>
      </c>
      <c r="B531" t="s">
        <v>1121</v>
      </c>
      <c r="C531">
        <v>2</v>
      </c>
      <c r="D531" t="s">
        <v>1</v>
      </c>
      <c r="E531">
        <v>0</v>
      </c>
      <c r="F531">
        <v>21.5</v>
      </c>
      <c r="G531">
        <v>15399.626474000001</v>
      </c>
      <c r="H531">
        <v>5.6319000000000001E-2</v>
      </c>
      <c r="I531">
        <v>2</v>
      </c>
    </row>
    <row r="532" spans="1:9" x14ac:dyDescent="0.55000000000000004">
      <c r="A532" t="str">
        <f t="shared" si="8"/>
        <v>A-2-e-0-21.5</v>
      </c>
      <c r="B532" t="s">
        <v>1121</v>
      </c>
      <c r="C532">
        <v>2</v>
      </c>
      <c r="D532" t="s">
        <v>2</v>
      </c>
      <c r="E532">
        <v>0</v>
      </c>
      <c r="F532">
        <v>21.5</v>
      </c>
      <c r="G532">
        <v>15411.096192000001</v>
      </c>
      <c r="H532">
        <v>3.2948999999999999E-2</v>
      </c>
      <c r="I532">
        <v>3</v>
      </c>
    </row>
    <row r="533" spans="1:9" x14ac:dyDescent="0.55000000000000004">
      <c r="A533" t="str">
        <f t="shared" si="8"/>
        <v>B-1-e-0-21.5</v>
      </c>
      <c r="B533" t="s">
        <v>1515</v>
      </c>
      <c r="C533">
        <v>1</v>
      </c>
      <c r="D533" t="s">
        <v>2</v>
      </c>
      <c r="E533">
        <v>0</v>
      </c>
      <c r="F533">
        <v>21.5</v>
      </c>
      <c r="G533">
        <v>16050.875900999999</v>
      </c>
      <c r="H533">
        <v>3.2769E-2</v>
      </c>
      <c r="I533">
        <v>2</v>
      </c>
    </row>
    <row r="534" spans="1:9" x14ac:dyDescent="0.55000000000000004">
      <c r="A534" t="str">
        <f t="shared" si="8"/>
        <v>B-2-f-0-21.5</v>
      </c>
      <c r="B534" t="s">
        <v>1515</v>
      </c>
      <c r="C534">
        <v>2</v>
      </c>
      <c r="D534" t="s">
        <v>1</v>
      </c>
      <c r="E534">
        <v>0</v>
      </c>
      <c r="F534">
        <v>21.5</v>
      </c>
      <c r="G534">
        <v>16287.344002</v>
      </c>
      <c r="H534">
        <v>3.9371999999999997E-2</v>
      </c>
      <c r="I534">
        <v>2</v>
      </c>
    </row>
    <row r="535" spans="1:9" x14ac:dyDescent="0.55000000000000004">
      <c r="A535" t="str">
        <f t="shared" si="8"/>
        <v>B-1-e-1-21.5</v>
      </c>
      <c r="B535" t="s">
        <v>1515</v>
      </c>
      <c r="C535">
        <v>1</v>
      </c>
      <c r="D535" t="s">
        <v>2</v>
      </c>
      <c r="E535">
        <v>1</v>
      </c>
      <c r="F535">
        <v>21.5</v>
      </c>
      <c r="G535">
        <v>17201.375748999999</v>
      </c>
      <c r="H535">
        <v>4.4474E-2</v>
      </c>
      <c r="I535">
        <v>3</v>
      </c>
    </row>
    <row r="536" spans="1:9" x14ac:dyDescent="0.55000000000000004">
      <c r="A536" t="str">
        <f t="shared" si="8"/>
        <v>B-2-f-1-21.5</v>
      </c>
      <c r="B536" t="s">
        <v>1515</v>
      </c>
      <c r="C536">
        <v>2</v>
      </c>
      <c r="D536" t="s">
        <v>1</v>
      </c>
      <c r="E536">
        <v>1</v>
      </c>
      <c r="F536">
        <v>21.5</v>
      </c>
      <c r="G536">
        <v>17432.783256999999</v>
      </c>
      <c r="H536">
        <v>3.3949E-2</v>
      </c>
      <c r="I536">
        <v>3</v>
      </c>
    </row>
    <row r="537" spans="1:9" x14ac:dyDescent="0.55000000000000004">
      <c r="A537" t="str">
        <f t="shared" si="8"/>
        <v>E-1-f-0-21.5</v>
      </c>
      <c r="B537" t="s">
        <v>680</v>
      </c>
      <c r="C537">
        <v>1</v>
      </c>
      <c r="D537" t="s">
        <v>1</v>
      </c>
      <c r="E537">
        <v>0</v>
      </c>
      <c r="F537">
        <v>21.5</v>
      </c>
      <c r="G537">
        <v>20593.929134999998</v>
      </c>
      <c r="H537">
        <v>5.0784000000000003E-2</v>
      </c>
      <c r="I537">
        <v>1</v>
      </c>
    </row>
    <row r="538" spans="1:9" x14ac:dyDescent="0.55000000000000004">
      <c r="A538" t="str">
        <f t="shared" si="8"/>
        <v>E-1-e-0-21.5</v>
      </c>
      <c r="B538" t="s">
        <v>680</v>
      </c>
      <c r="C538">
        <v>1</v>
      </c>
      <c r="D538" t="s">
        <v>2</v>
      </c>
      <c r="E538">
        <v>0</v>
      </c>
      <c r="F538">
        <v>21.5</v>
      </c>
      <c r="G538">
        <v>20595.741375000001</v>
      </c>
      <c r="H538">
        <v>2.5961000000000001E-2</v>
      </c>
      <c r="I538">
        <v>1</v>
      </c>
    </row>
    <row r="539" spans="1:9" x14ac:dyDescent="0.55000000000000004">
      <c r="A539" t="str">
        <f t="shared" si="8"/>
        <v>E-2-e-0-21.5</v>
      </c>
      <c r="B539" t="s">
        <v>680</v>
      </c>
      <c r="C539">
        <v>2</v>
      </c>
      <c r="D539" t="s">
        <v>2</v>
      </c>
      <c r="E539">
        <v>0</v>
      </c>
      <c r="F539">
        <v>21.5</v>
      </c>
      <c r="G539">
        <v>20790.579798999999</v>
      </c>
      <c r="H539">
        <v>2.7949000000000002E-2</v>
      </c>
      <c r="I539">
        <v>1</v>
      </c>
    </row>
    <row r="540" spans="1:9" x14ac:dyDescent="0.55000000000000004">
      <c r="A540" t="str">
        <f t="shared" si="8"/>
        <v>E-2-f-0-21.5</v>
      </c>
      <c r="B540" t="s">
        <v>680</v>
      </c>
      <c r="C540">
        <v>2</v>
      </c>
      <c r="D540" t="s">
        <v>1</v>
      </c>
      <c r="E540">
        <v>0</v>
      </c>
      <c r="F540">
        <v>21.5</v>
      </c>
      <c r="G540">
        <v>20794.062012999999</v>
      </c>
      <c r="H540">
        <v>3.3295999999999999E-2</v>
      </c>
      <c r="I540">
        <v>2</v>
      </c>
    </row>
    <row r="541" spans="1:9" x14ac:dyDescent="0.55000000000000004">
      <c r="A541" t="str">
        <f t="shared" si="8"/>
        <v>E-1-f-1-21.5</v>
      </c>
      <c r="B541" t="s">
        <v>680</v>
      </c>
      <c r="C541">
        <v>1</v>
      </c>
      <c r="D541" t="s">
        <v>1</v>
      </c>
      <c r="E541">
        <v>1</v>
      </c>
      <c r="F541">
        <v>21.5</v>
      </c>
      <c r="G541">
        <v>21712.624233999999</v>
      </c>
      <c r="H541">
        <v>2.4961000000000001E-2</v>
      </c>
      <c r="I541">
        <v>1</v>
      </c>
    </row>
    <row r="542" spans="1:9" x14ac:dyDescent="0.55000000000000004">
      <c r="A542" t="str">
        <f t="shared" si="8"/>
        <v>X-1-e-0-22.5</v>
      </c>
      <c r="B542" t="s">
        <v>0</v>
      </c>
      <c r="C542">
        <v>1</v>
      </c>
      <c r="D542" t="s">
        <v>2</v>
      </c>
      <c r="E542">
        <v>0</v>
      </c>
      <c r="F542">
        <v>22.5</v>
      </c>
      <c r="G542">
        <v>1805.593552</v>
      </c>
      <c r="H542">
        <v>2.0961E-2</v>
      </c>
      <c r="I542">
        <v>1</v>
      </c>
    </row>
    <row r="543" spans="1:9" x14ac:dyDescent="0.55000000000000004">
      <c r="A543" t="str">
        <f t="shared" si="8"/>
        <v>X-2-f-0-22.5</v>
      </c>
      <c r="B543" t="s">
        <v>0</v>
      </c>
      <c r="C543">
        <v>2</v>
      </c>
      <c r="D543" t="s">
        <v>1</v>
      </c>
      <c r="E543">
        <v>0</v>
      </c>
      <c r="F543">
        <v>22.5</v>
      </c>
      <c r="G543">
        <v>1963.5740020000001</v>
      </c>
      <c r="H543">
        <v>2.9371999999999999E-2</v>
      </c>
      <c r="I543">
        <v>1</v>
      </c>
    </row>
    <row r="544" spans="1:9" x14ac:dyDescent="0.55000000000000004">
      <c r="A544" t="str">
        <f t="shared" si="8"/>
        <v>X-1-e-1-22.5</v>
      </c>
      <c r="B544" t="s">
        <v>0</v>
      </c>
      <c r="C544">
        <v>1</v>
      </c>
      <c r="D544" t="s">
        <v>2</v>
      </c>
      <c r="E544">
        <v>1</v>
      </c>
      <c r="F544">
        <v>22.5</v>
      </c>
      <c r="G544">
        <v>2937.7984139999999</v>
      </c>
      <c r="H544">
        <v>2.6783999999999999E-2</v>
      </c>
      <c r="I544">
        <v>1</v>
      </c>
    </row>
    <row r="545" spans="1:9" x14ac:dyDescent="0.55000000000000004">
      <c r="A545" t="str">
        <f t="shared" si="8"/>
        <v>X-2-f-1-22.5</v>
      </c>
      <c r="B545" t="s">
        <v>0</v>
      </c>
      <c r="C545">
        <v>2</v>
      </c>
      <c r="D545" t="s">
        <v>1</v>
      </c>
      <c r="E545">
        <v>1</v>
      </c>
      <c r="F545">
        <v>22.5</v>
      </c>
      <c r="G545">
        <v>3092.1832570000001</v>
      </c>
      <c r="H545">
        <v>2.3949000000000002E-2</v>
      </c>
      <c r="I545">
        <v>1</v>
      </c>
    </row>
    <row r="546" spans="1:9" x14ac:dyDescent="0.55000000000000004">
      <c r="A546" t="str">
        <f t="shared" si="8"/>
        <v>X-1-e-2-22.5</v>
      </c>
      <c r="B546" t="s">
        <v>0</v>
      </c>
      <c r="C546">
        <v>1</v>
      </c>
      <c r="D546" t="s">
        <v>2</v>
      </c>
      <c r="E546">
        <v>2</v>
      </c>
      <c r="F546">
        <v>22.5</v>
      </c>
      <c r="G546">
        <v>4035.6603230000001</v>
      </c>
      <c r="H546">
        <v>2.0961E-2</v>
      </c>
      <c r="I546">
        <v>2</v>
      </c>
    </row>
    <row r="547" spans="1:9" x14ac:dyDescent="0.55000000000000004">
      <c r="A547" t="str">
        <f t="shared" si="8"/>
        <v>X-2-f-2-22.5</v>
      </c>
      <c r="B547" t="s">
        <v>0</v>
      </c>
      <c r="C547">
        <v>2</v>
      </c>
      <c r="D547" t="s">
        <v>1</v>
      </c>
      <c r="E547">
        <v>2</v>
      </c>
      <c r="F547">
        <v>22.5</v>
      </c>
      <c r="G547">
        <v>4186.445831</v>
      </c>
      <c r="H547">
        <v>5.7811000000000001E-2</v>
      </c>
      <c r="I547">
        <v>1</v>
      </c>
    </row>
    <row r="548" spans="1:9" x14ac:dyDescent="0.55000000000000004">
      <c r="A548" t="str">
        <f t="shared" si="8"/>
        <v>X-1-e-3-22.5</v>
      </c>
      <c r="B548" t="s">
        <v>0</v>
      </c>
      <c r="C548">
        <v>1</v>
      </c>
      <c r="D548" t="s">
        <v>2</v>
      </c>
      <c r="E548">
        <v>3</v>
      </c>
      <c r="F548">
        <v>22.5</v>
      </c>
      <c r="G548">
        <v>5098.9868299999998</v>
      </c>
      <c r="H548">
        <v>5.5787999999999997E-2</v>
      </c>
      <c r="I548">
        <v>2</v>
      </c>
    </row>
    <row r="549" spans="1:9" x14ac:dyDescent="0.55000000000000004">
      <c r="A549" t="str">
        <f t="shared" si="8"/>
        <v>X-2-f-3-22.5</v>
      </c>
      <c r="B549" t="s">
        <v>0</v>
      </c>
      <c r="C549">
        <v>2</v>
      </c>
      <c r="D549" t="s">
        <v>1</v>
      </c>
      <c r="E549">
        <v>3</v>
      </c>
      <c r="F549">
        <v>22.5</v>
      </c>
      <c r="G549">
        <v>5246.1231820000003</v>
      </c>
      <c r="H549">
        <v>2.3365E-2</v>
      </c>
      <c r="I549">
        <v>2</v>
      </c>
    </row>
    <row r="550" spans="1:9" x14ac:dyDescent="0.55000000000000004">
      <c r="A550" t="str">
        <f t="shared" si="8"/>
        <v>X-1-e-4-22.5</v>
      </c>
      <c r="B550" t="s">
        <v>0</v>
      </c>
      <c r="C550">
        <v>1</v>
      </c>
      <c r="D550" t="s">
        <v>2</v>
      </c>
      <c r="E550">
        <v>4</v>
      </c>
      <c r="F550">
        <v>22.5</v>
      </c>
      <c r="G550">
        <v>6127.3674279999996</v>
      </c>
      <c r="H550">
        <v>2.0961E-2</v>
      </c>
      <c r="I550">
        <v>2</v>
      </c>
    </row>
    <row r="551" spans="1:9" x14ac:dyDescent="0.55000000000000004">
      <c r="A551" t="str">
        <f t="shared" si="8"/>
        <v>A-1-f-0-22.5</v>
      </c>
      <c r="B551" t="s">
        <v>1121</v>
      </c>
      <c r="C551">
        <v>1</v>
      </c>
      <c r="D551" t="s">
        <v>1</v>
      </c>
      <c r="E551">
        <v>0</v>
      </c>
      <c r="F551">
        <v>22.5</v>
      </c>
      <c r="G551">
        <v>15228.876273</v>
      </c>
      <c r="H551">
        <v>5.2142000000000001E-2</v>
      </c>
      <c r="I551">
        <v>2</v>
      </c>
    </row>
    <row r="552" spans="1:9" x14ac:dyDescent="0.55000000000000004">
      <c r="A552" t="str">
        <f t="shared" si="8"/>
        <v>A-1-e-0-22.5</v>
      </c>
      <c r="B552" t="s">
        <v>1121</v>
      </c>
      <c r="C552">
        <v>1</v>
      </c>
      <c r="D552" t="s">
        <v>2</v>
      </c>
      <c r="E552">
        <v>0</v>
      </c>
      <c r="F552">
        <v>22.5</v>
      </c>
      <c r="G552">
        <v>15295.727553000001</v>
      </c>
      <c r="H552">
        <v>4.2716999999999998E-2</v>
      </c>
      <c r="I552">
        <v>2</v>
      </c>
    </row>
    <row r="553" spans="1:9" x14ac:dyDescent="0.55000000000000004">
      <c r="A553" t="str">
        <f t="shared" si="8"/>
        <v>A-2-f-0-22.5</v>
      </c>
      <c r="B553" t="s">
        <v>1121</v>
      </c>
      <c r="C553">
        <v>2</v>
      </c>
      <c r="D553" t="s">
        <v>1</v>
      </c>
      <c r="E553">
        <v>0</v>
      </c>
      <c r="F553">
        <v>22.5</v>
      </c>
      <c r="G553">
        <v>15559.206447</v>
      </c>
      <c r="H553">
        <v>3.2948999999999999E-2</v>
      </c>
      <c r="I553">
        <v>2</v>
      </c>
    </row>
    <row r="554" spans="1:9" x14ac:dyDescent="0.55000000000000004">
      <c r="A554" t="str">
        <f t="shared" si="8"/>
        <v>A-2-e-0-22.5</v>
      </c>
      <c r="B554" t="s">
        <v>1121</v>
      </c>
      <c r="C554">
        <v>2</v>
      </c>
      <c r="D554" t="s">
        <v>2</v>
      </c>
      <c r="E554">
        <v>0</v>
      </c>
      <c r="F554">
        <v>22.5</v>
      </c>
      <c r="G554">
        <v>15572.381617999999</v>
      </c>
      <c r="H554">
        <v>8.4571999999999994E-2</v>
      </c>
      <c r="I554">
        <v>2</v>
      </c>
    </row>
    <row r="555" spans="1:9" x14ac:dyDescent="0.55000000000000004">
      <c r="A555" t="str">
        <f t="shared" si="8"/>
        <v>B-1-e-0-22.5</v>
      </c>
      <c r="B555" t="s">
        <v>1515</v>
      </c>
      <c r="C555">
        <v>1</v>
      </c>
      <c r="D555" t="s">
        <v>2</v>
      </c>
      <c r="E555">
        <v>0</v>
      </c>
      <c r="F555">
        <v>22.5</v>
      </c>
      <c r="G555">
        <v>16211.316491</v>
      </c>
      <c r="H555">
        <v>3.5784000000000003E-2</v>
      </c>
      <c r="I555">
        <v>2</v>
      </c>
    </row>
    <row r="556" spans="1:9" x14ac:dyDescent="0.55000000000000004">
      <c r="A556" t="str">
        <f t="shared" si="8"/>
        <v>B-2-f-0-22.5</v>
      </c>
      <c r="B556" t="s">
        <v>1515</v>
      </c>
      <c r="C556">
        <v>2</v>
      </c>
      <c r="D556" t="s">
        <v>1</v>
      </c>
      <c r="E556">
        <v>0</v>
      </c>
      <c r="F556">
        <v>22.5</v>
      </c>
      <c r="G556">
        <v>16457.265052999999</v>
      </c>
      <c r="H556">
        <v>3.5487999999999999E-2</v>
      </c>
      <c r="I556">
        <v>2</v>
      </c>
    </row>
    <row r="557" spans="1:9" x14ac:dyDescent="0.55000000000000004">
      <c r="A557" t="str">
        <f t="shared" si="8"/>
        <v>B-1-e-1-22.5</v>
      </c>
      <c r="B557" t="s">
        <v>1515</v>
      </c>
      <c r="C557">
        <v>1</v>
      </c>
      <c r="D557" t="s">
        <v>2</v>
      </c>
      <c r="E557">
        <v>1</v>
      </c>
      <c r="F557">
        <v>22.5</v>
      </c>
      <c r="G557">
        <v>17357.711454</v>
      </c>
      <c r="H557">
        <v>4.9852E-2</v>
      </c>
      <c r="I557">
        <v>2</v>
      </c>
    </row>
    <row r="558" spans="1:9" x14ac:dyDescent="0.55000000000000004">
      <c r="A558" t="str">
        <f t="shared" si="8"/>
        <v>B-2-f-1-22.5</v>
      </c>
      <c r="B558" t="s">
        <v>1515</v>
      </c>
      <c r="C558">
        <v>2</v>
      </c>
      <c r="D558" t="s">
        <v>1</v>
      </c>
      <c r="E558">
        <v>1</v>
      </c>
      <c r="F558">
        <v>22.5</v>
      </c>
      <c r="G558">
        <v>17597.387480000001</v>
      </c>
      <c r="H558">
        <v>4.2360000000000002E-2</v>
      </c>
      <c r="I558">
        <v>2</v>
      </c>
    </row>
    <row r="559" spans="1:9" x14ac:dyDescent="0.55000000000000004">
      <c r="A559" t="str">
        <f t="shared" si="8"/>
        <v>E-1-f-0-22.5</v>
      </c>
      <c r="B559" t="s">
        <v>680</v>
      </c>
      <c r="C559">
        <v>1</v>
      </c>
      <c r="D559" t="s">
        <v>1</v>
      </c>
      <c r="E559">
        <v>0</v>
      </c>
      <c r="F559">
        <v>22.5</v>
      </c>
      <c r="G559">
        <v>20752.845312000001</v>
      </c>
      <c r="H559">
        <v>4.5961000000000002E-2</v>
      </c>
      <c r="I559">
        <v>2</v>
      </c>
    </row>
    <row r="560" spans="1:9" x14ac:dyDescent="0.55000000000000004">
      <c r="A560" t="str">
        <f t="shared" si="8"/>
        <v>E-1-e-0-22.5</v>
      </c>
      <c r="B560" t="s">
        <v>680</v>
      </c>
      <c r="C560">
        <v>1</v>
      </c>
      <c r="D560" t="s">
        <v>2</v>
      </c>
      <c r="E560">
        <v>0</v>
      </c>
      <c r="F560">
        <v>22.5</v>
      </c>
      <c r="G560">
        <v>20754.894645</v>
      </c>
      <c r="H560">
        <v>3.2006E-2</v>
      </c>
      <c r="I560">
        <v>2</v>
      </c>
    </row>
    <row r="561" spans="1:9" x14ac:dyDescent="0.55000000000000004">
      <c r="A561" t="str">
        <f t="shared" si="8"/>
        <v>E-2-e-0-22.5</v>
      </c>
      <c r="B561" t="s">
        <v>680</v>
      </c>
      <c r="C561">
        <v>2</v>
      </c>
      <c r="D561" t="s">
        <v>2</v>
      </c>
      <c r="E561">
        <v>0</v>
      </c>
      <c r="F561">
        <v>22.5</v>
      </c>
      <c r="G561">
        <v>20955.411182</v>
      </c>
      <c r="H561">
        <v>3.4372E-2</v>
      </c>
      <c r="I561">
        <v>2</v>
      </c>
    </row>
    <row r="562" spans="1:9" x14ac:dyDescent="0.55000000000000004">
      <c r="A562" t="str">
        <f t="shared" si="8"/>
        <v>E-2-f-0-22.5</v>
      </c>
      <c r="B562" t="s">
        <v>680</v>
      </c>
      <c r="C562">
        <v>2</v>
      </c>
      <c r="D562" t="s">
        <v>1</v>
      </c>
      <c r="E562">
        <v>0</v>
      </c>
      <c r="F562">
        <v>22.5</v>
      </c>
      <c r="G562">
        <v>20959.218637000002</v>
      </c>
      <c r="H562">
        <v>2.7949000000000002E-2</v>
      </c>
      <c r="I562">
        <v>2</v>
      </c>
    </row>
    <row r="563" spans="1:9" x14ac:dyDescent="0.55000000000000004">
      <c r="A563" t="str">
        <f t="shared" si="8"/>
        <v>E-1-f-1-22.5</v>
      </c>
      <c r="B563" t="s">
        <v>680</v>
      </c>
      <c r="C563">
        <v>1</v>
      </c>
      <c r="D563" t="s">
        <v>1</v>
      </c>
      <c r="E563">
        <v>1</v>
      </c>
      <c r="F563">
        <v>22.5</v>
      </c>
      <c r="G563">
        <v>21867.080344000002</v>
      </c>
      <c r="H563">
        <v>3.1784E-2</v>
      </c>
      <c r="I563">
        <v>2</v>
      </c>
    </row>
    <row r="564" spans="1:9" x14ac:dyDescent="0.55000000000000004">
      <c r="A564" t="str">
        <f t="shared" si="8"/>
        <v>X-1-e-0-23.5</v>
      </c>
      <c r="B564" t="s">
        <v>0</v>
      </c>
      <c r="C564">
        <v>1</v>
      </c>
      <c r="D564" t="s">
        <v>2</v>
      </c>
      <c r="E564">
        <v>0</v>
      </c>
      <c r="F564">
        <v>23.5</v>
      </c>
      <c r="G564">
        <v>1966.333748</v>
      </c>
      <c r="H564">
        <v>2.7784E-2</v>
      </c>
      <c r="I564">
        <v>2</v>
      </c>
    </row>
    <row r="565" spans="1:9" x14ac:dyDescent="0.55000000000000004">
      <c r="A565" t="str">
        <f t="shared" si="8"/>
        <v>X-2-f-0-23.5</v>
      </c>
      <c r="B565" t="s">
        <v>0</v>
      </c>
      <c r="C565">
        <v>2</v>
      </c>
      <c r="D565" t="s">
        <v>1</v>
      </c>
      <c r="E565">
        <v>0</v>
      </c>
      <c r="F565">
        <v>23.5</v>
      </c>
      <c r="G565">
        <v>2130.6050530000002</v>
      </c>
      <c r="H565">
        <v>2.5488E-2</v>
      </c>
      <c r="I565">
        <v>2</v>
      </c>
    </row>
    <row r="566" spans="1:9" x14ac:dyDescent="0.55000000000000004">
      <c r="A566" t="str">
        <f t="shared" si="8"/>
        <v>X-1-e-1-23.5</v>
      </c>
      <c r="B566" t="s">
        <v>0</v>
      </c>
      <c r="C566">
        <v>1</v>
      </c>
      <c r="D566" t="s">
        <v>2</v>
      </c>
      <c r="E566">
        <v>1</v>
      </c>
      <c r="F566">
        <v>23.5</v>
      </c>
      <c r="G566">
        <v>3094.848943</v>
      </c>
      <c r="H566">
        <v>2.2960999999999999E-2</v>
      </c>
      <c r="I566">
        <v>2</v>
      </c>
    </row>
    <row r="567" spans="1:9" x14ac:dyDescent="0.55000000000000004">
      <c r="A567" t="str">
        <f t="shared" si="8"/>
        <v>X-2-f-1-23.5</v>
      </c>
      <c r="B567" t="s">
        <v>0</v>
      </c>
      <c r="C567">
        <v>2</v>
      </c>
      <c r="D567" t="s">
        <v>1</v>
      </c>
      <c r="E567">
        <v>1</v>
      </c>
      <c r="F567">
        <v>23.5</v>
      </c>
      <c r="G567">
        <v>3255.3874799999999</v>
      </c>
      <c r="H567">
        <v>3.236E-2</v>
      </c>
      <c r="I567">
        <v>1</v>
      </c>
    </row>
    <row r="568" spans="1:9" x14ac:dyDescent="0.55000000000000004">
      <c r="A568" t="str">
        <f t="shared" si="8"/>
        <v>X-1-e-2-23.5</v>
      </c>
      <c r="B568" t="s">
        <v>0</v>
      </c>
      <c r="C568">
        <v>1</v>
      </c>
      <c r="D568" t="s">
        <v>2</v>
      </c>
      <c r="E568">
        <v>2</v>
      </c>
      <c r="F568">
        <v>23.5</v>
      </c>
      <c r="G568">
        <v>4189.0093260000003</v>
      </c>
      <c r="H568">
        <v>6.3483999999999999E-2</v>
      </c>
      <c r="I568">
        <v>1</v>
      </c>
    </row>
    <row r="569" spans="1:9" x14ac:dyDescent="0.55000000000000004">
      <c r="A569" t="str">
        <f t="shared" si="8"/>
        <v>X-2-f-2-23.5</v>
      </c>
      <c r="B569" t="s">
        <v>0</v>
      </c>
      <c r="C569">
        <v>2</v>
      </c>
      <c r="D569" t="s">
        <v>1</v>
      </c>
      <c r="E569">
        <v>2</v>
      </c>
      <c r="F569">
        <v>23.5</v>
      </c>
      <c r="G569">
        <v>4345.7739979999997</v>
      </c>
      <c r="H569">
        <v>2.4948999999999999E-2</v>
      </c>
      <c r="I569">
        <v>1</v>
      </c>
    </row>
    <row r="570" spans="1:9" x14ac:dyDescent="0.55000000000000004">
      <c r="A570" t="str">
        <f t="shared" si="8"/>
        <v>X-1-e-3-23.5</v>
      </c>
      <c r="B570" t="s">
        <v>0</v>
      </c>
      <c r="C570">
        <v>1</v>
      </c>
      <c r="D570" t="s">
        <v>2</v>
      </c>
      <c r="E570">
        <v>3</v>
      </c>
      <c r="F570">
        <v>23.5</v>
      </c>
      <c r="G570">
        <v>5248.5985229999997</v>
      </c>
      <c r="H570">
        <v>2.1961000000000001E-2</v>
      </c>
      <c r="I570">
        <v>1</v>
      </c>
    </row>
    <row r="571" spans="1:9" x14ac:dyDescent="0.55000000000000004">
      <c r="A571" t="str">
        <f t="shared" si="8"/>
        <v>A-1-f-0-23.5</v>
      </c>
      <c r="B571" t="s">
        <v>1121</v>
      </c>
      <c r="C571">
        <v>1</v>
      </c>
      <c r="D571" t="s">
        <v>1</v>
      </c>
      <c r="E571">
        <v>0</v>
      </c>
      <c r="F571">
        <v>23.5</v>
      </c>
      <c r="G571">
        <v>15393.985914999999</v>
      </c>
      <c r="H571">
        <v>5.3504999999999997E-2</v>
      </c>
      <c r="I571">
        <v>1</v>
      </c>
    </row>
    <row r="572" spans="1:9" x14ac:dyDescent="0.55000000000000004">
      <c r="A572" t="str">
        <f t="shared" si="8"/>
        <v>A-1-e-0-23.5</v>
      </c>
      <c r="B572" t="s">
        <v>1121</v>
      </c>
      <c r="C572">
        <v>1</v>
      </c>
      <c r="D572" t="s">
        <v>2</v>
      </c>
      <c r="E572">
        <v>0</v>
      </c>
      <c r="F572">
        <v>23.5</v>
      </c>
      <c r="G572">
        <v>15461.589905000001</v>
      </c>
      <c r="H572">
        <v>3.3960999999999998E-2</v>
      </c>
      <c r="I572">
        <v>1</v>
      </c>
    </row>
    <row r="573" spans="1:9" x14ac:dyDescent="0.55000000000000004">
      <c r="A573" t="str">
        <f t="shared" si="8"/>
        <v>A-2-f-0-23.5</v>
      </c>
      <c r="B573" t="s">
        <v>1121</v>
      </c>
      <c r="C573">
        <v>2</v>
      </c>
      <c r="D573" t="s">
        <v>1</v>
      </c>
      <c r="E573">
        <v>0</v>
      </c>
      <c r="F573">
        <v>23.5</v>
      </c>
      <c r="G573">
        <v>15725.291028</v>
      </c>
      <c r="H573">
        <v>4.2827999999999998E-2</v>
      </c>
      <c r="I573">
        <v>1</v>
      </c>
    </row>
    <row r="574" spans="1:9" x14ac:dyDescent="0.55000000000000004">
      <c r="A574" t="str">
        <f t="shared" si="8"/>
        <v>A-2-e-0-23.5</v>
      </c>
      <c r="B574" t="s">
        <v>1121</v>
      </c>
      <c r="C574">
        <v>2</v>
      </c>
      <c r="D574" t="s">
        <v>2</v>
      </c>
      <c r="E574">
        <v>0</v>
      </c>
      <c r="F574">
        <v>23.5</v>
      </c>
      <c r="G574">
        <v>15740.269302999999</v>
      </c>
      <c r="H574">
        <v>9.8928000000000002E-2</v>
      </c>
      <c r="I574">
        <v>1</v>
      </c>
    </row>
    <row r="575" spans="1:9" x14ac:dyDescent="0.55000000000000004">
      <c r="A575" t="str">
        <f t="shared" si="8"/>
        <v>B-1-e-0-23.5</v>
      </c>
      <c r="B575" t="s">
        <v>1515</v>
      </c>
      <c r="C575">
        <v>1</v>
      </c>
      <c r="D575" t="s">
        <v>2</v>
      </c>
      <c r="E575">
        <v>0</v>
      </c>
      <c r="F575">
        <v>23.5</v>
      </c>
      <c r="G575">
        <v>16378.476791999999</v>
      </c>
      <c r="H575">
        <v>3.9771000000000001E-2</v>
      </c>
      <c r="I575">
        <v>1</v>
      </c>
    </row>
    <row r="576" spans="1:9" x14ac:dyDescent="0.55000000000000004">
      <c r="A576" t="str">
        <f t="shared" si="8"/>
        <v>B-2-f-0-23.5</v>
      </c>
      <c r="B576" t="s">
        <v>1515</v>
      </c>
      <c r="C576">
        <v>2</v>
      </c>
      <c r="D576" t="s">
        <v>1</v>
      </c>
      <c r="E576">
        <v>0</v>
      </c>
      <c r="F576">
        <v>23.5</v>
      </c>
      <c r="G576">
        <v>16633.398981999999</v>
      </c>
      <c r="H576">
        <v>4.3360000000000003E-2</v>
      </c>
      <c r="I576">
        <v>1</v>
      </c>
    </row>
    <row r="577" spans="1:9" x14ac:dyDescent="0.55000000000000004">
      <c r="A577" t="str">
        <f t="shared" si="8"/>
        <v>B-1-e-1-23.5</v>
      </c>
      <c r="B577" t="s">
        <v>1515</v>
      </c>
      <c r="C577">
        <v>1</v>
      </c>
      <c r="D577" t="s">
        <v>2</v>
      </c>
      <c r="E577">
        <v>1</v>
      </c>
      <c r="F577">
        <v>23.5</v>
      </c>
      <c r="G577">
        <v>17520.492426000001</v>
      </c>
      <c r="H577">
        <v>4.3517E-2</v>
      </c>
      <c r="I577">
        <v>1</v>
      </c>
    </row>
    <row r="578" spans="1:9" x14ac:dyDescent="0.55000000000000004">
      <c r="A578" t="str">
        <f t="shared" si="8"/>
        <v>B-2-f-1-23.5</v>
      </c>
      <c r="B578" t="s">
        <v>1515</v>
      </c>
      <c r="C578">
        <v>2</v>
      </c>
      <c r="D578" t="s">
        <v>1</v>
      </c>
      <c r="E578">
        <v>1</v>
      </c>
      <c r="F578">
        <v>23.5</v>
      </c>
      <c r="G578">
        <v>17768.468239000002</v>
      </c>
      <c r="H578">
        <v>3.5949000000000002E-2</v>
      </c>
      <c r="I578">
        <v>1</v>
      </c>
    </row>
    <row r="579" spans="1:9" x14ac:dyDescent="0.55000000000000004">
      <c r="A579" t="str">
        <f t="shared" ref="A579:A642" si="9">B579&amp;"-"&amp;C579&amp;"-"&amp;D579&amp;"-"&amp;E579&amp;"-"&amp;F579</f>
        <v>E-1-f-0-23.5</v>
      </c>
      <c r="B579" t="s">
        <v>680</v>
      </c>
      <c r="C579">
        <v>1</v>
      </c>
      <c r="D579" t="s">
        <v>1</v>
      </c>
      <c r="E579">
        <v>0</v>
      </c>
      <c r="F579">
        <v>23.5</v>
      </c>
      <c r="G579">
        <v>20918.294067999999</v>
      </c>
      <c r="H579">
        <v>5.2783999999999998E-2</v>
      </c>
      <c r="I579">
        <v>1</v>
      </c>
    </row>
    <row r="580" spans="1:9" x14ac:dyDescent="0.55000000000000004">
      <c r="A580" t="str">
        <f t="shared" si="9"/>
        <v>E-1-e-0-23.5</v>
      </c>
      <c r="B580" t="s">
        <v>680</v>
      </c>
      <c r="C580">
        <v>1</v>
      </c>
      <c r="D580" t="s">
        <v>2</v>
      </c>
      <c r="E580">
        <v>0</v>
      </c>
      <c r="F580">
        <v>23.5</v>
      </c>
      <c r="G580">
        <v>20920.616137000001</v>
      </c>
      <c r="H580">
        <v>2.5961000000000001E-2</v>
      </c>
      <c r="I580">
        <v>2</v>
      </c>
    </row>
    <row r="581" spans="1:9" x14ac:dyDescent="0.55000000000000004">
      <c r="A581" t="str">
        <f t="shared" si="9"/>
        <v>E-2-e-0-23.5</v>
      </c>
      <c r="B581" t="s">
        <v>680</v>
      </c>
      <c r="C581">
        <v>2</v>
      </c>
      <c r="D581" t="s">
        <v>2</v>
      </c>
      <c r="E581">
        <v>0</v>
      </c>
      <c r="F581">
        <v>23.5</v>
      </c>
      <c r="G581">
        <v>21126.806743000001</v>
      </c>
      <c r="H581">
        <v>3.0488000000000001E-2</v>
      </c>
      <c r="I581">
        <v>2</v>
      </c>
    </row>
    <row r="582" spans="1:9" x14ac:dyDescent="0.55000000000000004">
      <c r="A582" t="str">
        <f t="shared" si="9"/>
        <v>E-2-f-0-23.5</v>
      </c>
      <c r="B582" t="s">
        <v>680</v>
      </c>
      <c r="C582">
        <v>2</v>
      </c>
      <c r="D582" t="s">
        <v>1</v>
      </c>
      <c r="E582">
        <v>0</v>
      </c>
      <c r="F582">
        <v>23.5</v>
      </c>
      <c r="G582">
        <v>21130.937776999999</v>
      </c>
      <c r="H582">
        <v>3.7634000000000001E-2</v>
      </c>
      <c r="I582">
        <v>2</v>
      </c>
    </row>
    <row r="583" spans="1:9" x14ac:dyDescent="0.55000000000000004">
      <c r="A583" t="str">
        <f t="shared" si="9"/>
        <v>E-1-f-1-23.5</v>
      </c>
      <c r="B583" t="s">
        <v>680</v>
      </c>
      <c r="C583">
        <v>1</v>
      </c>
      <c r="D583" t="s">
        <v>1</v>
      </c>
      <c r="E583">
        <v>1</v>
      </c>
      <c r="F583">
        <v>23.5</v>
      </c>
      <c r="G583">
        <v>22027.855922999999</v>
      </c>
      <c r="H583">
        <v>2.7961E-2</v>
      </c>
      <c r="I583">
        <v>3</v>
      </c>
    </row>
    <row r="584" spans="1:9" x14ac:dyDescent="0.55000000000000004">
      <c r="A584" t="str">
        <f t="shared" si="9"/>
        <v>X-1-e-0-24.5</v>
      </c>
      <c r="B584" t="s">
        <v>0</v>
      </c>
      <c r="C584">
        <v>1</v>
      </c>
      <c r="D584" t="s">
        <v>2</v>
      </c>
      <c r="E584">
        <v>0</v>
      </c>
      <c r="F584">
        <v>24.5</v>
      </c>
      <c r="G584">
        <v>2133.4700320000002</v>
      </c>
      <c r="H584">
        <v>2.3961E-2</v>
      </c>
      <c r="I584">
        <v>3</v>
      </c>
    </row>
    <row r="585" spans="1:9" x14ac:dyDescent="0.55000000000000004">
      <c r="A585" t="str">
        <f t="shared" si="9"/>
        <v>X-2-f-0-24.5</v>
      </c>
      <c r="B585" t="s">
        <v>0</v>
      </c>
      <c r="C585">
        <v>2</v>
      </c>
      <c r="D585" t="s">
        <v>1</v>
      </c>
      <c r="E585">
        <v>0</v>
      </c>
      <c r="F585">
        <v>24.5</v>
      </c>
      <c r="G585">
        <v>2303.9789820000001</v>
      </c>
      <c r="H585">
        <v>3.3360000000000001E-2</v>
      </c>
      <c r="I585">
        <v>2</v>
      </c>
    </row>
    <row r="586" spans="1:9" x14ac:dyDescent="0.55000000000000004">
      <c r="A586" t="str">
        <f t="shared" si="9"/>
        <v>X-1-e-1-24.5</v>
      </c>
      <c r="B586" t="s">
        <v>0</v>
      </c>
      <c r="C586">
        <v>1</v>
      </c>
      <c r="D586" t="s">
        <v>2</v>
      </c>
      <c r="E586">
        <v>1</v>
      </c>
      <c r="F586">
        <v>24.5</v>
      </c>
      <c r="G586">
        <v>3258.1464369999999</v>
      </c>
      <c r="H586">
        <v>3.0355E-2</v>
      </c>
      <c r="I586">
        <v>3</v>
      </c>
    </row>
    <row r="587" spans="1:9" x14ac:dyDescent="0.55000000000000004">
      <c r="A587" t="str">
        <f t="shared" si="9"/>
        <v>X-2-f-1-24.5</v>
      </c>
      <c r="B587" t="s">
        <v>0</v>
      </c>
      <c r="C587">
        <v>2</v>
      </c>
      <c r="D587" t="s">
        <v>1</v>
      </c>
      <c r="E587">
        <v>1</v>
      </c>
      <c r="F587">
        <v>24.5</v>
      </c>
      <c r="G587">
        <v>3424.748239</v>
      </c>
      <c r="H587">
        <v>2.5949E-2</v>
      </c>
      <c r="I587">
        <v>3</v>
      </c>
    </row>
    <row r="588" spans="1:9" x14ac:dyDescent="0.55000000000000004">
      <c r="A588" t="str">
        <f t="shared" si="9"/>
        <v>X-1-e-2-24.5</v>
      </c>
      <c r="B588" t="s">
        <v>0</v>
      </c>
      <c r="C588">
        <v>1</v>
      </c>
      <c r="D588" t="s">
        <v>2</v>
      </c>
      <c r="E588">
        <v>2</v>
      </c>
      <c r="F588">
        <v>24.5</v>
      </c>
      <c r="G588">
        <v>4348.4428749999997</v>
      </c>
      <c r="H588">
        <v>3.0221000000000001E-2</v>
      </c>
      <c r="I588">
        <v>3</v>
      </c>
    </row>
    <row r="589" spans="1:9" x14ac:dyDescent="0.55000000000000004">
      <c r="A589" t="str">
        <f t="shared" si="9"/>
        <v>X-2-f-2-24.5</v>
      </c>
      <c r="B589" t="s">
        <v>0</v>
      </c>
      <c r="C589">
        <v>2</v>
      </c>
      <c r="D589" t="s">
        <v>1</v>
      </c>
      <c r="E589">
        <v>2</v>
      </c>
      <c r="F589">
        <v>24.5</v>
      </c>
      <c r="G589">
        <v>4511.1268440000003</v>
      </c>
      <c r="H589">
        <v>4.616E-2</v>
      </c>
      <c r="I589">
        <v>3</v>
      </c>
    </row>
    <row r="590" spans="1:9" x14ac:dyDescent="0.55000000000000004">
      <c r="A590" t="str">
        <f t="shared" si="9"/>
        <v>X-1-e-3-24.5</v>
      </c>
      <c r="B590" t="s">
        <v>0</v>
      </c>
      <c r="C590">
        <v>1</v>
      </c>
      <c r="D590" t="s">
        <v>2</v>
      </c>
      <c r="E590">
        <v>3</v>
      </c>
      <c r="F590">
        <v>24.5</v>
      </c>
      <c r="G590">
        <v>5404.1299259999996</v>
      </c>
      <c r="H590">
        <v>6.4484E-2</v>
      </c>
      <c r="I590">
        <v>3</v>
      </c>
    </row>
    <row r="591" spans="1:9" x14ac:dyDescent="0.55000000000000004">
      <c r="A591" t="str">
        <f t="shared" si="9"/>
        <v>A-1-f-0-24.5</v>
      </c>
      <c r="B591" t="s">
        <v>1121</v>
      </c>
      <c r="C591">
        <v>1</v>
      </c>
      <c r="D591" t="s">
        <v>1</v>
      </c>
      <c r="E591">
        <v>0</v>
      </c>
      <c r="F591">
        <v>24.5</v>
      </c>
      <c r="G591">
        <v>15565.702542999999</v>
      </c>
      <c r="H591">
        <v>4.2695999999999998E-2</v>
      </c>
      <c r="I591">
        <v>3</v>
      </c>
    </row>
    <row r="592" spans="1:9" x14ac:dyDescent="0.55000000000000004">
      <c r="A592" t="str">
        <f t="shared" si="9"/>
        <v>A-1-e-0-24.5</v>
      </c>
      <c r="B592" t="s">
        <v>1121</v>
      </c>
      <c r="C592">
        <v>1</v>
      </c>
      <c r="D592" t="s">
        <v>2</v>
      </c>
      <c r="E592">
        <v>0</v>
      </c>
      <c r="F592">
        <v>24.5</v>
      </c>
      <c r="G592">
        <v>15633.817811000001</v>
      </c>
      <c r="H592">
        <v>4.3221999999999997E-2</v>
      </c>
      <c r="I592">
        <v>3</v>
      </c>
    </row>
    <row r="593" spans="1:9" x14ac:dyDescent="0.55000000000000004">
      <c r="A593" t="str">
        <f t="shared" si="9"/>
        <v>A-2-f-0-24.5</v>
      </c>
      <c r="B593" t="s">
        <v>1121</v>
      </c>
      <c r="C593">
        <v>2</v>
      </c>
      <c r="D593" t="s">
        <v>1</v>
      </c>
      <c r="E593">
        <v>0</v>
      </c>
      <c r="F593">
        <v>24.5</v>
      </c>
      <c r="G593">
        <v>15897.941897000001</v>
      </c>
      <c r="H593">
        <v>0.28719499999999998</v>
      </c>
      <c r="I593">
        <v>3</v>
      </c>
    </row>
    <row r="594" spans="1:9" x14ac:dyDescent="0.55000000000000004">
      <c r="A594" t="str">
        <f t="shared" si="9"/>
        <v>A-2-e-0-24.5</v>
      </c>
      <c r="B594" t="s">
        <v>1121</v>
      </c>
      <c r="C594">
        <v>2</v>
      </c>
      <c r="D594" t="s">
        <v>2</v>
      </c>
      <c r="E594">
        <v>0</v>
      </c>
      <c r="F594">
        <v>24.5</v>
      </c>
      <c r="G594">
        <v>15914.941365000001</v>
      </c>
      <c r="H594">
        <v>0.122656</v>
      </c>
      <c r="I594">
        <v>3</v>
      </c>
    </row>
    <row r="595" spans="1:9" x14ac:dyDescent="0.55000000000000004">
      <c r="A595" t="str">
        <f t="shared" si="9"/>
        <v>B-1-e-0-24.5</v>
      </c>
      <c r="B595" t="s">
        <v>1515</v>
      </c>
      <c r="C595">
        <v>1</v>
      </c>
      <c r="D595" t="s">
        <v>2</v>
      </c>
      <c r="E595">
        <v>0</v>
      </c>
      <c r="F595">
        <v>24.5</v>
      </c>
      <c r="G595">
        <v>16552.287325000001</v>
      </c>
      <c r="H595">
        <v>0.11032</v>
      </c>
      <c r="I595">
        <v>3</v>
      </c>
    </row>
    <row r="596" spans="1:9" x14ac:dyDescent="0.55000000000000004">
      <c r="A596" t="str">
        <f t="shared" si="9"/>
        <v>B-2-f-0-24.5</v>
      </c>
      <c r="B596" t="s">
        <v>1515</v>
      </c>
      <c r="C596">
        <v>2</v>
      </c>
      <c r="D596" t="s">
        <v>1</v>
      </c>
      <c r="E596">
        <v>0</v>
      </c>
      <c r="F596">
        <v>24.5</v>
      </c>
      <c r="G596">
        <v>16815.774128000001</v>
      </c>
      <c r="H596">
        <v>3.6949000000000003E-2</v>
      </c>
      <c r="I596">
        <v>2</v>
      </c>
    </row>
    <row r="597" spans="1:9" x14ac:dyDescent="0.55000000000000004">
      <c r="A597" t="str">
        <f t="shared" si="9"/>
        <v>B-1-e-1-24.5</v>
      </c>
      <c r="B597" t="s">
        <v>1515</v>
      </c>
      <c r="C597">
        <v>1</v>
      </c>
      <c r="D597" t="s">
        <v>2</v>
      </c>
      <c r="E597">
        <v>1</v>
      </c>
      <c r="F597">
        <v>24.5</v>
      </c>
      <c r="G597">
        <v>17689.905870999999</v>
      </c>
      <c r="H597">
        <v>6.2864000000000003E-2</v>
      </c>
      <c r="I597">
        <v>3</v>
      </c>
    </row>
    <row r="598" spans="1:9" x14ac:dyDescent="0.55000000000000004">
      <c r="A598" t="str">
        <f t="shared" si="9"/>
        <v>B-2-f-1-24.5</v>
      </c>
      <c r="B598" t="s">
        <v>1515</v>
      </c>
      <c r="C598">
        <v>2</v>
      </c>
      <c r="D598" t="s">
        <v>1</v>
      </c>
      <c r="E598">
        <v>1</v>
      </c>
      <c r="F598">
        <v>24.5</v>
      </c>
      <c r="G598">
        <v>17945.508506999999</v>
      </c>
      <c r="H598">
        <v>4.836E-2</v>
      </c>
      <c r="I598">
        <v>3</v>
      </c>
    </row>
    <row r="599" spans="1:9" x14ac:dyDescent="0.55000000000000004">
      <c r="A599" t="str">
        <f t="shared" si="9"/>
        <v>E-1-e-0-24.5</v>
      </c>
      <c r="B599" t="s">
        <v>680</v>
      </c>
      <c r="C599">
        <v>1</v>
      </c>
      <c r="D599" t="s">
        <v>2</v>
      </c>
      <c r="E599">
        <v>0</v>
      </c>
      <c r="F599">
        <v>24.5</v>
      </c>
      <c r="G599">
        <v>21092.835421</v>
      </c>
      <c r="H599">
        <v>3.2784000000000001E-2</v>
      </c>
      <c r="I599">
        <v>3</v>
      </c>
    </row>
    <row r="600" spans="1:9" x14ac:dyDescent="0.55000000000000004">
      <c r="A600" t="str">
        <f t="shared" si="9"/>
        <v>E-2-e-0-24.5</v>
      </c>
      <c r="B600" t="s">
        <v>680</v>
      </c>
      <c r="C600">
        <v>2</v>
      </c>
      <c r="D600" t="s">
        <v>2</v>
      </c>
      <c r="E600">
        <v>0</v>
      </c>
      <c r="F600">
        <v>24.5</v>
      </c>
      <c r="G600">
        <v>21304.668162000002</v>
      </c>
      <c r="H600">
        <v>3.8359999999999998E-2</v>
      </c>
      <c r="I600">
        <v>3</v>
      </c>
    </row>
    <row r="601" spans="1:9" x14ac:dyDescent="0.55000000000000004">
      <c r="A601" t="str">
        <f t="shared" si="9"/>
        <v>E-2-f-0-24.5</v>
      </c>
      <c r="B601" t="s">
        <v>680</v>
      </c>
      <c r="C601">
        <v>2</v>
      </c>
      <c r="D601" t="s">
        <v>1</v>
      </c>
      <c r="E601">
        <v>0</v>
      </c>
      <c r="F601">
        <v>24.5</v>
      </c>
      <c r="G601">
        <v>21309.123070000001</v>
      </c>
      <c r="H601">
        <v>3.0488000000000001E-2</v>
      </c>
      <c r="I601">
        <v>3</v>
      </c>
    </row>
    <row r="602" spans="1:9" x14ac:dyDescent="0.55000000000000004">
      <c r="A602" t="str">
        <f t="shared" si="9"/>
        <v>E-1-f-1-24.5</v>
      </c>
      <c r="B602" t="s">
        <v>680</v>
      </c>
      <c r="C602">
        <v>1</v>
      </c>
      <c r="D602" t="s">
        <v>1</v>
      </c>
      <c r="E602">
        <v>1</v>
      </c>
      <c r="F602">
        <v>24.5</v>
      </c>
      <c r="G602">
        <v>22194.874597000002</v>
      </c>
      <c r="H602">
        <v>3.5354999999999998E-2</v>
      </c>
      <c r="I602">
        <v>3</v>
      </c>
    </row>
    <row r="603" spans="1:9" x14ac:dyDescent="0.55000000000000004">
      <c r="A603" t="str">
        <f t="shared" si="9"/>
        <v>X-1-e-0-25.5</v>
      </c>
      <c r="B603" t="s">
        <v>0</v>
      </c>
      <c r="C603">
        <v>1</v>
      </c>
      <c r="D603" t="s">
        <v>2</v>
      </c>
      <c r="E603">
        <v>0</v>
      </c>
      <c r="F603">
        <v>25.5</v>
      </c>
      <c r="G603">
        <v>2306.9409019999998</v>
      </c>
      <c r="H603">
        <v>3.1355000000000001E-2</v>
      </c>
      <c r="I603">
        <v>3</v>
      </c>
    </row>
    <row r="604" spans="1:9" x14ac:dyDescent="0.55000000000000004">
      <c r="A604" t="str">
        <f t="shared" si="9"/>
        <v>X-2-f-0-25.5</v>
      </c>
      <c r="B604" t="s">
        <v>0</v>
      </c>
      <c r="C604">
        <v>2</v>
      </c>
      <c r="D604" t="s">
        <v>1</v>
      </c>
      <c r="E604">
        <v>0</v>
      </c>
      <c r="F604">
        <v>25.5</v>
      </c>
      <c r="G604">
        <v>2483.5941280000002</v>
      </c>
      <c r="H604">
        <v>2.6949000000000001E-2</v>
      </c>
      <c r="I604">
        <v>3</v>
      </c>
    </row>
    <row r="605" spans="1:9" x14ac:dyDescent="0.55000000000000004">
      <c r="A605" t="str">
        <f t="shared" si="9"/>
        <v>X-1-e-1-25.5</v>
      </c>
      <c r="B605" t="s">
        <v>0</v>
      </c>
      <c r="C605">
        <v>1</v>
      </c>
      <c r="D605" t="s">
        <v>2</v>
      </c>
      <c r="E605">
        <v>1</v>
      </c>
      <c r="F605">
        <v>25.5</v>
      </c>
      <c r="G605">
        <v>3427.612799</v>
      </c>
      <c r="H605">
        <v>2.5961000000000001E-2</v>
      </c>
      <c r="I605">
        <v>3</v>
      </c>
    </row>
    <row r="606" spans="1:9" x14ac:dyDescent="0.55000000000000004">
      <c r="A606" t="str">
        <f t="shared" si="9"/>
        <v>X-2-f-1-25.5</v>
      </c>
      <c r="B606" t="s">
        <v>0</v>
      </c>
      <c r="C606">
        <v>2</v>
      </c>
      <c r="D606" t="s">
        <v>1</v>
      </c>
      <c r="E606">
        <v>1</v>
      </c>
      <c r="F606">
        <v>25.5</v>
      </c>
      <c r="G606">
        <v>3600.218507</v>
      </c>
      <c r="H606">
        <v>3.8359999999999998E-2</v>
      </c>
      <c r="I606">
        <v>3</v>
      </c>
    </row>
    <row r="607" spans="1:9" x14ac:dyDescent="0.55000000000000004">
      <c r="A607" t="str">
        <f t="shared" si="9"/>
        <v>X-1-e-2-25.5</v>
      </c>
      <c r="B607" t="s">
        <v>0</v>
      </c>
      <c r="C607">
        <v>1</v>
      </c>
      <c r="D607" t="s">
        <v>2</v>
      </c>
      <c r="E607">
        <v>2</v>
      </c>
      <c r="F607">
        <v>25.5</v>
      </c>
      <c r="G607">
        <v>4513.8858659999996</v>
      </c>
      <c r="H607">
        <v>5.3554999999999998E-2</v>
      </c>
      <c r="I607">
        <v>3</v>
      </c>
    </row>
    <row r="608" spans="1:9" x14ac:dyDescent="0.55000000000000004">
      <c r="A608" t="str">
        <f t="shared" si="9"/>
        <v>X-2-f-2-25.5</v>
      </c>
      <c r="B608" t="s">
        <v>0</v>
      </c>
      <c r="C608">
        <v>2</v>
      </c>
      <c r="D608" t="s">
        <v>1</v>
      </c>
      <c r="E608">
        <v>2</v>
      </c>
      <c r="F608">
        <v>25.5</v>
      </c>
      <c r="G608">
        <v>4682.4020410000003</v>
      </c>
      <c r="H608">
        <v>2.8948999999999999E-2</v>
      </c>
      <c r="I608">
        <v>3</v>
      </c>
    </row>
    <row r="609" spans="1:9" x14ac:dyDescent="0.55000000000000004">
      <c r="A609" t="str">
        <f t="shared" si="9"/>
        <v>X-1-e-3-25.5</v>
      </c>
      <c r="B609" t="s">
        <v>0</v>
      </c>
      <c r="C609">
        <v>1</v>
      </c>
      <c r="D609" t="s">
        <v>2</v>
      </c>
      <c r="E609">
        <v>3</v>
      </c>
      <c r="F609">
        <v>25.5</v>
      </c>
      <c r="G609">
        <v>5565.5091750000001</v>
      </c>
      <c r="H609">
        <v>3.1220999999999999E-2</v>
      </c>
      <c r="I609">
        <v>3</v>
      </c>
    </row>
    <row r="610" spans="1:9" x14ac:dyDescent="0.55000000000000004">
      <c r="A610" t="str">
        <f t="shared" si="9"/>
        <v>X-1-e-4-25.5</v>
      </c>
      <c r="B610" t="s">
        <v>0</v>
      </c>
      <c r="C610">
        <v>1</v>
      </c>
      <c r="D610" t="s">
        <v>2</v>
      </c>
      <c r="E610">
        <v>4</v>
      </c>
      <c r="F610">
        <v>25.5</v>
      </c>
      <c r="G610">
        <v>6582.0201260000003</v>
      </c>
      <c r="H610">
        <v>6.5484000000000001E-2</v>
      </c>
      <c r="I610">
        <v>3</v>
      </c>
    </row>
    <row r="611" spans="1:9" x14ac:dyDescent="0.55000000000000004">
      <c r="A611" t="str">
        <f t="shared" si="9"/>
        <v>A-1-f-0-25.5</v>
      </c>
      <c r="B611" t="s">
        <v>1121</v>
      </c>
      <c r="C611">
        <v>1</v>
      </c>
      <c r="D611" t="s">
        <v>1</v>
      </c>
      <c r="E611">
        <v>0</v>
      </c>
      <c r="F611">
        <v>25.5</v>
      </c>
      <c r="G611">
        <v>15743.869941999999</v>
      </c>
      <c r="H611">
        <v>6.4491000000000007E-2</v>
      </c>
      <c r="I611">
        <v>3</v>
      </c>
    </row>
    <row r="612" spans="1:9" x14ac:dyDescent="0.55000000000000004">
      <c r="A612" t="str">
        <f t="shared" si="9"/>
        <v>A-1-e-0-25.5</v>
      </c>
      <c r="B612" t="s">
        <v>1121</v>
      </c>
      <c r="C612">
        <v>1</v>
      </c>
      <c r="D612" t="s">
        <v>2</v>
      </c>
      <c r="E612">
        <v>0</v>
      </c>
      <c r="F612">
        <v>25.5</v>
      </c>
      <c r="G612">
        <v>15812.223973</v>
      </c>
      <c r="H612">
        <v>3.6961000000000001E-2</v>
      </c>
      <c r="I612">
        <v>2</v>
      </c>
    </row>
    <row r="613" spans="1:9" x14ac:dyDescent="0.55000000000000004">
      <c r="A613" t="str">
        <f t="shared" si="9"/>
        <v>A-2-f-0-25.5</v>
      </c>
      <c r="B613" t="s">
        <v>1121</v>
      </c>
      <c r="C613">
        <v>2</v>
      </c>
      <c r="D613" t="s">
        <v>1</v>
      </c>
      <c r="E613">
        <v>0</v>
      </c>
      <c r="F613">
        <v>25.5</v>
      </c>
      <c r="G613">
        <v>16076.987422</v>
      </c>
      <c r="H613">
        <v>0.461646</v>
      </c>
      <c r="I613">
        <v>3</v>
      </c>
    </row>
    <row r="614" spans="1:9" x14ac:dyDescent="0.55000000000000004">
      <c r="A614" t="str">
        <f t="shared" si="9"/>
        <v>A-2-e-0-25.5</v>
      </c>
      <c r="B614" t="s">
        <v>1121</v>
      </c>
      <c r="C614">
        <v>2</v>
      </c>
      <c r="D614" t="s">
        <v>2</v>
      </c>
      <c r="E614">
        <v>0</v>
      </c>
      <c r="F614">
        <v>25.5</v>
      </c>
      <c r="G614">
        <v>16095.927079999999</v>
      </c>
      <c r="H614">
        <v>4.8691999999999999E-2</v>
      </c>
      <c r="I614">
        <v>3</v>
      </c>
    </row>
    <row r="615" spans="1:9" x14ac:dyDescent="0.55000000000000004">
      <c r="A615" t="str">
        <f t="shared" si="9"/>
        <v>B-1-e-0-25.5</v>
      </c>
      <c r="B615" t="s">
        <v>1515</v>
      </c>
      <c r="C615">
        <v>1</v>
      </c>
      <c r="D615" t="s">
        <v>2</v>
      </c>
      <c r="E615">
        <v>0</v>
      </c>
      <c r="F615">
        <v>25.5</v>
      </c>
      <c r="G615">
        <v>16732.757124</v>
      </c>
      <c r="H615">
        <v>0.12584899999999999</v>
      </c>
      <c r="I615">
        <v>3</v>
      </c>
    </row>
    <row r="616" spans="1:9" x14ac:dyDescent="0.55000000000000004">
      <c r="A616" t="str">
        <f t="shared" si="9"/>
        <v>B-2-f-0-25.5</v>
      </c>
      <c r="B616" t="s">
        <v>1515</v>
      </c>
      <c r="C616">
        <v>2</v>
      </c>
      <c r="D616" t="s">
        <v>1</v>
      </c>
      <c r="E616">
        <v>0</v>
      </c>
      <c r="F616">
        <v>25.5</v>
      </c>
      <c r="G616">
        <v>17004.561643000001</v>
      </c>
      <c r="H616">
        <v>5.0360000000000002E-2</v>
      </c>
      <c r="I616">
        <v>3</v>
      </c>
    </row>
    <row r="617" spans="1:9" x14ac:dyDescent="0.55000000000000004">
      <c r="A617" t="str">
        <f t="shared" si="9"/>
        <v>B-1-e-1-25.5</v>
      </c>
      <c r="B617" t="s">
        <v>1515</v>
      </c>
      <c r="C617">
        <v>1</v>
      </c>
      <c r="D617" t="s">
        <v>2</v>
      </c>
      <c r="E617">
        <v>1</v>
      </c>
      <c r="F617">
        <v>25.5</v>
      </c>
      <c r="G617">
        <v>17865.857865999998</v>
      </c>
      <c r="H617">
        <v>0.26337100000000002</v>
      </c>
      <c r="I617">
        <v>3</v>
      </c>
    </row>
    <row r="618" spans="1:9" x14ac:dyDescent="0.55000000000000004">
      <c r="A618" t="str">
        <f t="shared" si="9"/>
        <v>B-2-f-1-25.5</v>
      </c>
      <c r="B618" t="s">
        <v>1515</v>
      </c>
      <c r="C618">
        <v>2</v>
      </c>
      <c r="D618" t="s">
        <v>1</v>
      </c>
      <c r="E618">
        <v>1</v>
      </c>
      <c r="F618">
        <v>25.5</v>
      </c>
      <c r="G618">
        <v>18128.829140999998</v>
      </c>
      <c r="H618">
        <v>3.7948999999999997E-2</v>
      </c>
      <c r="I618">
        <v>3</v>
      </c>
    </row>
    <row r="619" spans="1:9" x14ac:dyDescent="0.55000000000000004">
      <c r="A619" t="str">
        <f t="shared" si="9"/>
        <v>E-1-e-0-25.5</v>
      </c>
      <c r="B619" t="s">
        <v>680</v>
      </c>
      <c r="C619">
        <v>1</v>
      </c>
      <c r="D619" t="s">
        <v>2</v>
      </c>
      <c r="E619">
        <v>0</v>
      </c>
      <c r="F619">
        <v>25.5</v>
      </c>
      <c r="G619">
        <v>21271.514514999999</v>
      </c>
      <c r="H619">
        <v>7.1960999999999997E-2</v>
      </c>
      <c r="I619">
        <v>1</v>
      </c>
    </row>
    <row r="620" spans="1:9" x14ac:dyDescent="0.55000000000000004">
      <c r="A620" t="str">
        <f t="shared" si="9"/>
        <v>E-2-e-0-25.5</v>
      </c>
      <c r="B620" t="s">
        <v>680</v>
      </c>
      <c r="C620">
        <v>2</v>
      </c>
      <c r="D620" t="s">
        <v>2</v>
      </c>
      <c r="E620">
        <v>0</v>
      </c>
      <c r="F620">
        <v>25.5</v>
      </c>
      <c r="G620">
        <v>21488.896138</v>
      </c>
      <c r="H620">
        <v>3.1948999999999998E-2</v>
      </c>
      <c r="I620">
        <v>3</v>
      </c>
    </row>
    <row r="621" spans="1:9" x14ac:dyDescent="0.55000000000000004">
      <c r="A621" t="str">
        <f t="shared" si="9"/>
        <v>E-2-f-0-25.5</v>
      </c>
      <c r="B621" t="s">
        <v>680</v>
      </c>
      <c r="C621">
        <v>2</v>
      </c>
      <c r="D621" t="s">
        <v>1</v>
      </c>
      <c r="E621">
        <v>0</v>
      </c>
      <c r="F621">
        <v>25.5</v>
      </c>
      <c r="G621">
        <v>21493.70048</v>
      </c>
      <c r="H621">
        <v>3.8359999999999998E-2</v>
      </c>
      <c r="I621">
        <v>3</v>
      </c>
    </row>
    <row r="622" spans="1:9" x14ac:dyDescent="0.55000000000000004">
      <c r="A622" t="str">
        <f t="shared" si="9"/>
        <v>X-1-e-0-26.5</v>
      </c>
      <c r="B622" t="s">
        <v>0</v>
      </c>
      <c r="C622">
        <v>1</v>
      </c>
      <c r="D622" t="s">
        <v>2</v>
      </c>
      <c r="E622">
        <v>0</v>
      </c>
      <c r="F622">
        <v>26.5</v>
      </c>
      <c r="G622">
        <v>2486.6642149999998</v>
      </c>
      <c r="H622">
        <v>2.6960999999999999E-2</v>
      </c>
      <c r="I622">
        <v>3</v>
      </c>
    </row>
    <row r="623" spans="1:9" x14ac:dyDescent="0.55000000000000004">
      <c r="A623" t="str">
        <f t="shared" si="9"/>
        <v>X-2-f-0-26.5</v>
      </c>
      <c r="B623" t="s">
        <v>0</v>
      </c>
      <c r="C623">
        <v>2</v>
      </c>
      <c r="D623" t="s">
        <v>1</v>
      </c>
      <c r="E623">
        <v>0</v>
      </c>
      <c r="F623">
        <v>26.5</v>
      </c>
      <c r="G623">
        <v>2669.4016430000001</v>
      </c>
      <c r="H623">
        <v>4.036E-2</v>
      </c>
      <c r="I623">
        <v>3</v>
      </c>
    </row>
    <row r="624" spans="1:9" x14ac:dyDescent="0.55000000000000004">
      <c r="A624" t="str">
        <f t="shared" si="9"/>
        <v>X-1-e-1-26.5</v>
      </c>
      <c r="B624" t="s">
        <v>0</v>
      </c>
      <c r="C624">
        <v>1</v>
      </c>
      <c r="D624" t="s">
        <v>2</v>
      </c>
      <c r="E624">
        <v>1</v>
      </c>
      <c r="F624">
        <v>26.5</v>
      </c>
      <c r="G624">
        <v>3603.1792949999999</v>
      </c>
      <c r="H624">
        <v>3.3355000000000003E-2</v>
      </c>
      <c r="I624">
        <v>3</v>
      </c>
    </row>
    <row r="625" spans="1:9" x14ac:dyDescent="0.55000000000000004">
      <c r="A625" t="str">
        <f t="shared" si="9"/>
        <v>X-2-f-1-26.5</v>
      </c>
      <c r="B625" t="s">
        <v>0</v>
      </c>
      <c r="C625">
        <v>2</v>
      </c>
      <c r="D625" t="s">
        <v>1</v>
      </c>
      <c r="E625">
        <v>1</v>
      </c>
      <c r="F625">
        <v>26.5</v>
      </c>
      <c r="G625">
        <v>3781.6991410000001</v>
      </c>
      <c r="H625">
        <v>2.7949000000000002E-2</v>
      </c>
      <c r="I625">
        <v>3</v>
      </c>
    </row>
    <row r="626" spans="1:9" x14ac:dyDescent="0.55000000000000004">
      <c r="A626" t="str">
        <f t="shared" si="9"/>
        <v>X-1-e-2-26.5</v>
      </c>
      <c r="B626" t="s">
        <v>0</v>
      </c>
      <c r="C626">
        <v>1</v>
      </c>
      <c r="D626" t="s">
        <v>2</v>
      </c>
      <c r="E626">
        <v>2</v>
      </c>
      <c r="F626">
        <v>26.5</v>
      </c>
      <c r="G626">
        <v>4685.2625049999997</v>
      </c>
      <c r="H626">
        <v>2.6960999999999999E-2</v>
      </c>
      <c r="I626">
        <v>3</v>
      </c>
    </row>
    <row r="627" spans="1:9" x14ac:dyDescent="0.55000000000000004">
      <c r="A627" t="str">
        <f t="shared" si="9"/>
        <v>X-2-f-2-26.5</v>
      </c>
      <c r="B627" t="s">
        <v>0</v>
      </c>
      <c r="C627">
        <v>2</v>
      </c>
      <c r="D627" t="s">
        <v>1</v>
      </c>
      <c r="E627">
        <v>2</v>
      </c>
      <c r="F627">
        <v>26.5</v>
      </c>
      <c r="G627">
        <v>4859.5526069999996</v>
      </c>
      <c r="H627">
        <v>3.9359999999999999E-2</v>
      </c>
      <c r="I627">
        <v>3</v>
      </c>
    </row>
    <row r="628" spans="1:9" x14ac:dyDescent="0.55000000000000004">
      <c r="A628" t="str">
        <f t="shared" si="9"/>
        <v>A-1-f-0-26.5</v>
      </c>
      <c r="B628" t="s">
        <v>1121</v>
      </c>
      <c r="C628">
        <v>1</v>
      </c>
      <c r="D628" t="s">
        <v>1</v>
      </c>
      <c r="E628">
        <v>0</v>
      </c>
      <c r="F628">
        <v>26.5</v>
      </c>
      <c r="G628">
        <v>15928.359171</v>
      </c>
      <c r="H628">
        <v>4.8148999999999997E-2</v>
      </c>
      <c r="I628">
        <v>3</v>
      </c>
    </row>
    <row r="629" spans="1:9" x14ac:dyDescent="0.55000000000000004">
      <c r="A629" t="str">
        <f t="shared" si="9"/>
        <v>A-1-e-0-26.5</v>
      </c>
      <c r="B629" t="s">
        <v>1121</v>
      </c>
      <c r="C629">
        <v>1</v>
      </c>
      <c r="D629" t="s">
        <v>2</v>
      </c>
      <c r="E629">
        <v>0</v>
      </c>
      <c r="F629">
        <v>26.5</v>
      </c>
      <c r="G629">
        <v>15996.910486000001</v>
      </c>
      <c r="H629">
        <v>4.1355000000000003E-2</v>
      </c>
      <c r="I629">
        <v>3</v>
      </c>
    </row>
    <row r="630" spans="1:9" x14ac:dyDescent="0.55000000000000004">
      <c r="A630" t="str">
        <f t="shared" si="9"/>
        <v>A-2-f-0-26.5</v>
      </c>
      <c r="B630" t="s">
        <v>1121</v>
      </c>
      <c r="C630">
        <v>2</v>
      </c>
      <c r="D630" t="s">
        <v>1</v>
      </c>
      <c r="E630">
        <v>0</v>
      </c>
      <c r="F630">
        <v>26.5</v>
      </c>
      <c r="G630">
        <v>16262.32288</v>
      </c>
      <c r="H630">
        <v>0.71838599999999997</v>
      </c>
      <c r="I630">
        <v>2</v>
      </c>
    </row>
    <row r="631" spans="1:9" x14ac:dyDescent="0.55000000000000004">
      <c r="A631" t="str">
        <f t="shared" si="9"/>
        <v>A-2-e-0-26.5</v>
      </c>
      <c r="B631" t="s">
        <v>1121</v>
      </c>
      <c r="C631">
        <v>2</v>
      </c>
      <c r="D631" t="s">
        <v>2</v>
      </c>
      <c r="E631">
        <v>0</v>
      </c>
      <c r="F631">
        <v>26.5</v>
      </c>
      <c r="G631">
        <v>16283.416272</v>
      </c>
      <c r="H631">
        <v>0.13912099999999999</v>
      </c>
      <c r="I631">
        <v>3</v>
      </c>
    </row>
    <row r="632" spans="1:9" x14ac:dyDescent="0.55000000000000004">
      <c r="A632" t="str">
        <f t="shared" si="9"/>
        <v>B-1-e-0-26.5</v>
      </c>
      <c r="B632" t="s">
        <v>1515</v>
      </c>
      <c r="C632">
        <v>1</v>
      </c>
      <c r="D632" t="s">
        <v>2</v>
      </c>
      <c r="E632">
        <v>0</v>
      </c>
      <c r="F632">
        <v>26.5</v>
      </c>
      <c r="G632">
        <v>16919.700398000001</v>
      </c>
      <c r="H632">
        <v>0.14507999999999999</v>
      </c>
      <c r="I632">
        <v>2</v>
      </c>
    </row>
    <row r="633" spans="1:9" x14ac:dyDescent="0.55000000000000004">
      <c r="A633" t="str">
        <f t="shared" si="9"/>
        <v>B-2-f-0-26.5</v>
      </c>
      <c r="B633" t="s">
        <v>1515</v>
      </c>
      <c r="C633">
        <v>2</v>
      </c>
      <c r="D633" t="s">
        <v>1</v>
      </c>
      <c r="E633">
        <v>0</v>
      </c>
      <c r="F633">
        <v>26.5</v>
      </c>
      <c r="G633">
        <v>17199.921163999999</v>
      </c>
      <c r="H633">
        <v>3.8948999999999998E-2</v>
      </c>
      <c r="I633">
        <v>3</v>
      </c>
    </row>
    <row r="634" spans="1:9" x14ac:dyDescent="0.55000000000000004">
      <c r="A634" t="str">
        <f t="shared" si="9"/>
        <v>B-1-e-1-26.5</v>
      </c>
      <c r="B634" t="s">
        <v>1515</v>
      </c>
      <c r="C634">
        <v>1</v>
      </c>
      <c r="D634" t="s">
        <v>2</v>
      </c>
      <c r="E634">
        <v>1</v>
      </c>
      <c r="F634">
        <v>26.5</v>
      </c>
      <c r="G634">
        <v>18048.581305</v>
      </c>
      <c r="H634">
        <v>0.937805</v>
      </c>
      <c r="I634">
        <v>3</v>
      </c>
    </row>
    <row r="635" spans="1:9" x14ac:dyDescent="0.55000000000000004">
      <c r="A635" t="str">
        <f t="shared" si="9"/>
        <v>B-2-f-1-26.5</v>
      </c>
      <c r="B635" t="s">
        <v>1515</v>
      </c>
      <c r="C635">
        <v>2</v>
      </c>
      <c r="D635" t="s">
        <v>1</v>
      </c>
      <c r="E635">
        <v>1</v>
      </c>
      <c r="F635">
        <v>26.5</v>
      </c>
      <c r="G635">
        <v>18318.381038</v>
      </c>
      <c r="H635">
        <v>5.1360000000000003E-2</v>
      </c>
      <c r="I635">
        <v>3</v>
      </c>
    </row>
    <row r="636" spans="1:9" x14ac:dyDescent="0.55000000000000004">
      <c r="A636" t="str">
        <f t="shared" si="9"/>
        <v>E-1-e-0-26.5</v>
      </c>
      <c r="B636" t="s">
        <v>680</v>
      </c>
      <c r="C636">
        <v>1</v>
      </c>
      <c r="D636" t="s">
        <v>2</v>
      </c>
      <c r="E636">
        <v>0</v>
      </c>
      <c r="F636">
        <v>26.5</v>
      </c>
      <c r="G636">
        <v>21456.401576</v>
      </c>
      <c r="H636">
        <v>7.9354999999999995E-2</v>
      </c>
      <c r="I636">
        <v>2</v>
      </c>
    </row>
    <row r="637" spans="1:9" x14ac:dyDescent="0.55000000000000004">
      <c r="A637" t="str">
        <f t="shared" si="9"/>
        <v>E-2-e-0-26.5</v>
      </c>
      <c r="B637" t="s">
        <v>680</v>
      </c>
      <c r="C637">
        <v>2</v>
      </c>
      <c r="D637" t="s">
        <v>2</v>
      </c>
      <c r="E637">
        <v>0</v>
      </c>
      <c r="F637">
        <v>26.5</v>
      </c>
      <c r="G637">
        <v>21679.424003</v>
      </c>
      <c r="H637">
        <v>4.5359999999999998E-2</v>
      </c>
      <c r="I637">
        <v>3</v>
      </c>
    </row>
    <row r="638" spans="1:9" x14ac:dyDescent="0.55000000000000004">
      <c r="A638" t="str">
        <f t="shared" si="9"/>
        <v>E-2-f-0-26.5</v>
      </c>
      <c r="B638" t="s">
        <v>680</v>
      </c>
      <c r="C638">
        <v>2</v>
      </c>
      <c r="D638" t="s">
        <v>1</v>
      </c>
      <c r="E638">
        <v>0</v>
      </c>
      <c r="F638">
        <v>26.5</v>
      </c>
      <c r="G638">
        <v>21684.556457999999</v>
      </c>
      <c r="H638">
        <v>3.1948999999999998E-2</v>
      </c>
      <c r="I638">
        <v>3</v>
      </c>
    </row>
    <row r="639" spans="1:9" x14ac:dyDescent="0.55000000000000004">
      <c r="A639" t="str">
        <f t="shared" si="9"/>
        <v>X-1-e-0-27.5</v>
      </c>
      <c r="B639" t="s">
        <v>0</v>
      </c>
      <c r="C639">
        <v>1</v>
      </c>
      <c r="D639" t="s">
        <v>2</v>
      </c>
      <c r="E639">
        <v>0</v>
      </c>
      <c r="F639">
        <v>27.5</v>
      </c>
      <c r="G639">
        <v>2672.5698940000002</v>
      </c>
      <c r="H639">
        <v>3.4354999999999997E-2</v>
      </c>
      <c r="I639">
        <v>3</v>
      </c>
    </row>
    <row r="640" spans="1:9" x14ac:dyDescent="0.55000000000000004">
      <c r="A640" t="str">
        <f t="shared" si="9"/>
        <v>X-2-f-0-27.5</v>
      </c>
      <c r="B640" t="s">
        <v>0</v>
      </c>
      <c r="C640">
        <v>2</v>
      </c>
      <c r="D640" t="s">
        <v>1</v>
      </c>
      <c r="E640">
        <v>0</v>
      </c>
      <c r="F640">
        <v>27.5</v>
      </c>
      <c r="G640">
        <v>2861.301164</v>
      </c>
      <c r="H640">
        <v>2.8948999999999999E-2</v>
      </c>
      <c r="I640">
        <v>2</v>
      </c>
    </row>
    <row r="641" spans="1:9" x14ac:dyDescent="0.55000000000000004">
      <c r="A641" t="str">
        <f t="shared" si="9"/>
        <v>X-1-e-1-27.5</v>
      </c>
      <c r="B641" t="s">
        <v>0</v>
      </c>
      <c r="C641">
        <v>1</v>
      </c>
      <c r="D641" t="s">
        <v>2</v>
      </c>
      <c r="E641">
        <v>1</v>
      </c>
      <c r="F641">
        <v>27.5</v>
      </c>
      <c r="G641">
        <v>3784.75981</v>
      </c>
      <c r="H641">
        <v>2.7961E-2</v>
      </c>
      <c r="I641">
        <v>3</v>
      </c>
    </row>
    <row r="642" spans="1:9" x14ac:dyDescent="0.55000000000000004">
      <c r="A642" t="str">
        <f t="shared" si="9"/>
        <v>X-2-f-1-27.5</v>
      </c>
      <c r="B642" t="s">
        <v>0</v>
      </c>
      <c r="C642">
        <v>2</v>
      </c>
      <c r="D642" t="s">
        <v>1</v>
      </c>
      <c r="E642">
        <v>1</v>
      </c>
      <c r="F642">
        <v>27.5</v>
      </c>
      <c r="G642">
        <v>3969.131038</v>
      </c>
      <c r="H642">
        <v>4.1360000000000001E-2</v>
      </c>
      <c r="I642">
        <v>3</v>
      </c>
    </row>
    <row r="643" spans="1:9" x14ac:dyDescent="0.55000000000000004">
      <c r="A643" t="str">
        <f t="shared" ref="A643:A706" si="10">B643&amp;"-"&amp;C643&amp;"-"&amp;D643&amp;"-"&amp;E643&amp;"-"&amp;F643</f>
        <v>X-1-e-2-27.5</v>
      </c>
      <c r="B643" t="s">
        <v>0</v>
      </c>
      <c r="C643">
        <v>1</v>
      </c>
      <c r="D643" t="s">
        <v>2</v>
      </c>
      <c r="E643">
        <v>2</v>
      </c>
      <c r="F643">
        <v>27.5</v>
      </c>
      <c r="G643">
        <v>4862.4989949999999</v>
      </c>
      <c r="H643">
        <v>3.4354999999999997E-2</v>
      </c>
      <c r="I643">
        <v>3</v>
      </c>
    </row>
    <row r="644" spans="1:9" x14ac:dyDescent="0.55000000000000004">
      <c r="A644" t="str">
        <f t="shared" si="10"/>
        <v>X-2-f-2-27.5</v>
      </c>
      <c r="B644" t="s">
        <v>0</v>
      </c>
      <c r="C644">
        <v>2</v>
      </c>
      <c r="D644" t="s">
        <v>1</v>
      </c>
      <c r="E644">
        <v>2</v>
      </c>
      <c r="F644">
        <v>27.5</v>
      </c>
      <c r="G644">
        <v>5042.4700409999996</v>
      </c>
      <c r="H644">
        <v>2.8948999999999999E-2</v>
      </c>
      <c r="I644">
        <v>2</v>
      </c>
    </row>
    <row r="645" spans="1:9" x14ac:dyDescent="0.55000000000000004">
      <c r="A645" t="str">
        <f t="shared" si="10"/>
        <v>A-1-f-0-27.5</v>
      </c>
      <c r="B645" t="s">
        <v>1121</v>
      </c>
      <c r="C645">
        <v>1</v>
      </c>
      <c r="D645" t="s">
        <v>1</v>
      </c>
      <c r="E645">
        <v>0</v>
      </c>
      <c r="F645">
        <v>27.5</v>
      </c>
      <c r="G645">
        <v>16119.235769000001</v>
      </c>
      <c r="H645">
        <v>4.4354999999999999E-2</v>
      </c>
      <c r="I645">
        <v>3</v>
      </c>
    </row>
    <row r="646" spans="1:9" x14ac:dyDescent="0.55000000000000004">
      <c r="A646" t="str">
        <f t="shared" si="10"/>
        <v>A-1-e-0-27.5</v>
      </c>
      <c r="B646" t="s">
        <v>1121</v>
      </c>
      <c r="C646">
        <v>1</v>
      </c>
      <c r="D646" t="s">
        <v>2</v>
      </c>
      <c r="E646">
        <v>0</v>
      </c>
      <c r="F646">
        <v>27.5</v>
      </c>
      <c r="G646">
        <v>16187.734584</v>
      </c>
      <c r="H646">
        <v>4.2681999999999998E-2</v>
      </c>
      <c r="I646">
        <v>3</v>
      </c>
    </row>
    <row r="647" spans="1:9" x14ac:dyDescent="0.55000000000000004">
      <c r="A647" t="str">
        <f t="shared" si="10"/>
        <v>A-2-f-0-27.5</v>
      </c>
      <c r="B647" t="s">
        <v>1121</v>
      </c>
      <c r="C647">
        <v>2</v>
      </c>
      <c r="D647" t="s">
        <v>1</v>
      </c>
      <c r="E647">
        <v>0</v>
      </c>
      <c r="F647">
        <v>27.5</v>
      </c>
      <c r="G647">
        <v>16454.250768999998</v>
      </c>
      <c r="H647">
        <v>4.4354999999999999E-2</v>
      </c>
      <c r="I647">
        <v>2</v>
      </c>
    </row>
    <row r="648" spans="1:9" x14ac:dyDescent="0.55000000000000004">
      <c r="A648" t="str">
        <f t="shared" si="10"/>
        <v>A-2-e-0-27.5</v>
      </c>
      <c r="B648" t="s">
        <v>1121</v>
      </c>
      <c r="C648">
        <v>2</v>
      </c>
      <c r="D648" t="s">
        <v>2</v>
      </c>
      <c r="E648">
        <v>0</v>
      </c>
      <c r="F648">
        <v>27.5</v>
      </c>
      <c r="G648">
        <v>16477.432689000001</v>
      </c>
      <c r="H648">
        <v>5.006E-2</v>
      </c>
      <c r="I648">
        <v>2</v>
      </c>
    </row>
    <row r="649" spans="1:9" x14ac:dyDescent="0.55000000000000004">
      <c r="A649" t="str">
        <f t="shared" si="10"/>
        <v>B-1-e-0-27.5</v>
      </c>
      <c r="B649" t="s">
        <v>1515</v>
      </c>
      <c r="C649">
        <v>1</v>
      </c>
      <c r="D649" t="s">
        <v>2</v>
      </c>
      <c r="E649">
        <v>0</v>
      </c>
      <c r="F649">
        <v>27.5</v>
      </c>
      <c r="G649">
        <v>17113.084169999998</v>
      </c>
      <c r="H649">
        <v>9.2660999999999993E-2</v>
      </c>
      <c r="I649">
        <v>3</v>
      </c>
    </row>
    <row r="650" spans="1:9" x14ac:dyDescent="0.55000000000000004">
      <c r="A650" t="str">
        <f t="shared" si="10"/>
        <v>B-2-f-0-27.5</v>
      </c>
      <c r="B650" t="s">
        <v>1515</v>
      </c>
      <c r="C650">
        <v>2</v>
      </c>
      <c r="D650" t="s">
        <v>1</v>
      </c>
      <c r="E650">
        <v>0</v>
      </c>
      <c r="F650">
        <v>27.5</v>
      </c>
      <c r="G650">
        <v>17401.437749000001</v>
      </c>
      <c r="H650">
        <v>0.38958900000000002</v>
      </c>
      <c r="I650">
        <v>3</v>
      </c>
    </row>
    <row r="651" spans="1:9" x14ac:dyDescent="0.55000000000000004">
      <c r="A651" t="str">
        <f t="shared" si="10"/>
        <v>B-1-e-1-27.5</v>
      </c>
      <c r="B651" t="s">
        <v>1515</v>
      </c>
      <c r="C651">
        <v>1</v>
      </c>
      <c r="D651" t="s">
        <v>2</v>
      </c>
      <c r="E651">
        <v>1</v>
      </c>
      <c r="F651">
        <v>27.5</v>
      </c>
      <c r="G651">
        <v>18237.181433999998</v>
      </c>
      <c r="H651">
        <v>1.3308</v>
      </c>
      <c r="I651">
        <v>1</v>
      </c>
    </row>
    <row r="652" spans="1:9" x14ac:dyDescent="0.55000000000000004">
      <c r="A652" t="str">
        <f t="shared" si="10"/>
        <v>B-2-f-1-27.5</v>
      </c>
      <c r="B652" t="s">
        <v>1515</v>
      </c>
      <c r="C652">
        <v>2</v>
      </c>
      <c r="D652" t="s">
        <v>1</v>
      </c>
      <c r="E652">
        <v>1</v>
      </c>
      <c r="F652">
        <v>27.5</v>
      </c>
      <c r="G652">
        <v>18513.695928000001</v>
      </c>
      <c r="H652">
        <v>3.9948999999999998E-2</v>
      </c>
      <c r="I652">
        <v>2</v>
      </c>
    </row>
    <row r="653" spans="1:9" x14ac:dyDescent="0.55000000000000004">
      <c r="A653" t="str">
        <f t="shared" si="10"/>
        <v>E-1-e-0-27.5</v>
      </c>
      <c r="B653" t="s">
        <v>680</v>
      </c>
      <c r="C653">
        <v>1</v>
      </c>
      <c r="D653" t="s">
        <v>2</v>
      </c>
      <c r="E653">
        <v>0</v>
      </c>
      <c r="F653">
        <v>27.5</v>
      </c>
      <c r="G653">
        <v>21647.680789999999</v>
      </c>
      <c r="H653">
        <v>3.1961000000000003E-2</v>
      </c>
      <c r="I653">
        <v>3</v>
      </c>
    </row>
    <row r="654" spans="1:9" x14ac:dyDescent="0.55000000000000004">
      <c r="A654" t="str">
        <f t="shared" si="10"/>
        <v>E-2-e-0-27.5</v>
      </c>
      <c r="B654" t="s">
        <v>680</v>
      </c>
      <c r="C654">
        <v>2</v>
      </c>
      <c r="D654" t="s">
        <v>2</v>
      </c>
      <c r="E654">
        <v>0</v>
      </c>
      <c r="F654">
        <v>27.5</v>
      </c>
      <c r="G654">
        <v>21876.153753999999</v>
      </c>
      <c r="H654">
        <v>3.3949E-2</v>
      </c>
      <c r="I654">
        <v>3</v>
      </c>
    </row>
    <row r="655" spans="1:9" x14ac:dyDescent="0.55000000000000004">
      <c r="A655" t="str">
        <f t="shared" si="10"/>
        <v>E-2-f-0-27.5</v>
      </c>
      <c r="B655" t="s">
        <v>680</v>
      </c>
      <c r="C655">
        <v>2</v>
      </c>
      <c r="D655" t="s">
        <v>1</v>
      </c>
      <c r="E655">
        <v>0</v>
      </c>
      <c r="F655">
        <v>27.5</v>
      </c>
      <c r="G655">
        <v>21881.624293000001</v>
      </c>
      <c r="H655">
        <v>4.5359999999999998E-2</v>
      </c>
      <c r="I655">
        <v>1</v>
      </c>
    </row>
    <row r="656" spans="1:9" x14ac:dyDescent="0.55000000000000004">
      <c r="A656" t="str">
        <f t="shared" si="10"/>
        <v>X-1-e-0-28.5</v>
      </c>
      <c r="B656" t="s">
        <v>0</v>
      </c>
      <c r="C656">
        <v>1</v>
      </c>
      <c r="D656" t="s">
        <v>2</v>
      </c>
      <c r="E656">
        <v>0</v>
      </c>
      <c r="F656">
        <v>28.5</v>
      </c>
      <c r="G656">
        <v>2864.5741250000001</v>
      </c>
      <c r="H656">
        <v>3.6961000000000001E-2</v>
      </c>
      <c r="I656">
        <v>1</v>
      </c>
    </row>
    <row r="657" spans="1:9" x14ac:dyDescent="0.55000000000000004">
      <c r="A657" t="str">
        <f t="shared" si="10"/>
        <v>X-2-f-0-28.5</v>
      </c>
      <c r="B657" t="s">
        <v>0</v>
      </c>
      <c r="C657">
        <v>2</v>
      </c>
      <c r="D657" t="s">
        <v>1</v>
      </c>
      <c r="E657">
        <v>0</v>
      </c>
      <c r="F657">
        <v>28.5</v>
      </c>
      <c r="G657">
        <v>3059.2377489999999</v>
      </c>
      <c r="H657">
        <v>0.37958900000000001</v>
      </c>
      <c r="I657">
        <v>3</v>
      </c>
    </row>
    <row r="658" spans="1:9" x14ac:dyDescent="0.55000000000000004">
      <c r="A658" t="str">
        <f t="shared" si="10"/>
        <v>X-1-e-1-28.5</v>
      </c>
      <c r="B658" t="s">
        <v>0</v>
      </c>
      <c r="C658">
        <v>1</v>
      </c>
      <c r="D658" t="s">
        <v>2</v>
      </c>
      <c r="E658">
        <v>1</v>
      </c>
      <c r="F658">
        <v>28.5</v>
      </c>
      <c r="G658">
        <v>3972.283574</v>
      </c>
      <c r="H658">
        <v>3.5354999999999998E-2</v>
      </c>
      <c r="I658">
        <v>3</v>
      </c>
    </row>
    <row r="659" spans="1:9" x14ac:dyDescent="0.55000000000000004">
      <c r="A659" t="str">
        <f t="shared" si="10"/>
        <v>X-2-f-1-28.5</v>
      </c>
      <c r="B659" t="s">
        <v>0</v>
      </c>
      <c r="C659">
        <v>2</v>
      </c>
      <c r="D659" t="s">
        <v>1</v>
      </c>
      <c r="E659">
        <v>1</v>
      </c>
      <c r="F659">
        <v>28.5</v>
      </c>
      <c r="G659">
        <v>4162.4159280000003</v>
      </c>
      <c r="H659">
        <v>2.9949E-2</v>
      </c>
      <c r="I659">
        <v>1</v>
      </c>
    </row>
    <row r="660" spans="1:9" x14ac:dyDescent="0.55000000000000004">
      <c r="A660" t="str">
        <f t="shared" si="10"/>
        <v>X-1-e-2-28.5</v>
      </c>
      <c r="B660" t="s">
        <v>0</v>
      </c>
      <c r="C660">
        <v>1</v>
      </c>
      <c r="D660" t="s">
        <v>2</v>
      </c>
      <c r="E660">
        <v>2</v>
      </c>
      <c r="F660">
        <v>28.5</v>
      </c>
      <c r="G660">
        <v>5045.5072099999998</v>
      </c>
      <c r="H660">
        <v>2.8961000000000001E-2</v>
      </c>
      <c r="I660">
        <v>1</v>
      </c>
    </row>
    <row r="661" spans="1:9" x14ac:dyDescent="0.55000000000000004">
      <c r="A661" t="str">
        <f t="shared" si="10"/>
        <v>X-2-f-2-28.5</v>
      </c>
      <c r="B661" t="s">
        <v>0</v>
      </c>
      <c r="C661">
        <v>2</v>
      </c>
      <c r="D661" t="s">
        <v>1</v>
      </c>
      <c r="E661">
        <v>2</v>
      </c>
      <c r="F661">
        <v>28.5</v>
      </c>
      <c r="G661">
        <v>5231.0949380000002</v>
      </c>
      <c r="H661">
        <v>4.2360000000000002E-2</v>
      </c>
      <c r="I661">
        <v>3</v>
      </c>
    </row>
    <row r="662" spans="1:9" x14ac:dyDescent="0.55000000000000004">
      <c r="A662" t="str">
        <f t="shared" si="10"/>
        <v>A-1-f-0-28.5</v>
      </c>
      <c r="B662" t="s">
        <v>1121</v>
      </c>
      <c r="C662">
        <v>1</v>
      </c>
      <c r="D662" t="s">
        <v>1</v>
      </c>
      <c r="E662">
        <v>0</v>
      </c>
      <c r="F662">
        <v>28.5</v>
      </c>
      <c r="G662">
        <v>16316.367644</v>
      </c>
      <c r="H662">
        <v>3.8948999999999998E-2</v>
      </c>
      <c r="I662">
        <v>2</v>
      </c>
    </row>
    <row r="663" spans="1:9" x14ac:dyDescent="0.55000000000000004">
      <c r="A663" t="str">
        <f t="shared" si="10"/>
        <v>A-1-e-0-28.5</v>
      </c>
      <c r="B663" t="s">
        <v>1121</v>
      </c>
      <c r="C663">
        <v>1</v>
      </c>
      <c r="D663" t="s">
        <v>2</v>
      </c>
      <c r="E663">
        <v>0</v>
      </c>
      <c r="F663">
        <v>28.5</v>
      </c>
      <c r="G663">
        <v>16384.627707</v>
      </c>
      <c r="H663">
        <v>0.369589</v>
      </c>
      <c r="I663">
        <v>1</v>
      </c>
    </row>
    <row r="664" spans="1:9" x14ac:dyDescent="0.55000000000000004">
      <c r="A664" t="str">
        <f t="shared" si="10"/>
        <v>A-2-f-0-28.5</v>
      </c>
      <c r="B664" t="s">
        <v>1121</v>
      </c>
      <c r="C664">
        <v>2</v>
      </c>
      <c r="D664" t="s">
        <v>1</v>
      </c>
      <c r="E664">
        <v>0</v>
      </c>
      <c r="F664">
        <v>28.5</v>
      </c>
      <c r="G664">
        <v>16652.132644000001</v>
      </c>
      <c r="H664">
        <v>7.4142E-2</v>
      </c>
      <c r="I664">
        <v>1</v>
      </c>
    </row>
    <row r="665" spans="1:9" x14ac:dyDescent="0.55000000000000004">
      <c r="A665" t="str">
        <f t="shared" si="10"/>
        <v>A-2-e-0-28.5</v>
      </c>
      <c r="B665" t="s">
        <v>1121</v>
      </c>
      <c r="C665">
        <v>2</v>
      </c>
      <c r="D665" t="s">
        <v>2</v>
      </c>
      <c r="E665">
        <v>0</v>
      </c>
      <c r="F665">
        <v>28.5</v>
      </c>
      <c r="G665">
        <v>16677.733821999998</v>
      </c>
      <c r="H665">
        <v>0.25027500000000003</v>
      </c>
      <c r="I665">
        <v>3</v>
      </c>
    </row>
    <row r="666" spans="1:9" x14ac:dyDescent="0.55000000000000004">
      <c r="A666" t="str">
        <f t="shared" si="10"/>
        <v>B-1-e-0-28.5</v>
      </c>
      <c r="B666" t="s">
        <v>1515</v>
      </c>
      <c r="C666">
        <v>1</v>
      </c>
      <c r="D666" t="s">
        <v>2</v>
      </c>
      <c r="E666">
        <v>0</v>
      </c>
      <c r="F666">
        <v>28.5</v>
      </c>
      <c r="G666">
        <v>17312.832547000002</v>
      </c>
      <c r="H666">
        <v>0.337787</v>
      </c>
      <c r="I666">
        <v>3</v>
      </c>
    </row>
    <row r="667" spans="1:9" x14ac:dyDescent="0.55000000000000004">
      <c r="A667" t="str">
        <f t="shared" si="10"/>
        <v>B-2-f-0-28.5</v>
      </c>
      <c r="B667" t="s">
        <v>1515</v>
      </c>
      <c r="C667">
        <v>2</v>
      </c>
      <c r="D667" t="s">
        <v>1</v>
      </c>
      <c r="E667">
        <v>0</v>
      </c>
      <c r="F667">
        <v>28.5</v>
      </c>
      <c r="G667">
        <v>17609.114298</v>
      </c>
      <c r="H667">
        <v>4.1949E-2</v>
      </c>
      <c r="I667">
        <v>1</v>
      </c>
    </row>
    <row r="668" spans="1:9" x14ac:dyDescent="0.55000000000000004">
      <c r="A668" t="str">
        <f t="shared" si="10"/>
        <v>B-1-e-1-28.5</v>
      </c>
      <c r="B668" t="s">
        <v>1515</v>
      </c>
      <c r="C668">
        <v>1</v>
      </c>
      <c r="D668" t="s">
        <v>2</v>
      </c>
      <c r="E668">
        <v>1</v>
      </c>
      <c r="F668">
        <v>28.5</v>
      </c>
      <c r="G668">
        <v>18432.013017000001</v>
      </c>
      <c r="H668">
        <v>1.74146</v>
      </c>
      <c r="I668">
        <v>1</v>
      </c>
    </row>
    <row r="669" spans="1:9" x14ac:dyDescent="0.55000000000000004">
      <c r="A669" t="str">
        <f t="shared" si="10"/>
        <v>B-2-f-1-28.5</v>
      </c>
      <c r="B669" t="s">
        <v>1515</v>
      </c>
      <c r="C669">
        <v>2</v>
      </c>
      <c r="D669" t="s">
        <v>1</v>
      </c>
      <c r="E669">
        <v>1</v>
      </c>
      <c r="F669">
        <v>28.5</v>
      </c>
      <c r="G669">
        <v>18715.293534</v>
      </c>
      <c r="H669">
        <v>0.39058900000000002</v>
      </c>
      <c r="I669">
        <v>3</v>
      </c>
    </row>
    <row r="670" spans="1:9" x14ac:dyDescent="0.55000000000000004">
      <c r="A670" t="str">
        <f t="shared" si="10"/>
        <v>E-1-e-0-28.5</v>
      </c>
      <c r="B670" t="s">
        <v>680</v>
      </c>
      <c r="C670">
        <v>1</v>
      </c>
      <c r="D670" t="s">
        <v>2</v>
      </c>
      <c r="E670">
        <v>0</v>
      </c>
      <c r="F670">
        <v>28.5</v>
      </c>
      <c r="G670">
        <v>21845.064092000001</v>
      </c>
      <c r="H670">
        <v>0.33335900000000002</v>
      </c>
      <c r="I670">
        <v>2</v>
      </c>
    </row>
    <row r="671" spans="1:9" x14ac:dyDescent="0.55000000000000004">
      <c r="A671" t="str">
        <f t="shared" si="10"/>
        <v>E-2-e-0-28.5</v>
      </c>
      <c r="B671" t="s">
        <v>680</v>
      </c>
      <c r="C671">
        <v>2</v>
      </c>
      <c r="D671" t="s">
        <v>2</v>
      </c>
      <c r="E671">
        <v>0</v>
      </c>
      <c r="F671">
        <v>28.5</v>
      </c>
      <c r="G671">
        <v>22078.972118999998</v>
      </c>
      <c r="H671">
        <v>0.38458900000000001</v>
      </c>
      <c r="I671">
        <v>1</v>
      </c>
    </row>
    <row r="672" spans="1:9" x14ac:dyDescent="0.55000000000000004">
      <c r="A672" t="str">
        <f t="shared" si="10"/>
        <v>E-2-f-0-28.5</v>
      </c>
      <c r="B672" t="s">
        <v>680</v>
      </c>
      <c r="C672">
        <v>2</v>
      </c>
      <c r="D672" t="s">
        <v>1</v>
      </c>
      <c r="E672">
        <v>0</v>
      </c>
      <c r="F672">
        <v>28.5</v>
      </c>
      <c r="G672">
        <v>22084.779694000001</v>
      </c>
      <c r="H672">
        <v>3.3949E-2</v>
      </c>
      <c r="I672">
        <v>1</v>
      </c>
    </row>
    <row r="673" spans="1:9" x14ac:dyDescent="0.55000000000000004">
      <c r="A673" t="str">
        <f t="shared" si="10"/>
        <v>X-1-e-0-29.5</v>
      </c>
      <c r="B673" t="s">
        <v>0</v>
      </c>
      <c r="C673">
        <v>1</v>
      </c>
      <c r="D673" t="s">
        <v>2</v>
      </c>
      <c r="E673">
        <v>0</v>
      </c>
      <c r="F673">
        <v>29.5</v>
      </c>
      <c r="G673">
        <v>3062.6052</v>
      </c>
      <c r="H673">
        <v>0.59861299999999995</v>
      </c>
      <c r="I673">
        <v>3</v>
      </c>
    </row>
    <row r="674" spans="1:9" x14ac:dyDescent="0.55000000000000004">
      <c r="A674" t="str">
        <f t="shared" si="10"/>
        <v>X-2-f-0-29.5</v>
      </c>
      <c r="B674" t="s">
        <v>0</v>
      </c>
      <c r="C674">
        <v>2</v>
      </c>
      <c r="D674" t="s">
        <v>1</v>
      </c>
      <c r="E674">
        <v>0</v>
      </c>
      <c r="F674">
        <v>29.5</v>
      </c>
      <c r="G674">
        <v>3263.0842980000002</v>
      </c>
      <c r="H674">
        <v>3.1948999999999998E-2</v>
      </c>
      <c r="I674">
        <v>2</v>
      </c>
    </row>
    <row r="675" spans="1:9" x14ac:dyDescent="0.55000000000000004">
      <c r="A675" t="str">
        <f t="shared" si="10"/>
        <v>X-1-e-1-29.5</v>
      </c>
      <c r="B675" t="s">
        <v>0</v>
      </c>
      <c r="C675">
        <v>1</v>
      </c>
      <c r="D675" t="s">
        <v>2</v>
      </c>
      <c r="E675">
        <v>1</v>
      </c>
      <c r="F675">
        <v>29.5</v>
      </c>
      <c r="G675">
        <v>4165.6662249999999</v>
      </c>
      <c r="H675">
        <v>3.7961000000000002E-2</v>
      </c>
      <c r="I675">
        <v>1</v>
      </c>
    </row>
    <row r="676" spans="1:9" x14ac:dyDescent="0.55000000000000004">
      <c r="A676" t="str">
        <f t="shared" si="10"/>
        <v>X-2-f-1-29.5</v>
      </c>
      <c r="B676" t="s">
        <v>0</v>
      </c>
      <c r="C676">
        <v>2</v>
      </c>
      <c r="D676" t="s">
        <v>1</v>
      </c>
      <c r="E676">
        <v>1</v>
      </c>
      <c r="F676">
        <v>29.5</v>
      </c>
      <c r="G676">
        <v>4361.4935340000002</v>
      </c>
      <c r="H676">
        <v>0.38058900000000001</v>
      </c>
      <c r="I676">
        <v>2</v>
      </c>
    </row>
    <row r="677" spans="1:9" x14ac:dyDescent="0.55000000000000004">
      <c r="A677" t="str">
        <f t="shared" si="10"/>
        <v>X-1-e-2-29.5</v>
      </c>
      <c r="B677" t="s">
        <v>0</v>
      </c>
      <c r="C677">
        <v>1</v>
      </c>
      <c r="D677" t="s">
        <v>2</v>
      </c>
      <c r="E677">
        <v>2</v>
      </c>
      <c r="F677">
        <v>29.5</v>
      </c>
      <c r="G677">
        <v>5234.2208739999996</v>
      </c>
      <c r="H677">
        <v>3.6354999999999998E-2</v>
      </c>
      <c r="I677">
        <v>2</v>
      </c>
    </row>
    <row r="678" spans="1:9" x14ac:dyDescent="0.55000000000000004">
      <c r="A678" t="str">
        <f t="shared" si="10"/>
        <v>X-2-f-2-29.5</v>
      </c>
      <c r="B678" t="s">
        <v>0</v>
      </c>
      <c r="C678">
        <v>2</v>
      </c>
      <c r="D678" t="s">
        <v>1</v>
      </c>
      <c r="E678">
        <v>2</v>
      </c>
      <c r="F678">
        <v>29.5</v>
      </c>
      <c r="G678">
        <v>5425.3274279999996</v>
      </c>
      <c r="H678">
        <v>3.0949000000000001E-2</v>
      </c>
      <c r="I678">
        <v>1</v>
      </c>
    </row>
    <row r="679" spans="1:9" x14ac:dyDescent="0.55000000000000004">
      <c r="A679" t="str">
        <f t="shared" si="10"/>
        <v>A-1-f-0-29.5</v>
      </c>
      <c r="B679" t="s">
        <v>1121</v>
      </c>
      <c r="C679">
        <v>1</v>
      </c>
      <c r="D679" t="s">
        <v>1</v>
      </c>
      <c r="E679">
        <v>0</v>
      </c>
      <c r="F679">
        <v>29.5</v>
      </c>
      <c r="G679">
        <v>16519.651474999999</v>
      </c>
      <c r="H679">
        <v>0.51660099999999998</v>
      </c>
      <c r="I679">
        <v>2</v>
      </c>
    </row>
    <row r="680" spans="1:9" x14ac:dyDescent="0.55000000000000004">
      <c r="A680" t="str">
        <f t="shared" si="10"/>
        <v>A-1-e-0-29.5</v>
      </c>
      <c r="B680" t="s">
        <v>1121</v>
      </c>
      <c r="C680">
        <v>1</v>
      </c>
      <c r="D680" t="s">
        <v>2</v>
      </c>
      <c r="E680">
        <v>0</v>
      </c>
      <c r="F680">
        <v>29.5</v>
      </c>
      <c r="G680">
        <v>16587.459976999999</v>
      </c>
      <c r="H680">
        <v>0.30676399999999998</v>
      </c>
      <c r="I680">
        <v>2</v>
      </c>
    </row>
    <row r="681" spans="1:9" x14ac:dyDescent="0.55000000000000004">
      <c r="A681" t="str">
        <f t="shared" si="10"/>
        <v>A-2-f-0-29.5</v>
      </c>
      <c r="B681" t="s">
        <v>1121</v>
      </c>
      <c r="C681">
        <v>2</v>
      </c>
      <c r="D681" t="s">
        <v>1</v>
      </c>
      <c r="E681">
        <v>0</v>
      </c>
      <c r="F681">
        <v>29.5</v>
      </c>
      <c r="G681">
        <v>16856.226474999999</v>
      </c>
      <c r="H681">
        <v>0.48910100000000001</v>
      </c>
      <c r="I681">
        <v>1</v>
      </c>
    </row>
    <row r="682" spans="1:9" x14ac:dyDescent="0.55000000000000004">
      <c r="A682" t="str">
        <f t="shared" si="10"/>
        <v>A-2-e-0-29.5</v>
      </c>
      <c r="B682" t="s">
        <v>1121</v>
      </c>
      <c r="C682">
        <v>2</v>
      </c>
      <c r="D682" t="s">
        <v>2</v>
      </c>
      <c r="E682">
        <v>0</v>
      </c>
      <c r="F682">
        <v>29.5</v>
      </c>
      <c r="G682">
        <v>16884.199210999999</v>
      </c>
      <c r="H682">
        <v>4.1949E-2</v>
      </c>
      <c r="I682">
        <v>1</v>
      </c>
    </row>
    <row r="683" spans="1:9" x14ac:dyDescent="0.55000000000000004">
      <c r="A683" t="str">
        <f t="shared" si="10"/>
        <v>B-1-e-0-29.5</v>
      </c>
      <c r="B683" t="s">
        <v>1515</v>
      </c>
      <c r="C683">
        <v>1</v>
      </c>
      <c r="D683" t="s">
        <v>2</v>
      </c>
      <c r="E683">
        <v>0</v>
      </c>
      <c r="F683">
        <v>29.5</v>
      </c>
      <c r="G683">
        <v>17518.804077000001</v>
      </c>
      <c r="H683">
        <v>0.49238799999999999</v>
      </c>
      <c r="I683">
        <v>2</v>
      </c>
    </row>
    <row r="684" spans="1:9" x14ac:dyDescent="0.55000000000000004">
      <c r="A684" t="str">
        <f t="shared" si="10"/>
        <v>B-2-f-0-29.5</v>
      </c>
      <c r="B684" t="s">
        <v>1515</v>
      </c>
      <c r="C684">
        <v>2</v>
      </c>
      <c r="D684" t="s">
        <v>1</v>
      </c>
      <c r="E684">
        <v>0</v>
      </c>
      <c r="F684">
        <v>29.5</v>
      </c>
      <c r="G684">
        <v>17822.782844000001</v>
      </c>
      <c r="H684">
        <v>2.333879</v>
      </c>
      <c r="I684">
        <v>1</v>
      </c>
    </row>
    <row r="685" spans="1:9" x14ac:dyDescent="0.55000000000000004">
      <c r="A685" t="str">
        <f t="shared" si="10"/>
        <v>B-1-e-1-29.5</v>
      </c>
      <c r="B685" t="s">
        <v>1515</v>
      </c>
      <c r="C685">
        <v>1</v>
      </c>
      <c r="D685" t="s">
        <v>2</v>
      </c>
      <c r="E685">
        <v>1</v>
      </c>
      <c r="F685">
        <v>29.5</v>
      </c>
      <c r="G685">
        <v>18632.988077000002</v>
      </c>
      <c r="H685">
        <v>2.3917739999999998</v>
      </c>
      <c r="I685">
        <v>1</v>
      </c>
    </row>
    <row r="686" spans="1:9" x14ac:dyDescent="0.55000000000000004">
      <c r="A686" t="str">
        <f t="shared" si="10"/>
        <v>B-2-f-1-29.5</v>
      </c>
      <c r="B686" t="s">
        <v>1515</v>
      </c>
      <c r="C686">
        <v>2</v>
      </c>
      <c r="D686" t="s">
        <v>1</v>
      </c>
      <c r="E686">
        <v>1</v>
      </c>
      <c r="F686">
        <v>29.5</v>
      </c>
      <c r="G686">
        <v>18923.247113000001</v>
      </c>
      <c r="H686">
        <v>4.2949000000000001E-2</v>
      </c>
      <c r="I686">
        <v>2</v>
      </c>
    </row>
    <row r="687" spans="1:9" x14ac:dyDescent="0.55000000000000004">
      <c r="A687" t="str">
        <f t="shared" si="10"/>
        <v>E-1-e-0-29.5</v>
      </c>
      <c r="B687" t="s">
        <v>680</v>
      </c>
      <c r="C687">
        <v>1</v>
      </c>
      <c r="D687" t="s">
        <v>2</v>
      </c>
      <c r="E687">
        <v>0</v>
      </c>
      <c r="F687">
        <v>29.5</v>
      </c>
      <c r="G687">
        <v>22048.504265</v>
      </c>
      <c r="H687">
        <v>5.1961E-2</v>
      </c>
      <c r="I687">
        <v>1</v>
      </c>
    </row>
    <row r="688" spans="1:9" x14ac:dyDescent="0.55000000000000004">
      <c r="A688" t="str">
        <f t="shared" si="10"/>
        <v>E-2-f-0-29.5</v>
      </c>
      <c r="B688" t="s">
        <v>680</v>
      </c>
      <c r="C688">
        <v>2</v>
      </c>
      <c r="D688" t="s">
        <v>1</v>
      </c>
      <c r="E688">
        <v>0</v>
      </c>
      <c r="F688">
        <v>29.5</v>
      </c>
      <c r="G688">
        <v>22293.932218999998</v>
      </c>
      <c r="H688">
        <v>0.40258899999999997</v>
      </c>
      <c r="I688">
        <v>1</v>
      </c>
    </row>
    <row r="689" spans="1:9" x14ac:dyDescent="0.55000000000000004">
      <c r="A689" t="str">
        <f t="shared" si="10"/>
        <v>X-1-e-0-30.5</v>
      </c>
      <c r="B689" t="s">
        <v>0</v>
      </c>
      <c r="C689">
        <v>1</v>
      </c>
      <c r="D689" t="s">
        <v>2</v>
      </c>
      <c r="E689">
        <v>0</v>
      </c>
      <c r="F689">
        <v>30.5</v>
      </c>
      <c r="G689">
        <v>3266.4740280000001</v>
      </c>
      <c r="H689">
        <v>0.94781499999999996</v>
      </c>
      <c r="I689">
        <v>1</v>
      </c>
    </row>
    <row r="690" spans="1:9" x14ac:dyDescent="0.55000000000000004">
      <c r="A690" t="str">
        <f t="shared" si="10"/>
        <v>X-2-f-0-30.5</v>
      </c>
      <c r="B690" t="s">
        <v>0</v>
      </c>
      <c r="C690">
        <v>2</v>
      </c>
      <c r="D690" t="s">
        <v>1</v>
      </c>
      <c r="E690">
        <v>0</v>
      </c>
      <c r="F690">
        <v>30.5</v>
      </c>
      <c r="G690">
        <v>3472.582844</v>
      </c>
      <c r="H690">
        <v>2.3238789999999998</v>
      </c>
      <c r="I690">
        <v>1</v>
      </c>
    </row>
    <row r="691" spans="1:9" x14ac:dyDescent="0.55000000000000004">
      <c r="A691" t="str">
        <f t="shared" si="10"/>
        <v>X-1-e-1-30.5</v>
      </c>
      <c r="B691" t="s">
        <v>0</v>
      </c>
      <c r="C691">
        <v>1</v>
      </c>
      <c r="D691" t="s">
        <v>2</v>
      </c>
      <c r="E691">
        <v>1</v>
      </c>
      <c r="F691">
        <v>30.5</v>
      </c>
      <c r="G691">
        <v>4364.8325800000002</v>
      </c>
      <c r="H691">
        <v>0.59961299999999995</v>
      </c>
      <c r="I691">
        <v>1</v>
      </c>
    </row>
    <row r="692" spans="1:9" x14ac:dyDescent="0.55000000000000004">
      <c r="A692" t="str">
        <f t="shared" si="10"/>
        <v>X-2-f-1-30.5</v>
      </c>
      <c r="B692" t="s">
        <v>0</v>
      </c>
      <c r="C692">
        <v>2</v>
      </c>
      <c r="D692" t="s">
        <v>1</v>
      </c>
      <c r="E692">
        <v>1</v>
      </c>
      <c r="F692">
        <v>30.5</v>
      </c>
      <c r="G692">
        <v>4566.2371130000001</v>
      </c>
      <c r="H692">
        <v>3.2948999999999999E-2</v>
      </c>
      <c r="I692">
        <v>1</v>
      </c>
    </row>
    <row r="693" spans="1:9" x14ac:dyDescent="0.55000000000000004">
      <c r="A693" t="str">
        <f t="shared" si="10"/>
        <v>X-1-e-2-30.5</v>
      </c>
      <c r="B693" t="s">
        <v>0</v>
      </c>
      <c r="C693">
        <v>1</v>
      </c>
      <c r="D693" t="s">
        <v>2</v>
      </c>
      <c r="E693">
        <v>2</v>
      </c>
      <c r="F693">
        <v>30.5</v>
      </c>
      <c r="G693">
        <v>5428.5463250000003</v>
      </c>
      <c r="H693">
        <v>3.8961000000000003E-2</v>
      </c>
      <c r="I693">
        <v>3</v>
      </c>
    </row>
    <row r="694" spans="1:9" x14ac:dyDescent="0.55000000000000004">
      <c r="A694" t="str">
        <f t="shared" si="10"/>
        <v>X-2-f-2-30.5</v>
      </c>
      <c r="B694" t="s">
        <v>0</v>
      </c>
      <c r="C694">
        <v>2</v>
      </c>
      <c r="D694" t="s">
        <v>1</v>
      </c>
      <c r="E694">
        <v>2</v>
      </c>
      <c r="F694">
        <v>30.5</v>
      </c>
      <c r="G694">
        <v>5625.1057339999998</v>
      </c>
      <c r="H694">
        <v>0.38158900000000001</v>
      </c>
      <c r="I694">
        <v>1</v>
      </c>
    </row>
    <row r="695" spans="1:9" x14ac:dyDescent="0.55000000000000004">
      <c r="A695" t="str">
        <f t="shared" si="10"/>
        <v>A-1-f-0-30.5</v>
      </c>
      <c r="B695" t="s">
        <v>1121</v>
      </c>
      <c r="C695">
        <v>1</v>
      </c>
      <c r="D695" t="s">
        <v>1</v>
      </c>
      <c r="E695">
        <v>0</v>
      </c>
      <c r="F695">
        <v>30.5</v>
      </c>
      <c r="G695">
        <v>16729.014163</v>
      </c>
      <c r="H695">
        <v>0.564774</v>
      </c>
      <c r="I695">
        <v>1</v>
      </c>
    </row>
    <row r="696" spans="1:9" x14ac:dyDescent="0.55000000000000004">
      <c r="A696" t="str">
        <f t="shared" si="10"/>
        <v>A-1-e-0-30.5</v>
      </c>
      <c r="B696" t="s">
        <v>1121</v>
      </c>
      <c r="C696">
        <v>1</v>
      </c>
      <c r="D696" t="s">
        <v>2</v>
      </c>
      <c r="E696">
        <v>0</v>
      </c>
      <c r="F696">
        <v>30.5</v>
      </c>
      <c r="G696">
        <v>16795.897174999998</v>
      </c>
      <c r="H696">
        <v>2.6077569999999999</v>
      </c>
      <c r="I696">
        <v>1</v>
      </c>
    </row>
    <row r="697" spans="1:9" x14ac:dyDescent="0.55000000000000004">
      <c r="A697" t="str">
        <f t="shared" si="10"/>
        <v>A-2-f-0-30.5</v>
      </c>
      <c r="B697" t="s">
        <v>1121</v>
      </c>
      <c r="C697">
        <v>2</v>
      </c>
      <c r="D697" t="s">
        <v>1</v>
      </c>
      <c r="E697">
        <v>0</v>
      </c>
      <c r="F697">
        <v>30.5</v>
      </c>
      <c r="G697">
        <v>17066.269163000001</v>
      </c>
      <c r="H697">
        <v>0.53727400000000003</v>
      </c>
      <c r="I697">
        <v>3</v>
      </c>
    </row>
    <row r="698" spans="1:9" x14ac:dyDescent="0.55000000000000004">
      <c r="A698" t="str">
        <f t="shared" si="10"/>
        <v>A-2-e-0-30.5</v>
      </c>
      <c r="B698" t="s">
        <v>1121</v>
      </c>
      <c r="C698">
        <v>2</v>
      </c>
      <c r="D698" t="s">
        <v>2</v>
      </c>
      <c r="E698">
        <v>0</v>
      </c>
      <c r="F698">
        <v>30.5</v>
      </c>
      <c r="G698">
        <v>17096.704022000002</v>
      </c>
      <c r="H698">
        <v>1.461246</v>
      </c>
      <c r="I698">
        <v>3</v>
      </c>
    </row>
    <row r="699" spans="1:9" x14ac:dyDescent="0.55000000000000004">
      <c r="A699" t="str">
        <f t="shared" si="10"/>
        <v>B-1-e-0-30.5</v>
      </c>
      <c r="B699" t="s">
        <v>1515</v>
      </c>
      <c r="C699">
        <v>1</v>
      </c>
      <c r="D699" t="s">
        <v>2</v>
      </c>
      <c r="E699">
        <v>0</v>
      </c>
      <c r="F699">
        <v>30.5</v>
      </c>
      <c r="G699">
        <v>17730.703353000001</v>
      </c>
      <c r="H699">
        <v>1.7396240000000001</v>
      </c>
      <c r="I699">
        <v>3</v>
      </c>
    </row>
    <row r="700" spans="1:9" x14ac:dyDescent="0.55000000000000004">
      <c r="A700" t="str">
        <f t="shared" si="10"/>
        <v>B-2-f-0-30.5</v>
      </c>
      <c r="B700" t="s">
        <v>1515</v>
      </c>
      <c r="C700">
        <v>2</v>
      </c>
      <c r="D700" t="s">
        <v>1</v>
      </c>
      <c r="E700">
        <v>0</v>
      </c>
      <c r="F700">
        <v>30.5</v>
      </c>
      <c r="G700">
        <v>18039.393808000001</v>
      </c>
      <c r="H700">
        <v>4.6821830000000002</v>
      </c>
      <c r="I700">
        <v>3</v>
      </c>
    </row>
    <row r="701" spans="1:9" x14ac:dyDescent="0.55000000000000004">
      <c r="A701" t="str">
        <f t="shared" si="10"/>
        <v>B-1-e-1-30.5</v>
      </c>
      <c r="B701" t="s">
        <v>1515</v>
      </c>
      <c r="C701">
        <v>1</v>
      </c>
      <c r="D701" t="s">
        <v>2</v>
      </c>
      <c r="E701">
        <v>1</v>
      </c>
      <c r="F701">
        <v>30.5</v>
      </c>
      <c r="G701">
        <v>18839.629482</v>
      </c>
      <c r="H701">
        <v>2.739277</v>
      </c>
      <c r="I701">
        <v>3</v>
      </c>
    </row>
    <row r="702" spans="1:9" x14ac:dyDescent="0.55000000000000004">
      <c r="A702" t="str">
        <f t="shared" si="10"/>
        <v>B-2-f-1-30.5</v>
      </c>
      <c r="B702" t="s">
        <v>1515</v>
      </c>
      <c r="C702">
        <v>2</v>
      </c>
      <c r="D702" t="s">
        <v>1</v>
      </c>
      <c r="E702">
        <v>1</v>
      </c>
      <c r="F702">
        <v>30.5</v>
      </c>
      <c r="G702">
        <v>19136.622629000001</v>
      </c>
      <c r="H702">
        <v>2.3348789999999999</v>
      </c>
      <c r="I702">
        <v>3</v>
      </c>
    </row>
    <row r="703" spans="1:9" x14ac:dyDescent="0.55000000000000004">
      <c r="A703" t="str">
        <f t="shared" si="10"/>
        <v>E-1-e-0-30.5</v>
      </c>
      <c r="B703" t="s">
        <v>680</v>
      </c>
      <c r="C703">
        <v>1</v>
      </c>
      <c r="D703" t="s">
        <v>2</v>
      </c>
      <c r="E703">
        <v>0</v>
      </c>
      <c r="F703">
        <v>30.5</v>
      </c>
      <c r="G703">
        <v>22257.917600000001</v>
      </c>
      <c r="H703">
        <v>0.651613</v>
      </c>
      <c r="I703">
        <v>3</v>
      </c>
    </row>
    <row r="704" spans="1:9" x14ac:dyDescent="0.55000000000000004">
      <c r="A704" t="str">
        <f t="shared" si="10"/>
        <v>X-1-e-0-31.5</v>
      </c>
      <c r="B704" t="s">
        <v>0</v>
      </c>
      <c r="C704">
        <v>1</v>
      </c>
      <c r="D704" t="s">
        <v>2</v>
      </c>
      <c r="E704">
        <v>0</v>
      </c>
      <c r="F704">
        <v>31.5</v>
      </c>
      <c r="G704">
        <v>3476.061506</v>
      </c>
      <c r="H704">
        <v>2.8476349999999999</v>
      </c>
      <c r="I704">
        <v>3</v>
      </c>
    </row>
    <row r="705" spans="1:9" x14ac:dyDescent="0.55000000000000004">
      <c r="A705" t="str">
        <f t="shared" si="10"/>
        <v>X-2-f-0-31.5</v>
      </c>
      <c r="B705" t="s">
        <v>0</v>
      </c>
      <c r="C705">
        <v>2</v>
      </c>
      <c r="D705" t="s">
        <v>1</v>
      </c>
      <c r="E705">
        <v>0</v>
      </c>
      <c r="F705">
        <v>31.5</v>
      </c>
      <c r="G705">
        <v>3684.8138079999999</v>
      </c>
      <c r="H705">
        <v>4.6721830000000004</v>
      </c>
      <c r="I705">
        <v>3</v>
      </c>
    </row>
    <row r="706" spans="1:9" x14ac:dyDescent="0.55000000000000004">
      <c r="A706" t="str">
        <f t="shared" si="10"/>
        <v>X-1-e-1-31.5</v>
      </c>
      <c r="B706" t="s">
        <v>0</v>
      </c>
      <c r="C706">
        <v>1</v>
      </c>
      <c r="D706" t="s">
        <v>2</v>
      </c>
      <c r="E706">
        <v>1</v>
      </c>
      <c r="F706">
        <v>31.5</v>
      </c>
      <c r="G706">
        <v>4569.5927380000003</v>
      </c>
      <c r="H706">
        <v>0.94881499999999996</v>
      </c>
      <c r="I706">
        <v>2</v>
      </c>
    </row>
    <row r="707" spans="1:9" x14ac:dyDescent="0.55000000000000004">
      <c r="A707" t="str">
        <f t="shared" ref="A707:A768" si="11">B707&amp;"-"&amp;C707&amp;"-"&amp;D707&amp;"-"&amp;E707&amp;"-"&amp;F707</f>
        <v>X-2-f-1-31.5</v>
      </c>
      <c r="B707" t="s">
        <v>0</v>
      </c>
      <c r="C707">
        <v>2</v>
      </c>
      <c r="D707" t="s">
        <v>1</v>
      </c>
      <c r="E707">
        <v>1</v>
      </c>
      <c r="F707">
        <v>31.5</v>
      </c>
      <c r="G707">
        <v>4776.3826289999997</v>
      </c>
      <c r="H707">
        <v>2.3248790000000001</v>
      </c>
      <c r="I707">
        <v>2</v>
      </c>
    </row>
    <row r="708" spans="1:9" x14ac:dyDescent="0.55000000000000004">
      <c r="A708" t="str">
        <f t="shared" si="11"/>
        <v>A-1-f-0-31.5</v>
      </c>
      <c r="B708" t="s">
        <v>1121</v>
      </c>
      <c r="C708">
        <v>1</v>
      </c>
      <c r="D708" t="s">
        <v>1</v>
      </c>
      <c r="E708">
        <v>0</v>
      </c>
      <c r="F708">
        <v>31.5</v>
      </c>
      <c r="G708">
        <v>16944.137175</v>
      </c>
      <c r="H708">
        <v>2.6407569999999998</v>
      </c>
      <c r="I708">
        <v>3</v>
      </c>
    </row>
    <row r="709" spans="1:9" x14ac:dyDescent="0.55000000000000004">
      <c r="A709" t="str">
        <f t="shared" si="11"/>
        <v>A-1-e-0-31.5</v>
      </c>
      <c r="B709" t="s">
        <v>1121</v>
      </c>
      <c r="C709">
        <v>1</v>
      </c>
      <c r="D709" t="s">
        <v>2</v>
      </c>
      <c r="E709">
        <v>0</v>
      </c>
      <c r="F709">
        <v>31.5</v>
      </c>
      <c r="G709">
        <v>17007.236485000001</v>
      </c>
      <c r="H709">
        <v>5.1758610000000003</v>
      </c>
      <c r="I709">
        <v>3</v>
      </c>
    </row>
    <row r="710" spans="1:9" x14ac:dyDescent="0.55000000000000004">
      <c r="A710" t="str">
        <f t="shared" si="11"/>
        <v>A-2-f-0-31.5</v>
      </c>
      <c r="B710" t="s">
        <v>1121</v>
      </c>
      <c r="C710">
        <v>2</v>
      </c>
      <c r="D710" t="s">
        <v>1</v>
      </c>
      <c r="E710">
        <v>0</v>
      </c>
      <c r="F710">
        <v>31.5</v>
      </c>
      <c r="G710">
        <v>17282.127175000001</v>
      </c>
      <c r="H710">
        <v>2.5857570000000001</v>
      </c>
      <c r="I710">
        <v>3</v>
      </c>
    </row>
    <row r="711" spans="1:9" x14ac:dyDescent="0.55000000000000004">
      <c r="A711" t="str">
        <f t="shared" si="11"/>
        <v>A-2-e-0-31.5</v>
      </c>
      <c r="B711" t="s">
        <v>1121</v>
      </c>
      <c r="C711">
        <v>2</v>
      </c>
      <c r="D711" t="s">
        <v>2</v>
      </c>
      <c r="E711">
        <v>0</v>
      </c>
      <c r="F711">
        <v>31.5</v>
      </c>
      <c r="G711">
        <v>17313.753917999999</v>
      </c>
      <c r="H711">
        <v>2.8099989999999999</v>
      </c>
      <c r="I711">
        <v>3</v>
      </c>
    </row>
    <row r="712" spans="1:9" x14ac:dyDescent="0.55000000000000004">
      <c r="A712" t="str">
        <f t="shared" si="11"/>
        <v>B-1-e-0-31.5</v>
      </c>
      <c r="B712" t="s">
        <v>1515</v>
      </c>
      <c r="C712">
        <v>1</v>
      </c>
      <c r="D712" t="s">
        <v>2</v>
      </c>
      <c r="E712">
        <v>0</v>
      </c>
      <c r="F712">
        <v>31.5</v>
      </c>
      <c r="G712">
        <v>17945.379163000001</v>
      </c>
      <c r="H712">
        <v>4.6841869999999997</v>
      </c>
      <c r="I712">
        <v>3</v>
      </c>
    </row>
    <row r="713" spans="1:9" x14ac:dyDescent="0.55000000000000004">
      <c r="A713" t="str">
        <f t="shared" si="11"/>
        <v>B-2-f-0-31.5</v>
      </c>
      <c r="B713" t="s">
        <v>1515</v>
      </c>
      <c r="C713">
        <v>2</v>
      </c>
      <c r="D713" t="s">
        <v>1</v>
      </c>
      <c r="E713">
        <v>0</v>
      </c>
      <c r="F713">
        <v>31.5</v>
      </c>
      <c r="G713">
        <v>18268.201506000001</v>
      </c>
      <c r="H713">
        <v>2.8776350000000002</v>
      </c>
      <c r="I713">
        <v>3</v>
      </c>
    </row>
    <row r="714" spans="1:9" x14ac:dyDescent="0.55000000000000004">
      <c r="A714" t="str">
        <f t="shared" si="11"/>
        <v>B-1-e-1-31.5</v>
      </c>
      <c r="B714" t="s">
        <v>1515</v>
      </c>
      <c r="C714">
        <v>1</v>
      </c>
      <c r="D714" t="s">
        <v>2</v>
      </c>
      <c r="E714">
        <v>1</v>
      </c>
      <c r="F714">
        <v>31.5</v>
      </c>
      <c r="G714">
        <v>19052.006689000002</v>
      </c>
      <c r="H714">
        <v>3.4159899999999999</v>
      </c>
      <c r="I714">
        <v>3</v>
      </c>
    </row>
    <row r="715" spans="1:9" x14ac:dyDescent="0.55000000000000004">
      <c r="A715" t="str">
        <f t="shared" si="11"/>
        <v>B-2-f-1-31.5</v>
      </c>
      <c r="B715" t="s">
        <v>1515</v>
      </c>
      <c r="C715">
        <v>2</v>
      </c>
      <c r="D715" t="s">
        <v>1</v>
      </c>
      <c r="E715">
        <v>1</v>
      </c>
      <c r="F715">
        <v>31.5</v>
      </c>
      <c r="G715">
        <v>19352.764093000002</v>
      </c>
      <c r="H715">
        <v>4.6831829999999997</v>
      </c>
      <c r="I715">
        <v>3</v>
      </c>
    </row>
    <row r="716" spans="1:9" x14ac:dyDescent="0.55000000000000004">
      <c r="A716" t="str">
        <f t="shared" si="11"/>
        <v>X-1-e-0-32.5</v>
      </c>
      <c r="B716" t="s">
        <v>0</v>
      </c>
      <c r="C716">
        <v>1</v>
      </c>
      <c r="D716" t="s">
        <v>2</v>
      </c>
      <c r="E716">
        <v>0</v>
      </c>
      <c r="F716">
        <v>32.5</v>
      </c>
      <c r="G716">
        <v>3688.3591630000001</v>
      </c>
      <c r="H716">
        <v>4.6741869999999999</v>
      </c>
      <c r="I716">
        <v>3</v>
      </c>
    </row>
    <row r="717" spans="1:9" x14ac:dyDescent="0.55000000000000004">
      <c r="A717" t="str">
        <f t="shared" si="11"/>
        <v>X-2-f-0-32.5</v>
      </c>
      <c r="B717" t="s">
        <v>0</v>
      </c>
      <c r="C717">
        <v>2</v>
      </c>
      <c r="D717" t="s">
        <v>1</v>
      </c>
      <c r="E717">
        <v>0</v>
      </c>
      <c r="F717">
        <v>32.5</v>
      </c>
      <c r="G717">
        <v>3909.1815059999999</v>
      </c>
      <c r="H717">
        <v>2.8676349999999999</v>
      </c>
      <c r="I717">
        <v>3</v>
      </c>
    </row>
    <row r="718" spans="1:9" x14ac:dyDescent="0.55000000000000004">
      <c r="A718" t="str">
        <f t="shared" si="11"/>
        <v>X-1-e-1-32.5</v>
      </c>
      <c r="B718" t="s">
        <v>0</v>
      </c>
      <c r="C718">
        <v>1</v>
      </c>
      <c r="D718" t="s">
        <v>2</v>
      </c>
      <c r="E718">
        <v>1</v>
      </c>
      <c r="F718">
        <v>32.5</v>
      </c>
      <c r="G718">
        <v>4779.8207979999997</v>
      </c>
      <c r="H718">
        <v>2.8496350000000001</v>
      </c>
      <c r="I718">
        <v>3</v>
      </c>
    </row>
    <row r="719" spans="1:9" x14ac:dyDescent="0.55000000000000004">
      <c r="A719" t="str">
        <f t="shared" si="11"/>
        <v>X-2-f-1-32.5</v>
      </c>
      <c r="B719" t="s">
        <v>0</v>
      </c>
      <c r="C719">
        <v>2</v>
      </c>
      <c r="D719" t="s">
        <v>1</v>
      </c>
      <c r="E719">
        <v>1</v>
      </c>
      <c r="F719">
        <v>32.5</v>
      </c>
      <c r="G719">
        <v>4989.0140929999998</v>
      </c>
      <c r="H719">
        <v>4.6731829999999999</v>
      </c>
      <c r="I719">
        <v>3</v>
      </c>
    </row>
    <row r="720" spans="1:9" x14ac:dyDescent="0.55000000000000004">
      <c r="A720" t="str">
        <f t="shared" si="11"/>
        <v>A-1-f-0-32.5</v>
      </c>
      <c r="B720" t="s">
        <v>1121</v>
      </c>
      <c r="C720">
        <v>1</v>
      </c>
      <c r="D720" t="s">
        <v>1</v>
      </c>
      <c r="E720">
        <v>0</v>
      </c>
      <c r="F720">
        <v>32.5</v>
      </c>
      <c r="G720">
        <v>17162.186484999998</v>
      </c>
      <c r="H720">
        <v>5.1978609999999996</v>
      </c>
      <c r="I720">
        <v>2</v>
      </c>
    </row>
    <row r="721" spans="1:9" x14ac:dyDescent="0.55000000000000004">
      <c r="A721" t="str">
        <f t="shared" si="11"/>
        <v>A-1-e-0-32.5</v>
      </c>
      <c r="B721" t="s">
        <v>1121</v>
      </c>
      <c r="C721">
        <v>1</v>
      </c>
      <c r="D721" t="s">
        <v>2</v>
      </c>
      <c r="E721">
        <v>0</v>
      </c>
      <c r="F721">
        <v>32.5</v>
      </c>
      <c r="G721">
        <v>17230.936355999998</v>
      </c>
      <c r="H721">
        <v>2.8969680000000002</v>
      </c>
      <c r="I721">
        <v>3</v>
      </c>
    </row>
    <row r="722" spans="1:9" x14ac:dyDescent="0.55000000000000004">
      <c r="A722" t="str">
        <f t="shared" si="11"/>
        <v>A-2-f-0-32.5</v>
      </c>
      <c r="B722" t="s">
        <v>1121</v>
      </c>
      <c r="C722">
        <v>2</v>
      </c>
      <c r="D722" t="s">
        <v>1</v>
      </c>
      <c r="E722">
        <v>0</v>
      </c>
      <c r="F722">
        <v>32.5</v>
      </c>
      <c r="G722">
        <v>17500.801485</v>
      </c>
      <c r="H722">
        <v>5.269361</v>
      </c>
      <c r="I722">
        <v>3</v>
      </c>
    </row>
    <row r="723" spans="1:9" x14ac:dyDescent="0.55000000000000004">
      <c r="A723" t="str">
        <f t="shared" si="11"/>
        <v>A-2-e-0-32.5</v>
      </c>
      <c r="B723" t="s">
        <v>1121</v>
      </c>
      <c r="C723">
        <v>2</v>
      </c>
      <c r="D723" t="s">
        <v>2</v>
      </c>
      <c r="E723">
        <v>0</v>
      </c>
      <c r="F723">
        <v>32.5</v>
      </c>
      <c r="G723">
        <v>17539.921505999999</v>
      </c>
      <c r="H723">
        <v>2.8576350000000001</v>
      </c>
      <c r="I723">
        <v>3</v>
      </c>
    </row>
    <row r="724" spans="1:9" x14ac:dyDescent="0.55000000000000004">
      <c r="A724" t="str">
        <f t="shared" si="11"/>
        <v>B-1-e-0-32.5</v>
      </c>
      <c r="B724" t="s">
        <v>1515</v>
      </c>
      <c r="C724">
        <v>1</v>
      </c>
      <c r="D724" t="s">
        <v>2</v>
      </c>
      <c r="E724">
        <v>0</v>
      </c>
      <c r="F724">
        <v>32.5</v>
      </c>
      <c r="G724">
        <v>18172.801206</v>
      </c>
      <c r="H724">
        <v>2.8976350000000002</v>
      </c>
      <c r="I724">
        <v>3</v>
      </c>
    </row>
    <row r="725" spans="1:9" x14ac:dyDescent="0.55000000000000004">
      <c r="A725" t="str">
        <f t="shared" si="11"/>
        <v>B-2-f-0-32.5</v>
      </c>
      <c r="B725" t="s">
        <v>1515</v>
      </c>
      <c r="C725">
        <v>2</v>
      </c>
      <c r="D725" t="s">
        <v>1</v>
      </c>
      <c r="E725">
        <v>0</v>
      </c>
      <c r="F725">
        <v>32.5</v>
      </c>
      <c r="G725">
        <v>18496.409163</v>
      </c>
      <c r="H725">
        <v>4.7041870000000001</v>
      </c>
      <c r="I725">
        <v>3</v>
      </c>
    </row>
    <row r="726" spans="1:9" x14ac:dyDescent="0.55000000000000004">
      <c r="A726" t="str">
        <f t="shared" si="11"/>
        <v>B-1-e-1-32.5</v>
      </c>
      <c r="B726" t="s">
        <v>1515</v>
      </c>
      <c r="C726">
        <v>1</v>
      </c>
      <c r="D726" t="s">
        <v>2</v>
      </c>
      <c r="E726">
        <v>1</v>
      </c>
      <c r="F726">
        <v>32.5</v>
      </c>
      <c r="G726">
        <v>19268.842854999999</v>
      </c>
      <c r="H726">
        <v>2.8110010000000001</v>
      </c>
      <c r="I726">
        <v>2</v>
      </c>
    </row>
    <row r="727" spans="1:9" x14ac:dyDescent="0.55000000000000004">
      <c r="A727" t="str">
        <f t="shared" si="11"/>
        <v>X-1-e-0-33.5</v>
      </c>
      <c r="B727" t="s">
        <v>0</v>
      </c>
      <c r="C727">
        <v>1</v>
      </c>
      <c r="D727" t="s">
        <v>2</v>
      </c>
      <c r="E727">
        <v>0</v>
      </c>
      <c r="F727">
        <v>33.5</v>
      </c>
      <c r="G727">
        <v>3912.941206</v>
      </c>
      <c r="H727">
        <v>2.887635</v>
      </c>
      <c r="I727">
        <v>3</v>
      </c>
    </row>
    <row r="728" spans="1:9" x14ac:dyDescent="0.55000000000000004">
      <c r="A728" t="str">
        <f t="shared" si="11"/>
        <v>X-2-f-0-33.5</v>
      </c>
      <c r="B728" t="s">
        <v>0</v>
      </c>
      <c r="C728">
        <v>2</v>
      </c>
      <c r="D728" t="s">
        <v>1</v>
      </c>
      <c r="E728">
        <v>0</v>
      </c>
      <c r="F728">
        <v>33.5</v>
      </c>
      <c r="G728">
        <v>4132.6191630000003</v>
      </c>
      <c r="H728">
        <v>4.6941870000000003</v>
      </c>
      <c r="I728">
        <v>3</v>
      </c>
    </row>
    <row r="729" spans="1:9" x14ac:dyDescent="0.55000000000000004">
      <c r="A729" t="str">
        <f t="shared" si="11"/>
        <v>X-1-e-1-33.5</v>
      </c>
      <c r="B729" t="s">
        <v>0</v>
      </c>
      <c r="C729">
        <v>1</v>
      </c>
      <c r="D729" t="s">
        <v>2</v>
      </c>
      <c r="E729">
        <v>1</v>
      </c>
      <c r="F729">
        <v>33.5</v>
      </c>
      <c r="G729">
        <v>4992.5129720000004</v>
      </c>
      <c r="H729">
        <v>4.6731870000000004</v>
      </c>
      <c r="I729">
        <v>3</v>
      </c>
    </row>
    <row r="730" spans="1:9" x14ac:dyDescent="0.55000000000000004">
      <c r="A730" t="str">
        <f t="shared" si="11"/>
        <v>X-2-f-1-33.5</v>
      </c>
      <c r="B730" t="s">
        <v>0</v>
      </c>
      <c r="C730">
        <v>2</v>
      </c>
      <c r="D730" t="s">
        <v>1</v>
      </c>
      <c r="E730">
        <v>1</v>
      </c>
      <c r="F730">
        <v>33.5</v>
      </c>
      <c r="G730">
        <v>5213.5302009999996</v>
      </c>
      <c r="H730">
        <v>2.8686349999999998</v>
      </c>
      <c r="I730">
        <v>2</v>
      </c>
    </row>
    <row r="731" spans="1:9" x14ac:dyDescent="0.55000000000000004">
      <c r="A731" t="str">
        <f t="shared" si="11"/>
        <v>A-1-f-0-33.5</v>
      </c>
      <c r="B731" t="s">
        <v>1121</v>
      </c>
      <c r="C731">
        <v>1</v>
      </c>
      <c r="D731" t="s">
        <v>1</v>
      </c>
      <c r="E731">
        <v>0</v>
      </c>
      <c r="F731">
        <v>33.5</v>
      </c>
      <c r="G731">
        <v>17392.581355999999</v>
      </c>
      <c r="H731">
        <v>2.8988019999999999</v>
      </c>
      <c r="I731">
        <v>1</v>
      </c>
    </row>
    <row r="732" spans="1:9" x14ac:dyDescent="0.55000000000000004">
      <c r="A732" t="str">
        <f t="shared" si="11"/>
        <v>A-1-e-0-33.5</v>
      </c>
      <c r="B732" t="s">
        <v>1121</v>
      </c>
      <c r="C732">
        <v>1</v>
      </c>
      <c r="D732" t="s">
        <v>2</v>
      </c>
      <c r="E732">
        <v>0</v>
      </c>
      <c r="F732">
        <v>33.5</v>
      </c>
      <c r="G732">
        <v>17453.569318000002</v>
      </c>
      <c r="H732">
        <v>4.7488320000000002</v>
      </c>
      <c r="I732">
        <v>3</v>
      </c>
    </row>
    <row r="733" spans="1:9" x14ac:dyDescent="0.55000000000000004">
      <c r="A733" t="str">
        <f t="shared" si="11"/>
        <v>A-2-f-0-33.5</v>
      </c>
      <c r="B733" t="s">
        <v>1121</v>
      </c>
      <c r="C733">
        <v>2</v>
      </c>
      <c r="D733" t="s">
        <v>1</v>
      </c>
      <c r="E733">
        <v>0</v>
      </c>
      <c r="F733">
        <v>33.5</v>
      </c>
      <c r="G733">
        <v>17731.851355999999</v>
      </c>
      <c r="H733">
        <v>2.8776350000000002</v>
      </c>
      <c r="I733">
        <v>3</v>
      </c>
    </row>
    <row r="734" spans="1:9" x14ac:dyDescent="0.55000000000000004">
      <c r="A734" t="str">
        <f t="shared" si="11"/>
        <v>A-2-e-0-33.5</v>
      </c>
      <c r="B734" t="s">
        <v>1121</v>
      </c>
      <c r="C734">
        <v>2</v>
      </c>
      <c r="D734" t="s">
        <v>2</v>
      </c>
      <c r="E734">
        <v>0</v>
      </c>
      <c r="F734">
        <v>33.5</v>
      </c>
      <c r="G734">
        <v>17767.149162999998</v>
      </c>
      <c r="H734">
        <v>4.6841869999999997</v>
      </c>
      <c r="I734">
        <v>2</v>
      </c>
    </row>
    <row r="735" spans="1:9" x14ac:dyDescent="0.55000000000000004">
      <c r="A735" t="str">
        <f t="shared" si="11"/>
        <v>B-1-e-0-33.5</v>
      </c>
      <c r="B735" t="s">
        <v>1515</v>
      </c>
      <c r="C735">
        <v>1</v>
      </c>
      <c r="D735" t="s">
        <v>2</v>
      </c>
      <c r="E735">
        <v>0</v>
      </c>
      <c r="F735">
        <v>33.5</v>
      </c>
      <c r="G735">
        <v>18399.259472999998</v>
      </c>
      <c r="H735">
        <v>4.7241869999999997</v>
      </c>
      <c r="I735">
        <v>1</v>
      </c>
    </row>
    <row r="736" spans="1:9" x14ac:dyDescent="0.55000000000000004">
      <c r="A736" t="str">
        <f t="shared" si="11"/>
        <v>B-2-f-0-33.5</v>
      </c>
      <c r="B736" t="s">
        <v>1515</v>
      </c>
      <c r="C736">
        <v>2</v>
      </c>
      <c r="D736" t="s">
        <v>1</v>
      </c>
      <c r="E736">
        <v>0</v>
      </c>
      <c r="F736">
        <v>33.5</v>
      </c>
      <c r="G736">
        <v>18736.701206000002</v>
      </c>
      <c r="H736">
        <v>2.9176350000000002</v>
      </c>
      <c r="I736">
        <v>3</v>
      </c>
    </row>
    <row r="737" spans="1:9" x14ac:dyDescent="0.55000000000000004">
      <c r="A737" t="str">
        <f t="shared" si="11"/>
        <v>B-1-e-1-33.5</v>
      </c>
      <c r="B737" t="s">
        <v>1515</v>
      </c>
      <c r="C737">
        <v>1</v>
      </c>
      <c r="D737" t="s">
        <v>2</v>
      </c>
      <c r="E737">
        <v>1</v>
      </c>
      <c r="F737">
        <v>33.5</v>
      </c>
      <c r="G737">
        <v>19490.860798000002</v>
      </c>
      <c r="H737">
        <v>2.8596349999999999</v>
      </c>
      <c r="I737">
        <v>3</v>
      </c>
    </row>
    <row r="738" spans="1:9" x14ac:dyDescent="0.55000000000000004">
      <c r="A738" t="str">
        <f t="shared" si="11"/>
        <v>X-1-e-0-34.5</v>
      </c>
      <c r="B738" t="s">
        <v>0</v>
      </c>
      <c r="C738">
        <v>1</v>
      </c>
      <c r="D738" t="s">
        <v>2</v>
      </c>
      <c r="E738">
        <v>0</v>
      </c>
      <c r="F738">
        <v>34.5</v>
      </c>
      <c r="G738">
        <v>4136.4094729999997</v>
      </c>
      <c r="H738">
        <v>4.7141869999999999</v>
      </c>
      <c r="I738">
        <v>2</v>
      </c>
    </row>
    <row r="739" spans="1:9" x14ac:dyDescent="0.55000000000000004">
      <c r="A739" t="str">
        <f t="shared" si="11"/>
        <v>X-2-f-0-34.5</v>
      </c>
      <c r="B739" t="s">
        <v>0</v>
      </c>
      <c r="C739">
        <v>2</v>
      </c>
      <c r="D739" t="s">
        <v>1</v>
      </c>
      <c r="E739">
        <v>0</v>
      </c>
      <c r="F739">
        <v>34.5</v>
      </c>
      <c r="G739">
        <v>4368.0412059999999</v>
      </c>
      <c r="H739">
        <v>2.907635</v>
      </c>
      <c r="I739">
        <v>2</v>
      </c>
    </row>
    <row r="740" spans="1:9" x14ac:dyDescent="0.55000000000000004">
      <c r="A740" t="str">
        <f t="shared" si="11"/>
        <v>X-1-e-1-34.5</v>
      </c>
      <c r="B740" t="s">
        <v>0</v>
      </c>
      <c r="C740">
        <v>1</v>
      </c>
      <c r="D740" t="s">
        <v>2</v>
      </c>
      <c r="E740">
        <v>1</v>
      </c>
      <c r="F740">
        <v>34.5</v>
      </c>
      <c r="G740">
        <v>5217.2369909999998</v>
      </c>
      <c r="H740">
        <v>2.8886349999999998</v>
      </c>
      <c r="I740">
        <v>3</v>
      </c>
    </row>
    <row r="741" spans="1:9" x14ac:dyDescent="0.55000000000000004">
      <c r="A741" t="str">
        <f t="shared" si="11"/>
        <v>X-2-f-1-34.5</v>
      </c>
      <c r="B741" t="s">
        <v>0</v>
      </c>
      <c r="C741">
        <v>2</v>
      </c>
      <c r="D741" t="s">
        <v>1</v>
      </c>
      <c r="E741">
        <v>1</v>
      </c>
      <c r="F741">
        <v>34.5</v>
      </c>
      <c r="G741">
        <v>5436.8594830000002</v>
      </c>
      <c r="H741">
        <v>4.6951869999999998</v>
      </c>
      <c r="I741">
        <v>2</v>
      </c>
    </row>
    <row r="742" spans="1:9" x14ac:dyDescent="0.55000000000000004">
      <c r="A742" t="str">
        <f t="shared" si="11"/>
        <v>A-1-f-0-34.5</v>
      </c>
      <c r="B742" t="s">
        <v>1121</v>
      </c>
      <c r="C742">
        <v>1</v>
      </c>
      <c r="D742" t="s">
        <v>1</v>
      </c>
      <c r="E742">
        <v>0</v>
      </c>
      <c r="F742">
        <v>34.5</v>
      </c>
      <c r="G742">
        <v>17622.089317999998</v>
      </c>
      <c r="H742">
        <v>4.7345199999999998</v>
      </c>
      <c r="I742">
        <v>1</v>
      </c>
    </row>
    <row r="743" spans="1:9" x14ac:dyDescent="0.55000000000000004">
      <c r="A743" t="str">
        <f t="shared" si="11"/>
        <v>A-1-e-0-34.5</v>
      </c>
      <c r="B743" t="s">
        <v>1121</v>
      </c>
      <c r="C743">
        <v>1</v>
      </c>
      <c r="D743" t="s">
        <v>2</v>
      </c>
      <c r="E743">
        <v>0</v>
      </c>
      <c r="F743">
        <v>34.5</v>
      </c>
      <c r="G743">
        <v>17688.439385999998</v>
      </c>
      <c r="H743">
        <v>2.9333019999999999</v>
      </c>
      <c r="I743">
        <v>2</v>
      </c>
    </row>
    <row r="744" spans="1:9" x14ac:dyDescent="0.55000000000000004">
      <c r="A744" t="str">
        <f t="shared" si="11"/>
        <v>A-2-f-0-34.5</v>
      </c>
      <c r="B744" t="s">
        <v>1121</v>
      </c>
      <c r="C744">
        <v>2</v>
      </c>
      <c r="D744" t="s">
        <v>1</v>
      </c>
      <c r="E744">
        <v>0</v>
      </c>
      <c r="F744">
        <v>34.5</v>
      </c>
      <c r="G744">
        <v>17961.909318000002</v>
      </c>
      <c r="H744">
        <v>4.7041870000000001</v>
      </c>
      <c r="I744">
        <v>3</v>
      </c>
    </row>
    <row r="745" spans="1:9" x14ac:dyDescent="0.55000000000000004">
      <c r="A745" t="str">
        <f t="shared" si="11"/>
        <v>A-2-e-0-34.5</v>
      </c>
      <c r="B745" t="s">
        <v>1121</v>
      </c>
      <c r="C745">
        <v>2</v>
      </c>
      <c r="D745" t="s">
        <v>2</v>
      </c>
      <c r="E745">
        <v>0</v>
      </c>
      <c r="F745">
        <v>34.5</v>
      </c>
      <c r="G745">
        <v>18006.651205999999</v>
      </c>
      <c r="H745">
        <v>2.8976350000000002</v>
      </c>
      <c r="I745">
        <v>2</v>
      </c>
    </row>
    <row r="746" spans="1:9" x14ac:dyDescent="0.55000000000000004">
      <c r="A746" t="str">
        <f t="shared" si="11"/>
        <v>B-1-e-0-34.5</v>
      </c>
      <c r="B746" t="s">
        <v>1515</v>
      </c>
      <c r="C746">
        <v>1</v>
      </c>
      <c r="D746" t="s">
        <v>2</v>
      </c>
      <c r="E746">
        <v>0</v>
      </c>
      <c r="F746">
        <v>34.5</v>
      </c>
      <c r="G746">
        <v>18637.977566000001</v>
      </c>
      <c r="H746">
        <v>2.968969</v>
      </c>
      <c r="I746">
        <v>1</v>
      </c>
    </row>
    <row r="747" spans="1:9" x14ac:dyDescent="0.55000000000000004">
      <c r="A747" t="str">
        <f t="shared" si="11"/>
        <v>B-2-f-0-34.5</v>
      </c>
      <c r="B747" t="s">
        <v>1515</v>
      </c>
      <c r="C747">
        <v>2</v>
      </c>
      <c r="D747" t="s">
        <v>1</v>
      </c>
      <c r="E747">
        <v>0</v>
      </c>
      <c r="F747">
        <v>34.5</v>
      </c>
      <c r="G747">
        <v>18975.989473000001</v>
      </c>
      <c r="H747">
        <v>4.7441870000000002</v>
      </c>
      <c r="I747">
        <v>2</v>
      </c>
    </row>
    <row r="748" spans="1:9" x14ac:dyDescent="0.55000000000000004">
      <c r="A748" t="str">
        <f t="shared" si="11"/>
        <v>X-1-e-0-35.5</v>
      </c>
      <c r="B748" t="s">
        <v>0</v>
      </c>
      <c r="C748">
        <v>1</v>
      </c>
      <c r="D748" t="s">
        <v>2</v>
      </c>
      <c r="E748">
        <v>0</v>
      </c>
      <c r="F748">
        <v>35.5</v>
      </c>
      <c r="G748">
        <v>4371.9375659999996</v>
      </c>
      <c r="H748">
        <v>2.9589690000000002</v>
      </c>
      <c r="I748">
        <v>3</v>
      </c>
    </row>
    <row r="749" spans="1:9" x14ac:dyDescent="0.55000000000000004">
      <c r="A749" t="str">
        <f t="shared" si="11"/>
        <v>X-2-f-0-35.5</v>
      </c>
      <c r="B749" t="s">
        <v>0</v>
      </c>
      <c r="C749">
        <v>2</v>
      </c>
      <c r="D749" t="s">
        <v>1</v>
      </c>
      <c r="E749">
        <v>0</v>
      </c>
      <c r="F749">
        <v>35.5</v>
      </c>
      <c r="G749">
        <v>4602.2794729999996</v>
      </c>
      <c r="H749">
        <v>4.7341870000000004</v>
      </c>
      <c r="I749">
        <v>2</v>
      </c>
    </row>
    <row r="750" spans="1:9" x14ac:dyDescent="0.55000000000000004">
      <c r="A750" t="str">
        <f t="shared" si="11"/>
        <v>X-1-e-1-35.5</v>
      </c>
      <c r="B750" t="s">
        <v>0</v>
      </c>
      <c r="C750">
        <v>1</v>
      </c>
      <c r="D750" t="s">
        <v>2</v>
      </c>
      <c r="E750">
        <v>1</v>
      </c>
      <c r="F750">
        <v>35.5</v>
      </c>
      <c r="G750">
        <v>5440.5946690000001</v>
      </c>
      <c r="H750">
        <v>4.7161869999999997</v>
      </c>
      <c r="I750">
        <v>1</v>
      </c>
    </row>
    <row r="751" spans="1:9" x14ac:dyDescent="0.55000000000000004">
      <c r="A751" t="str">
        <f t="shared" si="11"/>
        <v>X-2-f-1-35.5</v>
      </c>
      <c r="B751" t="s">
        <v>0</v>
      </c>
      <c r="C751">
        <v>2</v>
      </c>
      <c r="D751" t="s">
        <v>1</v>
      </c>
      <c r="E751">
        <v>1</v>
      </c>
      <c r="F751">
        <v>35.5</v>
      </c>
      <c r="G751">
        <v>5671.9165059999996</v>
      </c>
      <c r="H751">
        <v>2.9126349999999999</v>
      </c>
      <c r="I751">
        <v>2</v>
      </c>
    </row>
    <row r="752" spans="1:9" x14ac:dyDescent="0.55000000000000004">
      <c r="A752" t="str">
        <f t="shared" si="11"/>
        <v>A-1-f-0-35.5</v>
      </c>
      <c r="B752" t="s">
        <v>1121</v>
      </c>
      <c r="C752">
        <v>1</v>
      </c>
      <c r="D752" t="s">
        <v>1</v>
      </c>
      <c r="E752">
        <v>0</v>
      </c>
      <c r="F752">
        <v>35.5</v>
      </c>
      <c r="G752">
        <v>17863.809386000001</v>
      </c>
      <c r="H752">
        <v>2.9898920000000002</v>
      </c>
      <c r="I752">
        <v>3</v>
      </c>
    </row>
    <row r="753" spans="1:9" x14ac:dyDescent="0.55000000000000004">
      <c r="A753" t="str">
        <f t="shared" si="11"/>
        <v>A-1-e-0-35.5</v>
      </c>
      <c r="B753" t="s">
        <v>1121</v>
      </c>
      <c r="C753">
        <v>1</v>
      </c>
      <c r="D753" t="s">
        <v>2</v>
      </c>
      <c r="E753">
        <v>0</v>
      </c>
      <c r="F753">
        <v>35.5</v>
      </c>
      <c r="G753">
        <v>17922.154472999999</v>
      </c>
      <c r="H753">
        <v>4.771687</v>
      </c>
      <c r="I753">
        <v>2</v>
      </c>
    </row>
    <row r="754" spans="1:9" x14ac:dyDescent="0.55000000000000004">
      <c r="A754" t="str">
        <f t="shared" si="11"/>
        <v>A-2-f-0-35.5</v>
      </c>
      <c r="B754" t="s">
        <v>1121</v>
      </c>
      <c r="C754">
        <v>2</v>
      </c>
      <c r="D754" t="s">
        <v>1</v>
      </c>
      <c r="E754">
        <v>0</v>
      </c>
      <c r="F754">
        <v>35.5</v>
      </c>
      <c r="G754">
        <v>18204.169386000001</v>
      </c>
      <c r="H754">
        <v>2.944302</v>
      </c>
      <c r="I754">
        <v>1</v>
      </c>
    </row>
    <row r="755" spans="1:9" x14ac:dyDescent="0.55000000000000004">
      <c r="A755" t="str">
        <f t="shared" si="11"/>
        <v>A-2-e-0-35.5</v>
      </c>
      <c r="B755" t="s">
        <v>1121</v>
      </c>
      <c r="C755">
        <v>2</v>
      </c>
      <c r="D755" t="s">
        <v>2</v>
      </c>
      <c r="E755">
        <v>0</v>
      </c>
      <c r="F755">
        <v>35.5</v>
      </c>
      <c r="G755">
        <v>18245.239473000001</v>
      </c>
      <c r="H755">
        <v>4.7241869999999997</v>
      </c>
      <c r="I755">
        <v>1</v>
      </c>
    </row>
    <row r="756" spans="1:9" x14ac:dyDescent="0.55000000000000004">
      <c r="A756" t="str">
        <f t="shared" si="11"/>
        <v>B-1-e-0-35.5</v>
      </c>
      <c r="B756" t="s">
        <v>1515</v>
      </c>
      <c r="C756">
        <v>1</v>
      </c>
      <c r="D756" t="s">
        <v>2</v>
      </c>
      <c r="E756">
        <v>0</v>
      </c>
      <c r="F756">
        <v>35.5</v>
      </c>
      <c r="G756">
        <v>18875.864473000001</v>
      </c>
      <c r="H756">
        <v>4.771687</v>
      </c>
      <c r="I756">
        <v>3</v>
      </c>
    </row>
    <row r="757" spans="1:9" x14ac:dyDescent="0.55000000000000004">
      <c r="A757" t="str">
        <f t="shared" si="11"/>
        <v>B-2-f-0-35.5</v>
      </c>
      <c r="B757" t="s">
        <v>1515</v>
      </c>
      <c r="C757">
        <v>2</v>
      </c>
      <c r="D757" t="s">
        <v>1</v>
      </c>
      <c r="E757">
        <v>0</v>
      </c>
      <c r="F757">
        <v>35.5</v>
      </c>
      <c r="G757">
        <v>19227.217565999999</v>
      </c>
      <c r="H757">
        <v>2.988969</v>
      </c>
      <c r="I757">
        <v>2</v>
      </c>
    </row>
    <row r="758" spans="1:9" x14ac:dyDescent="0.55000000000000004">
      <c r="A758" t="str">
        <f t="shared" si="11"/>
        <v>X-1-e-0-36.5</v>
      </c>
      <c r="B758" t="s">
        <v>0</v>
      </c>
      <c r="C758">
        <v>1</v>
      </c>
      <c r="D758" t="s">
        <v>2</v>
      </c>
      <c r="E758">
        <v>0</v>
      </c>
      <c r="F758">
        <v>36.5</v>
      </c>
      <c r="G758">
        <v>4606.2344730000004</v>
      </c>
      <c r="H758">
        <v>4.7616870000000002</v>
      </c>
      <c r="I758">
        <v>1</v>
      </c>
    </row>
    <row r="759" spans="1:9" x14ac:dyDescent="0.55000000000000004">
      <c r="A759" t="str">
        <f t="shared" si="11"/>
        <v>X-2-f-0-36.5</v>
      </c>
      <c r="B759" t="s">
        <v>0</v>
      </c>
      <c r="C759">
        <v>2</v>
      </c>
      <c r="D759" t="s">
        <v>1</v>
      </c>
      <c r="E759">
        <v>0</v>
      </c>
      <c r="F759">
        <v>36.5</v>
      </c>
      <c r="G759">
        <v>4848.3175659999997</v>
      </c>
      <c r="H759">
        <v>2.9789690000000002</v>
      </c>
      <c r="I759">
        <v>1</v>
      </c>
    </row>
    <row r="760" spans="1:9" x14ac:dyDescent="0.55000000000000004">
      <c r="A760" t="str">
        <f t="shared" si="11"/>
        <v>X-1-e-1-36.5</v>
      </c>
      <c r="B760" t="s">
        <v>0</v>
      </c>
      <c r="C760">
        <v>1</v>
      </c>
      <c r="D760" t="s">
        <v>2</v>
      </c>
      <c r="E760">
        <v>1</v>
      </c>
      <c r="F760">
        <v>36.5</v>
      </c>
      <c r="G760">
        <v>5675.7527460000001</v>
      </c>
      <c r="H760">
        <v>2.9599690000000001</v>
      </c>
      <c r="I760">
        <v>3</v>
      </c>
    </row>
    <row r="761" spans="1:9" x14ac:dyDescent="0.55000000000000004">
      <c r="A761" t="str">
        <f t="shared" si="11"/>
        <v>A-1-f-0-36.5</v>
      </c>
      <c r="B761" t="s">
        <v>1121</v>
      </c>
      <c r="C761">
        <v>1</v>
      </c>
      <c r="D761" t="s">
        <v>1</v>
      </c>
      <c r="E761">
        <v>0</v>
      </c>
      <c r="F761">
        <v>36.5</v>
      </c>
      <c r="G761">
        <v>18104.446972999998</v>
      </c>
      <c r="H761">
        <v>4.7479370000000003</v>
      </c>
      <c r="I761">
        <v>1</v>
      </c>
    </row>
    <row r="762" spans="1:9" x14ac:dyDescent="0.55000000000000004">
      <c r="A762" t="str">
        <f t="shared" si="11"/>
        <v>A-1-e-0-36.5</v>
      </c>
      <c r="B762" t="s">
        <v>1121</v>
      </c>
      <c r="C762">
        <v>1</v>
      </c>
      <c r="D762" t="s">
        <v>2</v>
      </c>
      <c r="E762">
        <v>0</v>
      </c>
      <c r="F762">
        <v>36.5</v>
      </c>
      <c r="G762">
        <v>18167.777566000001</v>
      </c>
      <c r="H762">
        <v>3.0439690000000001</v>
      </c>
      <c r="I762">
        <v>3</v>
      </c>
    </row>
    <row r="763" spans="1:9" x14ac:dyDescent="0.55000000000000004">
      <c r="A763" t="str">
        <f t="shared" si="11"/>
        <v>A-2-f-0-36.5</v>
      </c>
      <c r="B763" t="s">
        <v>1121</v>
      </c>
      <c r="C763">
        <v>2</v>
      </c>
      <c r="D763" t="s">
        <v>1</v>
      </c>
      <c r="E763">
        <v>0</v>
      </c>
      <c r="F763">
        <v>36.5</v>
      </c>
      <c r="G763">
        <v>18445.331973</v>
      </c>
      <c r="H763">
        <v>4.7479370000000003</v>
      </c>
      <c r="I763">
        <v>1</v>
      </c>
    </row>
    <row r="764" spans="1:9" x14ac:dyDescent="0.55000000000000004">
      <c r="A764" t="str">
        <f t="shared" si="11"/>
        <v>A-2-e-0-36.5</v>
      </c>
      <c r="B764" t="s">
        <v>1121</v>
      </c>
      <c r="C764">
        <v>2</v>
      </c>
      <c r="D764" t="s">
        <v>2</v>
      </c>
      <c r="E764">
        <v>0</v>
      </c>
      <c r="F764">
        <v>36.5</v>
      </c>
      <c r="G764">
        <v>18495.867566000001</v>
      </c>
      <c r="H764">
        <v>2.968969</v>
      </c>
      <c r="I764">
        <v>1</v>
      </c>
    </row>
    <row r="765" spans="1:9" x14ac:dyDescent="0.55000000000000004">
      <c r="A765" t="str">
        <f t="shared" si="11"/>
        <v>B-1-e-0-36.5</v>
      </c>
      <c r="B765" t="s">
        <v>1515</v>
      </c>
      <c r="C765">
        <v>1</v>
      </c>
      <c r="D765" t="s">
        <v>2</v>
      </c>
      <c r="E765">
        <v>0</v>
      </c>
      <c r="F765">
        <v>36.5</v>
      </c>
      <c r="G765">
        <v>19125.637566000001</v>
      </c>
      <c r="H765">
        <v>3.0439690000000001</v>
      </c>
      <c r="I765">
        <v>1</v>
      </c>
    </row>
    <row r="766" spans="1:9" x14ac:dyDescent="0.55000000000000004">
      <c r="A766" t="str">
        <f t="shared" si="11"/>
        <v>X-1-e-0-37.5</v>
      </c>
      <c r="B766" t="s">
        <v>0</v>
      </c>
      <c r="C766">
        <v>1</v>
      </c>
      <c r="D766" t="s">
        <v>2</v>
      </c>
      <c r="E766">
        <v>0</v>
      </c>
      <c r="F766">
        <v>37.5</v>
      </c>
      <c r="G766">
        <v>4852.2975660000002</v>
      </c>
      <c r="H766">
        <v>3.0339689999999999</v>
      </c>
      <c r="I766">
        <v>1</v>
      </c>
    </row>
    <row r="767" spans="1:9" x14ac:dyDescent="0.55000000000000004">
      <c r="A767" t="str">
        <f t="shared" si="11"/>
        <v>A-1-f-0-37.5</v>
      </c>
      <c r="B767" t="s">
        <v>1121</v>
      </c>
      <c r="C767">
        <v>1</v>
      </c>
      <c r="D767" t="s">
        <v>1</v>
      </c>
      <c r="E767">
        <v>0</v>
      </c>
      <c r="F767">
        <v>37.5</v>
      </c>
      <c r="G767">
        <v>18356.962565999998</v>
      </c>
      <c r="H767">
        <v>3.0064690000000001</v>
      </c>
      <c r="I767">
        <v>1</v>
      </c>
    </row>
    <row r="768" spans="1:9" x14ac:dyDescent="0.55000000000000004">
      <c r="A768" t="str">
        <f t="shared" si="11"/>
        <v>A-2-f-0-37.5</v>
      </c>
      <c r="B768" t="s">
        <v>1121</v>
      </c>
      <c r="C768">
        <v>2</v>
      </c>
      <c r="D768" t="s">
        <v>1</v>
      </c>
      <c r="E768">
        <v>0</v>
      </c>
      <c r="F768">
        <v>37.5</v>
      </c>
      <c r="G768">
        <v>18698.422566000001</v>
      </c>
      <c r="H768">
        <v>3.0064690000000001</v>
      </c>
      <c r="I7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EA64-4379-47E2-8E14-37AA3D0A8358}">
  <dimension ref="A1:Y181"/>
  <sheetViews>
    <sheetView workbookViewId="0">
      <selection activeCell="A2" sqref="A2:A181"/>
    </sheetView>
  </sheetViews>
  <sheetFormatPr defaultRowHeight="14.4" x14ac:dyDescent="0.55000000000000004"/>
  <cols>
    <col min="1" max="1" width="15.83984375" customWidth="1"/>
    <col min="17" max="18" width="8.83984375" style="2"/>
    <col min="20" max="20" width="8.83984375" style="2"/>
    <col min="25" max="25" width="8.83984375" style="3"/>
  </cols>
  <sheetData>
    <row r="1" spans="1:25" x14ac:dyDescent="0.55000000000000004">
      <c r="A1" t="s">
        <v>1643</v>
      </c>
      <c r="D1" t="s">
        <v>1630</v>
      </c>
      <c r="E1" t="s">
        <v>1631</v>
      </c>
      <c r="K1" t="s">
        <v>1634</v>
      </c>
      <c r="P1" t="s">
        <v>1630</v>
      </c>
      <c r="Q1" s="2" t="s">
        <v>1631</v>
      </c>
      <c r="R1" s="2" t="s">
        <v>1644</v>
      </c>
      <c r="S1" t="s">
        <v>680</v>
      </c>
      <c r="T1" s="2" t="s">
        <v>1633</v>
      </c>
      <c r="U1" t="s">
        <v>1634</v>
      </c>
    </row>
    <row r="2" spans="1:25" x14ac:dyDescent="0.55000000000000004">
      <c r="A2" t="str">
        <f>"X"&amp;"-"&amp;O2&amp;"-"&amp;Q2&amp;"-"&amp;K2&amp;"-"&amp;P2&amp;"PG"</f>
        <v>X-1-e-0-0.5PG</v>
      </c>
      <c r="C2" t="s">
        <v>1645</v>
      </c>
      <c r="D2">
        <v>0.5</v>
      </c>
      <c r="E2" t="s">
        <v>2</v>
      </c>
      <c r="F2">
        <v>1</v>
      </c>
      <c r="G2">
        <v>0</v>
      </c>
      <c r="H2">
        <v>2</v>
      </c>
      <c r="I2">
        <v>1.5911634000000001E-2</v>
      </c>
      <c r="J2" t="s">
        <v>1645</v>
      </c>
      <c r="K2">
        <v>0</v>
      </c>
      <c r="L2">
        <v>0.5</v>
      </c>
      <c r="M2">
        <v>0</v>
      </c>
      <c r="N2" t="s">
        <v>1646</v>
      </c>
      <c r="O2">
        <v>1</v>
      </c>
      <c r="P2">
        <f t="shared" ref="P2:Q33" si="0">D2</f>
        <v>0.5</v>
      </c>
      <c r="Q2" s="2" t="str">
        <f t="shared" si="0"/>
        <v>e</v>
      </c>
      <c r="R2" s="2">
        <f>P2+0.5+U2</f>
        <v>1</v>
      </c>
      <c r="S2">
        <f t="shared" ref="S2:S65" si="1">G2</f>
        <v>0</v>
      </c>
      <c r="T2" s="2" t="s">
        <v>0</v>
      </c>
      <c r="U2">
        <f t="shared" ref="U2:U65" si="2">K2</f>
        <v>0</v>
      </c>
      <c r="V2">
        <v>0</v>
      </c>
      <c r="W2">
        <v>0.5</v>
      </c>
      <c r="X2">
        <v>0.5</v>
      </c>
      <c r="Y2" s="3">
        <v>1</v>
      </c>
    </row>
    <row r="3" spans="1:25" x14ac:dyDescent="0.55000000000000004">
      <c r="A3" t="str">
        <f t="shared" ref="A3:A66" si="3">"X"&amp;"-"&amp;O3&amp;"-"&amp;Q3&amp;"-"&amp;K3&amp;"-"&amp;P3&amp;"PG"</f>
        <v>X-2-f-0-0.5PG</v>
      </c>
      <c r="C3" t="s">
        <v>1645</v>
      </c>
      <c r="D3">
        <v>0.5</v>
      </c>
      <c r="E3" t="s">
        <v>1</v>
      </c>
      <c r="F3">
        <v>1</v>
      </c>
      <c r="G3">
        <v>6.5067000000000004</v>
      </c>
      <c r="H3">
        <v>2</v>
      </c>
      <c r="I3">
        <v>1.5422768999999999E-2</v>
      </c>
      <c r="J3" t="s">
        <v>1645</v>
      </c>
      <c r="K3">
        <v>0</v>
      </c>
      <c r="L3">
        <v>0.5</v>
      </c>
      <c r="M3">
        <v>1</v>
      </c>
      <c r="N3" t="s">
        <v>1647</v>
      </c>
      <c r="O3">
        <v>2</v>
      </c>
      <c r="P3">
        <f t="shared" si="0"/>
        <v>0.5</v>
      </c>
      <c r="Q3" s="2" t="str">
        <f t="shared" si="0"/>
        <v>f</v>
      </c>
      <c r="R3" s="2">
        <f t="shared" ref="R3:R66" si="4">P3+0.5+U3</f>
        <v>1</v>
      </c>
      <c r="S3">
        <f t="shared" si="1"/>
        <v>6.5067000000000004</v>
      </c>
      <c r="T3" s="2" t="s">
        <v>0</v>
      </c>
      <c r="U3">
        <f t="shared" si="2"/>
        <v>0</v>
      </c>
      <c r="V3">
        <v>0</v>
      </c>
      <c r="W3">
        <v>0.5</v>
      </c>
      <c r="X3">
        <v>0.5</v>
      </c>
      <c r="Y3" s="3">
        <v>1</v>
      </c>
    </row>
    <row r="4" spans="1:25" x14ac:dyDescent="0.55000000000000004">
      <c r="A4" t="str">
        <f t="shared" si="3"/>
        <v>X-1-e-0-1.5PG</v>
      </c>
      <c r="C4" t="s">
        <v>1645</v>
      </c>
      <c r="D4">
        <v>1.5</v>
      </c>
      <c r="E4" t="s">
        <v>2</v>
      </c>
      <c r="F4">
        <v>1</v>
      </c>
      <c r="G4">
        <v>6.7946999999999997</v>
      </c>
      <c r="H4">
        <v>4</v>
      </c>
      <c r="I4">
        <v>3.0802955E-2</v>
      </c>
      <c r="J4" t="s">
        <v>1645</v>
      </c>
      <c r="K4">
        <v>0</v>
      </c>
      <c r="L4">
        <v>1.5</v>
      </c>
      <c r="M4">
        <v>1</v>
      </c>
      <c r="N4" t="s">
        <v>1646</v>
      </c>
      <c r="O4">
        <v>1</v>
      </c>
      <c r="P4">
        <f t="shared" si="0"/>
        <v>1.5</v>
      </c>
      <c r="Q4" s="2" t="str">
        <f t="shared" si="0"/>
        <v>e</v>
      </c>
      <c r="R4" s="2">
        <f t="shared" si="4"/>
        <v>2</v>
      </c>
      <c r="S4">
        <f t="shared" si="1"/>
        <v>6.7946999999999997</v>
      </c>
      <c r="T4" s="2" t="s">
        <v>0</v>
      </c>
      <c r="U4">
        <f t="shared" si="2"/>
        <v>0</v>
      </c>
      <c r="V4">
        <v>0</v>
      </c>
      <c r="W4">
        <v>0.5</v>
      </c>
      <c r="X4">
        <v>0.5</v>
      </c>
      <c r="Y4" s="3">
        <v>1</v>
      </c>
    </row>
    <row r="5" spans="1:25" x14ac:dyDescent="0.55000000000000004">
      <c r="A5" t="str">
        <f t="shared" si="3"/>
        <v>X-2-f-0-1.5PG</v>
      </c>
      <c r="C5" t="s">
        <v>1645</v>
      </c>
      <c r="D5">
        <v>1.5</v>
      </c>
      <c r="E5" t="s">
        <v>1</v>
      </c>
      <c r="F5">
        <v>1</v>
      </c>
      <c r="G5">
        <v>19.805499999999999</v>
      </c>
      <c r="H5">
        <v>4</v>
      </c>
      <c r="I5">
        <v>2.8939632E-2</v>
      </c>
      <c r="J5" t="s">
        <v>1645</v>
      </c>
      <c r="K5">
        <v>0</v>
      </c>
      <c r="L5">
        <v>1.5</v>
      </c>
      <c r="M5">
        <v>2</v>
      </c>
      <c r="N5" t="s">
        <v>1647</v>
      </c>
      <c r="O5">
        <v>2</v>
      </c>
      <c r="P5">
        <f t="shared" si="0"/>
        <v>1.5</v>
      </c>
      <c r="Q5" s="2" t="str">
        <f t="shared" si="0"/>
        <v>f</v>
      </c>
      <c r="R5" s="2">
        <f t="shared" si="4"/>
        <v>2</v>
      </c>
      <c r="S5">
        <f t="shared" si="1"/>
        <v>19.805499999999999</v>
      </c>
      <c r="T5" s="2" t="s">
        <v>0</v>
      </c>
      <c r="U5">
        <f t="shared" si="2"/>
        <v>0</v>
      </c>
      <c r="V5">
        <v>0</v>
      </c>
      <c r="W5">
        <v>0.5</v>
      </c>
      <c r="X5">
        <v>0.5</v>
      </c>
      <c r="Y5" s="3">
        <v>1</v>
      </c>
    </row>
    <row r="6" spans="1:25" x14ac:dyDescent="0.55000000000000004">
      <c r="A6" t="str">
        <f t="shared" si="3"/>
        <v>X-1-e-0-2.5PG</v>
      </c>
      <c r="C6" t="s">
        <v>1645</v>
      </c>
      <c r="D6">
        <v>2.5</v>
      </c>
      <c r="E6" t="s">
        <v>2</v>
      </c>
      <c r="F6">
        <v>1</v>
      </c>
      <c r="G6">
        <v>20.285499999999999</v>
      </c>
      <c r="H6">
        <v>6</v>
      </c>
      <c r="I6">
        <v>4.3309641000000003E-2</v>
      </c>
      <c r="J6" t="s">
        <v>1645</v>
      </c>
      <c r="K6">
        <v>0</v>
      </c>
      <c r="L6">
        <v>2.5</v>
      </c>
      <c r="M6">
        <v>2</v>
      </c>
      <c r="N6" t="s">
        <v>1646</v>
      </c>
      <c r="O6">
        <v>1</v>
      </c>
      <c r="P6">
        <f t="shared" si="0"/>
        <v>2.5</v>
      </c>
      <c r="Q6" s="2" t="str">
        <f t="shared" si="0"/>
        <v>e</v>
      </c>
      <c r="R6" s="2">
        <f t="shared" si="4"/>
        <v>3</v>
      </c>
      <c r="S6">
        <f t="shared" si="1"/>
        <v>20.285499999999999</v>
      </c>
      <c r="T6" s="2" t="s">
        <v>0</v>
      </c>
      <c r="U6">
        <f t="shared" si="2"/>
        <v>0</v>
      </c>
      <c r="V6">
        <v>0</v>
      </c>
      <c r="W6">
        <v>0.5</v>
      </c>
      <c r="X6">
        <v>0.5</v>
      </c>
      <c r="Y6" s="3">
        <v>1</v>
      </c>
    </row>
    <row r="7" spans="1:25" x14ac:dyDescent="0.55000000000000004">
      <c r="A7" t="str">
        <f t="shared" si="3"/>
        <v>X-2-f-0-2.5PG</v>
      </c>
      <c r="C7" t="s">
        <v>1645</v>
      </c>
      <c r="D7">
        <v>2.5</v>
      </c>
      <c r="E7" t="s">
        <v>1</v>
      </c>
      <c r="F7">
        <v>1</v>
      </c>
      <c r="G7">
        <v>39.795099999999998</v>
      </c>
      <c r="H7">
        <v>6</v>
      </c>
      <c r="I7">
        <v>3.9441113E-2</v>
      </c>
      <c r="J7" t="s">
        <v>1645</v>
      </c>
      <c r="K7">
        <v>0</v>
      </c>
      <c r="L7">
        <v>2.5</v>
      </c>
      <c r="M7">
        <v>3</v>
      </c>
      <c r="N7" t="s">
        <v>1647</v>
      </c>
      <c r="O7">
        <v>2</v>
      </c>
      <c r="P7">
        <f t="shared" si="0"/>
        <v>2.5</v>
      </c>
      <c r="Q7" s="2" t="str">
        <f t="shared" si="0"/>
        <v>f</v>
      </c>
      <c r="R7" s="2">
        <f t="shared" si="4"/>
        <v>3</v>
      </c>
      <c r="S7">
        <f t="shared" si="1"/>
        <v>39.795099999999998</v>
      </c>
      <c r="T7" s="2" t="s">
        <v>0</v>
      </c>
      <c r="U7">
        <f t="shared" si="2"/>
        <v>0</v>
      </c>
      <c r="V7">
        <v>0</v>
      </c>
      <c r="W7">
        <v>0.5</v>
      </c>
      <c r="X7">
        <v>0.5</v>
      </c>
      <c r="Y7" s="3">
        <v>1</v>
      </c>
    </row>
    <row r="8" spans="1:25" x14ac:dyDescent="0.55000000000000004">
      <c r="A8" t="str">
        <f t="shared" si="3"/>
        <v>X-1-e-0-3.5PG</v>
      </c>
      <c r="C8" t="s">
        <v>1645</v>
      </c>
      <c r="D8">
        <v>3.5</v>
      </c>
      <c r="E8" t="s">
        <v>2</v>
      </c>
      <c r="F8">
        <v>1</v>
      </c>
      <c r="G8">
        <v>40.466700000000003</v>
      </c>
      <c r="H8">
        <v>8</v>
      </c>
      <c r="I8">
        <v>5.2419025000000001E-2</v>
      </c>
      <c r="J8" t="s">
        <v>1645</v>
      </c>
      <c r="K8">
        <v>0</v>
      </c>
      <c r="L8">
        <v>3.5</v>
      </c>
      <c r="M8">
        <v>3</v>
      </c>
      <c r="N8" t="s">
        <v>1646</v>
      </c>
      <c r="O8">
        <v>1</v>
      </c>
      <c r="P8">
        <f t="shared" si="0"/>
        <v>3.5</v>
      </c>
      <c r="Q8" s="2" t="str">
        <f t="shared" si="0"/>
        <v>e</v>
      </c>
      <c r="R8" s="2">
        <f t="shared" si="4"/>
        <v>4</v>
      </c>
      <c r="S8">
        <f t="shared" si="1"/>
        <v>40.466700000000003</v>
      </c>
      <c r="T8" s="2" t="s">
        <v>0</v>
      </c>
      <c r="U8">
        <f t="shared" si="2"/>
        <v>0</v>
      </c>
      <c r="V8">
        <v>0</v>
      </c>
      <c r="W8">
        <v>0.5</v>
      </c>
      <c r="X8">
        <v>0.5</v>
      </c>
      <c r="Y8" s="3">
        <v>1</v>
      </c>
    </row>
    <row r="9" spans="1:25" x14ac:dyDescent="0.55000000000000004">
      <c r="A9" t="str">
        <f t="shared" si="3"/>
        <v>X-2-f-0-3.5PG</v>
      </c>
      <c r="C9" t="s">
        <v>1645</v>
      </c>
      <c r="D9">
        <v>3.5</v>
      </c>
      <c r="E9" t="s">
        <v>1</v>
      </c>
      <c r="F9">
        <v>1</v>
      </c>
      <c r="G9">
        <v>66.467299999999994</v>
      </c>
      <c r="H9">
        <v>8</v>
      </c>
      <c r="I9">
        <v>4.6273662E-2</v>
      </c>
      <c r="J9" t="s">
        <v>1645</v>
      </c>
      <c r="K9">
        <v>0</v>
      </c>
      <c r="L9">
        <v>3.5</v>
      </c>
      <c r="M9">
        <v>4</v>
      </c>
      <c r="N9" t="s">
        <v>1647</v>
      </c>
      <c r="O9">
        <v>2</v>
      </c>
      <c r="P9">
        <f t="shared" si="0"/>
        <v>3.5</v>
      </c>
      <c r="Q9" s="2" t="str">
        <f t="shared" si="0"/>
        <v>f</v>
      </c>
      <c r="R9" s="2">
        <f t="shared" si="4"/>
        <v>4</v>
      </c>
      <c r="S9">
        <f t="shared" si="1"/>
        <v>66.467299999999994</v>
      </c>
      <c r="T9" s="2" t="s">
        <v>0</v>
      </c>
      <c r="U9">
        <f t="shared" si="2"/>
        <v>0</v>
      </c>
      <c r="V9">
        <v>0</v>
      </c>
      <c r="W9">
        <v>0.5</v>
      </c>
      <c r="X9">
        <v>0.5</v>
      </c>
      <c r="Y9" s="3">
        <v>1</v>
      </c>
    </row>
    <row r="10" spans="1:25" x14ac:dyDescent="0.55000000000000004">
      <c r="A10" t="str">
        <f t="shared" si="3"/>
        <v>X-1-e-0-4.5PG</v>
      </c>
      <c r="C10" t="s">
        <v>1645</v>
      </c>
      <c r="D10">
        <v>4.5</v>
      </c>
      <c r="E10" t="s">
        <v>2</v>
      </c>
      <c r="F10">
        <v>1</v>
      </c>
      <c r="G10">
        <v>67.330299999999994</v>
      </c>
      <c r="H10">
        <v>10</v>
      </c>
      <c r="I10">
        <v>5.7603147E-2</v>
      </c>
      <c r="J10" t="s">
        <v>1645</v>
      </c>
      <c r="K10">
        <v>0</v>
      </c>
      <c r="L10">
        <v>4.5</v>
      </c>
      <c r="M10">
        <v>4</v>
      </c>
      <c r="N10" t="s">
        <v>1646</v>
      </c>
      <c r="O10">
        <v>1</v>
      </c>
      <c r="P10">
        <f t="shared" si="0"/>
        <v>4.5</v>
      </c>
      <c r="Q10" s="2" t="str">
        <f t="shared" si="0"/>
        <v>e</v>
      </c>
      <c r="R10" s="2">
        <f t="shared" si="4"/>
        <v>5</v>
      </c>
      <c r="S10">
        <f t="shared" si="1"/>
        <v>67.330299999999994</v>
      </c>
      <c r="T10" s="2" t="s">
        <v>0</v>
      </c>
      <c r="U10">
        <f t="shared" si="2"/>
        <v>0</v>
      </c>
      <c r="V10">
        <v>0</v>
      </c>
      <c r="W10">
        <v>0.5</v>
      </c>
      <c r="X10">
        <v>0.5</v>
      </c>
      <c r="Y10" s="3">
        <v>1</v>
      </c>
    </row>
    <row r="11" spans="1:25" x14ac:dyDescent="0.55000000000000004">
      <c r="A11" t="str">
        <f t="shared" si="3"/>
        <v>X-2-f-0-4.5PG</v>
      </c>
      <c r="C11" t="s">
        <v>1645</v>
      </c>
      <c r="D11">
        <v>4.5</v>
      </c>
      <c r="E11" t="s">
        <v>1</v>
      </c>
      <c r="F11">
        <v>1</v>
      </c>
      <c r="G11">
        <v>99.811400000000006</v>
      </c>
      <c r="H11">
        <v>10</v>
      </c>
      <c r="I11">
        <v>4.9293915000000001E-2</v>
      </c>
      <c r="J11" t="s">
        <v>1645</v>
      </c>
      <c r="K11">
        <v>0</v>
      </c>
      <c r="L11">
        <v>4.5</v>
      </c>
      <c r="M11">
        <v>5</v>
      </c>
      <c r="N11" t="s">
        <v>1647</v>
      </c>
      <c r="O11">
        <v>2</v>
      </c>
      <c r="P11">
        <f t="shared" si="0"/>
        <v>4.5</v>
      </c>
      <c r="Q11" s="2" t="str">
        <f t="shared" si="0"/>
        <v>f</v>
      </c>
      <c r="R11" s="2">
        <f t="shared" si="4"/>
        <v>5</v>
      </c>
      <c r="S11">
        <f t="shared" si="1"/>
        <v>99.811400000000006</v>
      </c>
      <c r="T11" s="2" t="s">
        <v>0</v>
      </c>
      <c r="U11">
        <f t="shared" si="2"/>
        <v>0</v>
      </c>
      <c r="V11">
        <v>0</v>
      </c>
      <c r="W11">
        <v>0.5</v>
      </c>
      <c r="X11">
        <v>0.5</v>
      </c>
      <c r="Y11" s="3">
        <v>1</v>
      </c>
    </row>
    <row r="12" spans="1:25" x14ac:dyDescent="0.55000000000000004">
      <c r="A12" t="str">
        <f t="shared" si="3"/>
        <v>X-1-e-0-5.5PG</v>
      </c>
      <c r="C12" t="s">
        <v>1645</v>
      </c>
      <c r="D12">
        <v>5.5</v>
      </c>
      <c r="E12" t="s">
        <v>2</v>
      </c>
      <c r="F12">
        <v>1</v>
      </c>
      <c r="G12">
        <v>100.8655</v>
      </c>
      <c r="H12">
        <v>12</v>
      </c>
      <c r="I12">
        <v>5.8854399000000002E-2</v>
      </c>
      <c r="J12" t="s">
        <v>1645</v>
      </c>
      <c r="K12">
        <v>0</v>
      </c>
      <c r="L12">
        <v>5.5</v>
      </c>
      <c r="M12">
        <v>5</v>
      </c>
      <c r="N12" t="s">
        <v>1646</v>
      </c>
      <c r="O12">
        <v>1</v>
      </c>
      <c r="P12">
        <f t="shared" si="0"/>
        <v>5.5</v>
      </c>
      <c r="Q12" s="2" t="str">
        <f t="shared" si="0"/>
        <v>e</v>
      </c>
      <c r="R12" s="2">
        <f t="shared" si="4"/>
        <v>6</v>
      </c>
      <c r="S12">
        <f t="shared" si="1"/>
        <v>100.8655</v>
      </c>
      <c r="T12" s="2" t="s">
        <v>0</v>
      </c>
      <c r="U12">
        <f t="shared" si="2"/>
        <v>0</v>
      </c>
      <c r="V12">
        <v>0</v>
      </c>
      <c r="W12">
        <v>0.5</v>
      </c>
      <c r="X12">
        <v>0.5</v>
      </c>
      <c r="Y12" s="3">
        <v>1</v>
      </c>
    </row>
    <row r="13" spans="1:25" x14ac:dyDescent="0.55000000000000004">
      <c r="A13" t="str">
        <f t="shared" si="3"/>
        <v>X-2-f-0-5.5PG</v>
      </c>
      <c r="C13" t="s">
        <v>1645</v>
      </c>
      <c r="D13">
        <v>5.5</v>
      </c>
      <c r="E13" t="s">
        <v>1</v>
      </c>
      <c r="F13">
        <v>1</v>
      </c>
      <c r="G13">
        <v>139.81399999999999</v>
      </c>
      <c r="H13">
        <v>12</v>
      </c>
      <c r="I13">
        <v>4.8826482999999997E-2</v>
      </c>
      <c r="J13" t="s">
        <v>1645</v>
      </c>
      <c r="K13">
        <v>0</v>
      </c>
      <c r="L13">
        <v>5.5</v>
      </c>
      <c r="M13">
        <v>6</v>
      </c>
      <c r="N13" t="s">
        <v>1647</v>
      </c>
      <c r="O13">
        <v>2</v>
      </c>
      <c r="P13">
        <f t="shared" si="0"/>
        <v>5.5</v>
      </c>
      <c r="Q13" s="2" t="str">
        <f t="shared" si="0"/>
        <v>f</v>
      </c>
      <c r="R13" s="2">
        <f t="shared" si="4"/>
        <v>6</v>
      </c>
      <c r="S13">
        <f t="shared" si="1"/>
        <v>139.81399999999999</v>
      </c>
      <c r="T13" s="2" t="s">
        <v>0</v>
      </c>
      <c r="U13">
        <f t="shared" si="2"/>
        <v>0</v>
      </c>
      <c r="V13">
        <v>0</v>
      </c>
      <c r="W13">
        <v>0.5</v>
      </c>
      <c r="X13">
        <v>0.5</v>
      </c>
      <c r="Y13" s="3">
        <v>1</v>
      </c>
    </row>
    <row r="14" spans="1:25" x14ac:dyDescent="0.55000000000000004">
      <c r="A14" t="str">
        <f t="shared" si="3"/>
        <v>X-1-e-0-6.5PG</v>
      </c>
      <c r="C14" t="s">
        <v>1645</v>
      </c>
      <c r="D14">
        <v>6.5</v>
      </c>
      <c r="E14" t="s">
        <v>2</v>
      </c>
      <c r="F14">
        <v>1</v>
      </c>
      <c r="G14">
        <v>141.05869999999999</v>
      </c>
      <c r="H14">
        <v>14</v>
      </c>
      <c r="I14">
        <v>5.6625175999999999E-2</v>
      </c>
      <c r="J14" t="s">
        <v>1645</v>
      </c>
      <c r="K14">
        <v>0</v>
      </c>
      <c r="L14">
        <v>6.5</v>
      </c>
      <c r="M14">
        <v>6</v>
      </c>
      <c r="N14" t="s">
        <v>1646</v>
      </c>
      <c r="O14">
        <v>1</v>
      </c>
      <c r="P14">
        <f t="shared" si="0"/>
        <v>6.5</v>
      </c>
      <c r="Q14" s="2" t="str">
        <f t="shared" si="0"/>
        <v>e</v>
      </c>
      <c r="R14" s="2">
        <f t="shared" si="4"/>
        <v>7</v>
      </c>
      <c r="S14">
        <f t="shared" si="1"/>
        <v>141.05869999999999</v>
      </c>
      <c r="T14" s="2" t="s">
        <v>0</v>
      </c>
      <c r="U14">
        <f t="shared" si="2"/>
        <v>0</v>
      </c>
      <c r="V14">
        <v>0</v>
      </c>
      <c r="W14">
        <v>0.5</v>
      </c>
      <c r="X14">
        <v>0.5</v>
      </c>
      <c r="Y14" s="3">
        <v>1</v>
      </c>
    </row>
    <row r="15" spans="1:25" x14ac:dyDescent="0.55000000000000004">
      <c r="A15" t="str">
        <f t="shared" si="3"/>
        <v>X-2-f-0-6.5PG</v>
      </c>
      <c r="C15" t="s">
        <v>1645</v>
      </c>
      <c r="D15">
        <v>6.5</v>
      </c>
      <c r="E15" t="s">
        <v>1</v>
      </c>
      <c r="F15">
        <v>1</v>
      </c>
      <c r="G15">
        <v>186.4589</v>
      </c>
      <c r="H15">
        <v>14</v>
      </c>
      <c r="I15">
        <v>4.5545779000000002E-2</v>
      </c>
      <c r="J15" t="s">
        <v>1645</v>
      </c>
      <c r="K15">
        <v>0</v>
      </c>
      <c r="L15">
        <v>6.5</v>
      </c>
      <c r="M15">
        <v>7</v>
      </c>
      <c r="N15" t="s">
        <v>1647</v>
      </c>
      <c r="O15">
        <v>2</v>
      </c>
      <c r="P15">
        <f t="shared" si="0"/>
        <v>6.5</v>
      </c>
      <c r="Q15" s="2" t="str">
        <f t="shared" si="0"/>
        <v>f</v>
      </c>
      <c r="R15" s="2">
        <f t="shared" si="4"/>
        <v>7</v>
      </c>
      <c r="S15">
        <f t="shared" si="1"/>
        <v>186.4589</v>
      </c>
      <c r="T15" s="2" t="s">
        <v>0</v>
      </c>
      <c r="U15">
        <f t="shared" si="2"/>
        <v>0</v>
      </c>
      <c r="V15">
        <v>0</v>
      </c>
      <c r="W15">
        <v>0.5</v>
      </c>
      <c r="X15">
        <v>0.5</v>
      </c>
      <c r="Y15" s="3">
        <v>1</v>
      </c>
    </row>
    <row r="16" spans="1:25" x14ac:dyDescent="0.55000000000000004">
      <c r="A16" t="str">
        <f t="shared" si="3"/>
        <v>X-1-e-0-7.5PG</v>
      </c>
      <c r="C16" t="s">
        <v>1645</v>
      </c>
      <c r="D16">
        <v>7.5</v>
      </c>
      <c r="E16" t="s">
        <v>2</v>
      </c>
      <c r="F16">
        <v>1</v>
      </c>
      <c r="G16">
        <v>187.8938</v>
      </c>
      <c r="H16">
        <v>16</v>
      </c>
      <c r="I16">
        <v>5.1695347000000003E-2</v>
      </c>
      <c r="J16" t="s">
        <v>1645</v>
      </c>
      <c r="K16">
        <v>0</v>
      </c>
      <c r="L16">
        <v>7.5</v>
      </c>
      <c r="M16">
        <v>7</v>
      </c>
      <c r="N16" t="s">
        <v>1646</v>
      </c>
      <c r="O16">
        <v>1</v>
      </c>
      <c r="P16">
        <f t="shared" si="0"/>
        <v>7.5</v>
      </c>
      <c r="Q16" s="2" t="str">
        <f t="shared" si="0"/>
        <v>e</v>
      </c>
      <c r="R16" s="2">
        <f t="shared" si="4"/>
        <v>8</v>
      </c>
      <c r="S16">
        <f t="shared" si="1"/>
        <v>187.8938</v>
      </c>
      <c r="T16" s="2" t="s">
        <v>0</v>
      </c>
      <c r="U16">
        <f t="shared" si="2"/>
        <v>0</v>
      </c>
      <c r="V16">
        <v>0</v>
      </c>
      <c r="W16">
        <v>0.5</v>
      </c>
      <c r="X16">
        <v>0.5</v>
      </c>
      <c r="Y16" s="3">
        <v>1</v>
      </c>
    </row>
    <row r="17" spans="1:25" x14ac:dyDescent="0.55000000000000004">
      <c r="A17" t="str">
        <f t="shared" si="3"/>
        <v>X-2-f-0-7.5PG</v>
      </c>
      <c r="C17" t="s">
        <v>1645</v>
      </c>
      <c r="D17">
        <v>7.5</v>
      </c>
      <c r="E17" t="s">
        <v>1</v>
      </c>
      <c r="F17">
        <v>1</v>
      </c>
      <c r="G17">
        <v>239.72739999999999</v>
      </c>
      <c r="H17">
        <v>16</v>
      </c>
      <c r="I17">
        <v>4.0317173999999997E-2</v>
      </c>
      <c r="J17" t="s">
        <v>1645</v>
      </c>
      <c r="K17">
        <v>0</v>
      </c>
      <c r="L17">
        <v>7.5</v>
      </c>
      <c r="M17">
        <v>8</v>
      </c>
      <c r="N17" t="s">
        <v>1647</v>
      </c>
      <c r="O17">
        <v>2</v>
      </c>
      <c r="P17">
        <f t="shared" si="0"/>
        <v>7.5</v>
      </c>
      <c r="Q17" s="2" t="str">
        <f t="shared" si="0"/>
        <v>f</v>
      </c>
      <c r="R17" s="2">
        <f t="shared" si="4"/>
        <v>8</v>
      </c>
      <c r="S17">
        <f t="shared" si="1"/>
        <v>239.72739999999999</v>
      </c>
      <c r="T17" s="2" t="s">
        <v>0</v>
      </c>
      <c r="U17">
        <f t="shared" si="2"/>
        <v>0</v>
      </c>
      <c r="V17">
        <v>0</v>
      </c>
      <c r="W17">
        <v>0.5</v>
      </c>
      <c r="X17">
        <v>0.5</v>
      </c>
      <c r="Y17" s="3">
        <v>1</v>
      </c>
    </row>
    <row r="18" spans="1:25" x14ac:dyDescent="0.55000000000000004">
      <c r="A18" t="str">
        <f t="shared" si="3"/>
        <v>X-1-e-0-8.5PG</v>
      </c>
      <c r="C18" t="s">
        <v>1645</v>
      </c>
      <c r="D18">
        <v>8.5</v>
      </c>
      <c r="E18" t="s">
        <v>2</v>
      </c>
      <c r="F18">
        <v>1</v>
      </c>
      <c r="G18">
        <v>241.3518</v>
      </c>
      <c r="H18">
        <v>18</v>
      </c>
      <c r="I18">
        <v>4.5004845000000002E-2</v>
      </c>
      <c r="J18" t="s">
        <v>1645</v>
      </c>
      <c r="K18">
        <v>0</v>
      </c>
      <c r="L18">
        <v>8.5</v>
      </c>
      <c r="M18">
        <v>8</v>
      </c>
      <c r="N18" t="s">
        <v>1646</v>
      </c>
      <c r="O18">
        <v>1</v>
      </c>
      <c r="P18">
        <f t="shared" si="0"/>
        <v>8.5</v>
      </c>
      <c r="Q18" s="2" t="str">
        <f t="shared" si="0"/>
        <v>e</v>
      </c>
      <c r="R18" s="2">
        <f t="shared" si="4"/>
        <v>9</v>
      </c>
      <c r="S18">
        <f t="shared" si="1"/>
        <v>241.3518</v>
      </c>
      <c r="T18" s="2" t="s">
        <v>0</v>
      </c>
      <c r="U18">
        <f t="shared" si="2"/>
        <v>0</v>
      </c>
      <c r="V18">
        <v>0</v>
      </c>
      <c r="W18">
        <v>0.5</v>
      </c>
      <c r="X18">
        <v>0.5</v>
      </c>
      <c r="Y18" s="3">
        <v>1</v>
      </c>
    </row>
    <row r="19" spans="1:25" x14ac:dyDescent="0.55000000000000004">
      <c r="A19" t="str">
        <f t="shared" si="3"/>
        <v>X-2-f-0-8.5PG</v>
      </c>
      <c r="C19" t="s">
        <v>1645</v>
      </c>
      <c r="D19">
        <v>8.5</v>
      </c>
      <c r="E19" t="s">
        <v>1</v>
      </c>
      <c r="F19">
        <v>1</v>
      </c>
      <c r="G19">
        <v>299.59809999999999</v>
      </c>
      <c r="H19">
        <v>18</v>
      </c>
      <c r="I19">
        <v>3.4036220999999998E-2</v>
      </c>
      <c r="J19" t="s">
        <v>1645</v>
      </c>
      <c r="K19">
        <v>0</v>
      </c>
      <c r="L19">
        <v>8.5</v>
      </c>
      <c r="M19">
        <v>9</v>
      </c>
      <c r="N19" t="s">
        <v>1647</v>
      </c>
      <c r="O19">
        <v>2</v>
      </c>
      <c r="P19">
        <f t="shared" si="0"/>
        <v>8.5</v>
      </c>
      <c r="Q19" s="2" t="str">
        <f t="shared" si="0"/>
        <v>f</v>
      </c>
      <c r="R19" s="2">
        <f t="shared" si="4"/>
        <v>9</v>
      </c>
      <c r="S19">
        <f t="shared" si="1"/>
        <v>299.59809999999999</v>
      </c>
      <c r="T19" s="2" t="s">
        <v>0</v>
      </c>
      <c r="U19">
        <f t="shared" si="2"/>
        <v>0</v>
      </c>
      <c r="V19">
        <v>0</v>
      </c>
      <c r="W19">
        <v>0.5</v>
      </c>
      <c r="X19">
        <v>0.5</v>
      </c>
      <c r="Y19" s="3">
        <v>1</v>
      </c>
    </row>
    <row r="20" spans="1:25" x14ac:dyDescent="0.55000000000000004">
      <c r="A20" t="str">
        <f t="shared" si="3"/>
        <v>X-1-e-0-9.5PG</v>
      </c>
      <c r="C20" t="s">
        <v>1645</v>
      </c>
      <c r="D20">
        <v>9.5</v>
      </c>
      <c r="E20" t="s">
        <v>2</v>
      </c>
      <c r="F20">
        <v>1</v>
      </c>
      <c r="G20">
        <v>301.41129999999998</v>
      </c>
      <c r="H20">
        <v>20</v>
      </c>
      <c r="I20">
        <v>3.7490582000000001E-2</v>
      </c>
      <c r="J20" t="s">
        <v>1645</v>
      </c>
      <c r="K20">
        <v>0</v>
      </c>
      <c r="L20">
        <v>9.5</v>
      </c>
      <c r="M20">
        <v>9</v>
      </c>
      <c r="N20" t="s">
        <v>1646</v>
      </c>
      <c r="O20">
        <v>1</v>
      </c>
      <c r="P20">
        <f t="shared" si="0"/>
        <v>9.5</v>
      </c>
      <c r="Q20" s="2" t="str">
        <f t="shared" si="0"/>
        <v>e</v>
      </c>
      <c r="R20" s="2">
        <f t="shared" si="4"/>
        <v>10</v>
      </c>
      <c r="S20">
        <f t="shared" si="1"/>
        <v>301.41129999999998</v>
      </c>
      <c r="T20" s="2" t="s">
        <v>0</v>
      </c>
      <c r="U20">
        <f t="shared" si="2"/>
        <v>0</v>
      </c>
      <c r="V20">
        <v>0</v>
      </c>
      <c r="W20">
        <v>0.5</v>
      </c>
      <c r="X20">
        <v>0.5</v>
      </c>
      <c r="Y20" s="3">
        <v>1</v>
      </c>
    </row>
    <row r="21" spans="1:25" x14ac:dyDescent="0.55000000000000004">
      <c r="A21" t="str">
        <f t="shared" si="3"/>
        <v>X-2-f-0-9.5PG</v>
      </c>
      <c r="C21" t="s">
        <v>1645</v>
      </c>
      <c r="D21">
        <v>9.5</v>
      </c>
      <c r="E21" t="s">
        <v>1</v>
      </c>
      <c r="F21">
        <v>1</v>
      </c>
      <c r="G21">
        <v>366.04689999999999</v>
      </c>
      <c r="H21">
        <v>20</v>
      </c>
      <c r="I21">
        <v>2.7497697000000001E-2</v>
      </c>
      <c r="J21" t="s">
        <v>1645</v>
      </c>
      <c r="K21">
        <v>0</v>
      </c>
      <c r="L21">
        <v>9.5</v>
      </c>
      <c r="M21">
        <v>10</v>
      </c>
      <c r="N21" t="s">
        <v>1647</v>
      </c>
      <c r="O21">
        <v>2</v>
      </c>
      <c r="P21">
        <f t="shared" si="0"/>
        <v>9.5</v>
      </c>
      <c r="Q21" s="2" t="str">
        <f t="shared" si="0"/>
        <v>f</v>
      </c>
      <c r="R21" s="2">
        <f t="shared" si="4"/>
        <v>10</v>
      </c>
      <c r="S21">
        <f t="shared" si="1"/>
        <v>366.04689999999999</v>
      </c>
      <c r="T21" s="2" t="s">
        <v>0</v>
      </c>
      <c r="U21">
        <f t="shared" si="2"/>
        <v>0</v>
      </c>
      <c r="V21">
        <v>0</v>
      </c>
      <c r="W21">
        <v>0.5</v>
      </c>
      <c r="X21">
        <v>0.5</v>
      </c>
      <c r="Y21" s="3">
        <v>1</v>
      </c>
    </row>
    <row r="22" spans="1:25" x14ac:dyDescent="0.55000000000000004">
      <c r="A22" t="str">
        <f t="shared" si="3"/>
        <v>X-1-e-0-10.5PG</v>
      </c>
      <c r="C22" t="s">
        <v>1645</v>
      </c>
      <c r="D22">
        <v>10.5</v>
      </c>
      <c r="E22" t="s">
        <v>2</v>
      </c>
      <c r="F22">
        <v>1</v>
      </c>
      <c r="G22">
        <v>368.04820000000001</v>
      </c>
      <c r="H22">
        <v>22</v>
      </c>
      <c r="I22">
        <v>2.9958541000000002E-2</v>
      </c>
      <c r="J22" t="s">
        <v>1645</v>
      </c>
      <c r="K22">
        <v>0</v>
      </c>
      <c r="L22">
        <v>10.5</v>
      </c>
      <c r="M22">
        <v>10</v>
      </c>
      <c r="N22" t="s">
        <v>1646</v>
      </c>
      <c r="O22">
        <v>1</v>
      </c>
      <c r="P22">
        <f t="shared" si="0"/>
        <v>10.5</v>
      </c>
      <c r="Q22" s="2" t="str">
        <f t="shared" si="0"/>
        <v>e</v>
      </c>
      <c r="R22" s="2">
        <f t="shared" si="4"/>
        <v>11</v>
      </c>
      <c r="S22">
        <f t="shared" si="1"/>
        <v>368.04820000000001</v>
      </c>
      <c r="T22" s="2" t="s">
        <v>0</v>
      </c>
      <c r="U22">
        <f t="shared" si="2"/>
        <v>0</v>
      </c>
      <c r="V22">
        <v>0</v>
      </c>
      <c r="W22">
        <v>0.5</v>
      </c>
      <c r="X22">
        <v>0.5</v>
      </c>
      <c r="Y22" s="3">
        <v>1</v>
      </c>
    </row>
    <row r="23" spans="1:25" x14ac:dyDescent="0.55000000000000004">
      <c r="A23" t="str">
        <f t="shared" si="3"/>
        <v>X-2-f-0-10.5PG</v>
      </c>
      <c r="C23" t="s">
        <v>1645</v>
      </c>
      <c r="D23">
        <v>10.5</v>
      </c>
      <c r="E23" t="s">
        <v>1</v>
      </c>
      <c r="F23">
        <v>1</v>
      </c>
      <c r="G23">
        <v>439.04719999999998</v>
      </c>
      <c r="H23">
        <v>22</v>
      </c>
      <c r="I23">
        <v>2.1312813999999999E-2</v>
      </c>
      <c r="J23" t="s">
        <v>1645</v>
      </c>
      <c r="K23">
        <v>0</v>
      </c>
      <c r="L23">
        <v>10.5</v>
      </c>
      <c r="M23">
        <v>11</v>
      </c>
      <c r="N23" t="s">
        <v>1647</v>
      </c>
      <c r="O23">
        <v>2</v>
      </c>
      <c r="P23">
        <f t="shared" si="0"/>
        <v>10.5</v>
      </c>
      <c r="Q23" s="2" t="str">
        <f t="shared" si="0"/>
        <v>f</v>
      </c>
      <c r="R23" s="2">
        <f t="shared" si="4"/>
        <v>11</v>
      </c>
      <c r="S23">
        <f t="shared" si="1"/>
        <v>439.04719999999998</v>
      </c>
      <c r="T23" s="2" t="s">
        <v>0</v>
      </c>
      <c r="U23">
        <f t="shared" si="2"/>
        <v>0</v>
      </c>
      <c r="V23">
        <v>0</v>
      </c>
      <c r="W23">
        <v>0.5</v>
      </c>
      <c r="X23">
        <v>0.5</v>
      </c>
      <c r="Y23" s="3">
        <v>1</v>
      </c>
    </row>
    <row r="24" spans="1:25" x14ac:dyDescent="0.55000000000000004">
      <c r="A24" t="str">
        <f t="shared" si="3"/>
        <v>X-1-e-0-11.5PG</v>
      </c>
      <c r="C24" t="s">
        <v>1645</v>
      </c>
      <c r="D24">
        <v>11.5</v>
      </c>
      <c r="E24" t="s">
        <v>2</v>
      </c>
      <c r="F24">
        <v>1</v>
      </c>
      <c r="G24">
        <v>441.23570000000001</v>
      </c>
      <c r="H24">
        <v>24</v>
      </c>
      <c r="I24">
        <v>2.3007585000000001E-2</v>
      </c>
      <c r="J24" t="s">
        <v>1645</v>
      </c>
      <c r="K24">
        <v>0</v>
      </c>
      <c r="L24">
        <v>11.5</v>
      </c>
      <c r="M24">
        <v>11</v>
      </c>
      <c r="N24" t="s">
        <v>1646</v>
      </c>
      <c r="O24">
        <v>1</v>
      </c>
      <c r="P24">
        <f t="shared" si="0"/>
        <v>11.5</v>
      </c>
      <c r="Q24" s="2" t="str">
        <f t="shared" si="0"/>
        <v>e</v>
      </c>
      <c r="R24" s="2">
        <f t="shared" si="4"/>
        <v>12</v>
      </c>
      <c r="S24">
        <f t="shared" si="1"/>
        <v>441.23570000000001</v>
      </c>
      <c r="T24" s="2" t="s">
        <v>0</v>
      </c>
      <c r="U24">
        <f t="shared" si="2"/>
        <v>0</v>
      </c>
      <c r="V24">
        <v>0</v>
      </c>
      <c r="W24">
        <v>0.5</v>
      </c>
      <c r="X24">
        <v>0.5</v>
      </c>
      <c r="Y24" s="3">
        <v>1</v>
      </c>
    </row>
    <row r="25" spans="1:25" x14ac:dyDescent="0.55000000000000004">
      <c r="A25" t="str">
        <f t="shared" si="3"/>
        <v>X-2-f-0-11.5PG</v>
      </c>
      <c r="C25" t="s">
        <v>1645</v>
      </c>
      <c r="D25">
        <v>11.5</v>
      </c>
      <c r="E25" t="s">
        <v>1</v>
      </c>
      <c r="F25">
        <v>1</v>
      </c>
      <c r="G25">
        <v>518.56979999999999</v>
      </c>
      <c r="H25">
        <v>24</v>
      </c>
      <c r="I25">
        <v>1.587802E-2</v>
      </c>
      <c r="J25" t="s">
        <v>1645</v>
      </c>
      <c r="K25">
        <v>0</v>
      </c>
      <c r="L25">
        <v>11.5</v>
      </c>
      <c r="M25">
        <v>12</v>
      </c>
      <c r="N25" t="s">
        <v>1647</v>
      </c>
      <c r="O25">
        <v>2</v>
      </c>
      <c r="P25">
        <f t="shared" si="0"/>
        <v>11.5</v>
      </c>
      <c r="Q25" s="2" t="str">
        <f t="shared" si="0"/>
        <v>f</v>
      </c>
      <c r="R25" s="2">
        <f t="shared" si="4"/>
        <v>12</v>
      </c>
      <c r="S25">
        <f t="shared" si="1"/>
        <v>518.56979999999999</v>
      </c>
      <c r="T25" s="2" t="s">
        <v>0</v>
      </c>
      <c r="U25">
        <f t="shared" si="2"/>
        <v>0</v>
      </c>
      <c r="V25">
        <v>0</v>
      </c>
      <c r="W25">
        <v>0.5</v>
      </c>
      <c r="X25">
        <v>0.5</v>
      </c>
      <c r="Y25" s="3">
        <v>1</v>
      </c>
    </row>
    <row r="26" spans="1:25" x14ac:dyDescent="0.55000000000000004">
      <c r="A26" t="str">
        <f t="shared" si="3"/>
        <v>X-1-e-0-12.5PG</v>
      </c>
      <c r="C26" t="s">
        <v>1645</v>
      </c>
      <c r="D26">
        <v>12.5</v>
      </c>
      <c r="E26" t="s">
        <v>2</v>
      </c>
      <c r="F26">
        <v>1</v>
      </c>
      <c r="G26">
        <v>520.94460000000004</v>
      </c>
      <c r="H26">
        <v>26</v>
      </c>
      <c r="I26" s="1">
        <v>1.7006388000000001E-2</v>
      </c>
      <c r="J26" t="s">
        <v>1645</v>
      </c>
      <c r="K26">
        <v>0</v>
      </c>
      <c r="L26">
        <v>12.5</v>
      </c>
      <c r="M26">
        <v>12</v>
      </c>
      <c r="N26" t="s">
        <v>1646</v>
      </c>
      <c r="O26">
        <v>1</v>
      </c>
      <c r="P26">
        <f t="shared" si="0"/>
        <v>12.5</v>
      </c>
      <c r="Q26" s="2" t="str">
        <f t="shared" si="0"/>
        <v>e</v>
      </c>
      <c r="R26" s="2">
        <f t="shared" si="4"/>
        <v>13</v>
      </c>
      <c r="S26">
        <f t="shared" si="1"/>
        <v>520.94460000000004</v>
      </c>
      <c r="T26" s="2" t="s">
        <v>0</v>
      </c>
      <c r="U26">
        <f t="shared" si="2"/>
        <v>0</v>
      </c>
      <c r="V26">
        <v>0</v>
      </c>
      <c r="W26">
        <v>0.5</v>
      </c>
      <c r="X26">
        <v>0.5</v>
      </c>
      <c r="Y26" s="3">
        <v>1</v>
      </c>
    </row>
    <row r="27" spans="1:25" x14ac:dyDescent="0.55000000000000004">
      <c r="A27" t="str">
        <f t="shared" si="3"/>
        <v>X-2-f-0-12.5PG</v>
      </c>
      <c r="C27" t="s">
        <v>1645</v>
      </c>
      <c r="D27">
        <v>12.5</v>
      </c>
      <c r="E27" t="s">
        <v>1</v>
      </c>
      <c r="F27">
        <v>1</v>
      </c>
      <c r="G27">
        <v>604.58280000000002</v>
      </c>
      <c r="H27">
        <v>26</v>
      </c>
      <c r="I27" s="1">
        <v>1.1386935000000001E-2</v>
      </c>
      <c r="J27" t="s">
        <v>1645</v>
      </c>
      <c r="K27">
        <v>0</v>
      </c>
      <c r="L27">
        <v>12.5</v>
      </c>
      <c r="M27">
        <v>13</v>
      </c>
      <c r="N27" t="s">
        <v>1647</v>
      </c>
      <c r="O27">
        <v>2</v>
      </c>
      <c r="P27">
        <f t="shared" si="0"/>
        <v>12.5</v>
      </c>
      <c r="Q27" s="2" t="str">
        <f t="shared" si="0"/>
        <v>f</v>
      </c>
      <c r="R27" s="2">
        <f t="shared" si="4"/>
        <v>13</v>
      </c>
      <c r="S27">
        <f t="shared" si="1"/>
        <v>604.58280000000002</v>
      </c>
      <c r="T27" s="2" t="s">
        <v>0</v>
      </c>
      <c r="U27">
        <f t="shared" si="2"/>
        <v>0</v>
      </c>
      <c r="V27">
        <v>0</v>
      </c>
      <c r="W27">
        <v>0.5</v>
      </c>
      <c r="X27">
        <v>0.5</v>
      </c>
      <c r="Y27" s="3">
        <v>1</v>
      </c>
    </row>
    <row r="28" spans="1:25" x14ac:dyDescent="0.55000000000000004">
      <c r="A28" t="str">
        <f t="shared" si="3"/>
        <v>X-1-e-0-13.5PG</v>
      </c>
      <c r="C28" t="s">
        <v>1645</v>
      </c>
      <c r="D28">
        <v>13.5</v>
      </c>
      <c r="E28" t="s">
        <v>2</v>
      </c>
      <c r="F28">
        <v>1</v>
      </c>
      <c r="G28">
        <v>607.14290000000005</v>
      </c>
      <c r="H28">
        <v>28</v>
      </c>
      <c r="I28" s="1">
        <v>1.2113208E-2</v>
      </c>
      <c r="J28" t="s">
        <v>1645</v>
      </c>
      <c r="K28">
        <v>0</v>
      </c>
      <c r="L28">
        <v>13.5</v>
      </c>
      <c r="M28">
        <v>13</v>
      </c>
      <c r="N28" t="s">
        <v>1646</v>
      </c>
      <c r="O28">
        <v>1</v>
      </c>
      <c r="P28">
        <f t="shared" si="0"/>
        <v>13.5</v>
      </c>
      <c r="Q28" s="2" t="str">
        <f t="shared" si="0"/>
        <v>e</v>
      </c>
      <c r="R28" s="2">
        <f t="shared" si="4"/>
        <v>14</v>
      </c>
      <c r="S28">
        <f t="shared" si="1"/>
        <v>607.14290000000005</v>
      </c>
      <c r="T28" s="2" t="s">
        <v>0</v>
      </c>
      <c r="U28">
        <f t="shared" si="2"/>
        <v>0</v>
      </c>
      <c r="V28">
        <v>0</v>
      </c>
      <c r="W28">
        <v>0.5</v>
      </c>
      <c r="X28">
        <v>0.5</v>
      </c>
      <c r="Y28" s="3">
        <v>1</v>
      </c>
    </row>
    <row r="29" spans="1:25" x14ac:dyDescent="0.55000000000000004">
      <c r="A29" t="str">
        <f t="shared" si="3"/>
        <v>X-2-f-0-13.5PG</v>
      </c>
      <c r="C29" t="s">
        <v>1645</v>
      </c>
      <c r="D29">
        <v>13.5</v>
      </c>
      <c r="E29" t="s">
        <v>1</v>
      </c>
      <c r="F29">
        <v>1</v>
      </c>
      <c r="G29">
        <v>697.05190000000005</v>
      </c>
      <c r="H29">
        <v>28</v>
      </c>
      <c r="I29" s="1">
        <v>7.8703279999999994E-3</v>
      </c>
      <c r="J29" t="s">
        <v>1645</v>
      </c>
      <c r="K29">
        <v>0</v>
      </c>
      <c r="L29">
        <v>13.5</v>
      </c>
      <c r="M29">
        <v>14</v>
      </c>
      <c r="N29" t="s">
        <v>1647</v>
      </c>
      <c r="O29">
        <v>2</v>
      </c>
      <c r="P29">
        <f t="shared" si="0"/>
        <v>13.5</v>
      </c>
      <c r="Q29" s="2" t="str">
        <f t="shared" si="0"/>
        <v>f</v>
      </c>
      <c r="R29" s="2">
        <f t="shared" si="4"/>
        <v>14</v>
      </c>
      <c r="S29">
        <f t="shared" si="1"/>
        <v>697.05190000000005</v>
      </c>
      <c r="T29" s="2" t="s">
        <v>0</v>
      </c>
      <c r="U29">
        <f t="shared" si="2"/>
        <v>0</v>
      </c>
      <c r="V29">
        <v>0</v>
      </c>
      <c r="W29">
        <v>0.5</v>
      </c>
      <c r="X29">
        <v>0.5</v>
      </c>
      <c r="Y29" s="3">
        <v>1</v>
      </c>
    </row>
    <row r="30" spans="1:25" x14ac:dyDescent="0.55000000000000004">
      <c r="A30" t="str">
        <f t="shared" si="3"/>
        <v>X-1-e-0-14.5PG</v>
      </c>
      <c r="C30" t="s">
        <v>1645</v>
      </c>
      <c r="D30">
        <v>14.5</v>
      </c>
      <c r="E30" t="s">
        <v>2</v>
      </c>
      <c r="F30">
        <v>1</v>
      </c>
      <c r="G30">
        <v>699.7962</v>
      </c>
      <c r="H30">
        <v>30</v>
      </c>
      <c r="I30" s="1">
        <v>8.3222350000000007E-3</v>
      </c>
      <c r="J30" t="s">
        <v>1645</v>
      </c>
      <c r="K30">
        <v>0</v>
      </c>
      <c r="L30">
        <v>14.5</v>
      </c>
      <c r="M30">
        <v>14</v>
      </c>
      <c r="N30" t="s">
        <v>1646</v>
      </c>
      <c r="O30">
        <v>1</v>
      </c>
      <c r="P30">
        <f t="shared" si="0"/>
        <v>14.5</v>
      </c>
      <c r="Q30" s="2" t="str">
        <f t="shared" si="0"/>
        <v>e</v>
      </c>
      <c r="R30" s="2">
        <f t="shared" si="4"/>
        <v>15</v>
      </c>
      <c r="S30">
        <f t="shared" si="1"/>
        <v>699.7962</v>
      </c>
      <c r="T30" s="2" t="s">
        <v>0</v>
      </c>
      <c r="U30">
        <f t="shared" si="2"/>
        <v>0</v>
      </c>
      <c r="V30">
        <v>0</v>
      </c>
      <c r="W30">
        <v>0.5</v>
      </c>
      <c r="X30">
        <v>0.5</v>
      </c>
      <c r="Y30" s="3">
        <v>1</v>
      </c>
    </row>
    <row r="31" spans="1:25" x14ac:dyDescent="0.55000000000000004">
      <c r="A31" t="str">
        <f t="shared" si="3"/>
        <v>X-2-f-0-14.5PG</v>
      </c>
      <c r="C31" t="s">
        <v>1645</v>
      </c>
      <c r="D31">
        <v>14.5</v>
      </c>
      <c r="E31" t="s">
        <v>1</v>
      </c>
      <c r="F31">
        <v>1</v>
      </c>
      <c r="G31">
        <v>795.9402</v>
      </c>
      <c r="H31">
        <v>30</v>
      </c>
      <c r="I31" s="1">
        <v>5.2479179999999999E-3</v>
      </c>
      <c r="J31" t="s">
        <v>1645</v>
      </c>
      <c r="K31">
        <v>0</v>
      </c>
      <c r="L31">
        <v>14.5</v>
      </c>
      <c r="M31">
        <v>15</v>
      </c>
      <c r="N31" t="s">
        <v>1647</v>
      </c>
      <c r="O31">
        <v>2</v>
      </c>
      <c r="P31">
        <f t="shared" si="0"/>
        <v>14.5</v>
      </c>
      <c r="Q31" s="2" t="str">
        <f t="shared" si="0"/>
        <v>f</v>
      </c>
      <c r="R31" s="2">
        <f t="shared" si="4"/>
        <v>15</v>
      </c>
      <c r="S31">
        <f t="shared" si="1"/>
        <v>795.9402</v>
      </c>
      <c r="T31" s="2" t="s">
        <v>0</v>
      </c>
      <c r="U31">
        <f t="shared" si="2"/>
        <v>0</v>
      </c>
      <c r="V31">
        <v>0</v>
      </c>
      <c r="W31">
        <v>0.5</v>
      </c>
      <c r="X31">
        <v>0.5</v>
      </c>
      <c r="Y31" s="3">
        <v>1</v>
      </c>
    </row>
    <row r="32" spans="1:25" x14ac:dyDescent="0.55000000000000004">
      <c r="A32" t="str">
        <f t="shared" si="3"/>
        <v>X-1-e-0-15.5PG</v>
      </c>
      <c r="C32" t="s">
        <v>1645</v>
      </c>
      <c r="D32">
        <v>15.5</v>
      </c>
      <c r="E32" t="s">
        <v>2</v>
      </c>
      <c r="F32">
        <v>1</v>
      </c>
      <c r="G32">
        <v>798.86770000000001</v>
      </c>
      <c r="H32">
        <v>32</v>
      </c>
      <c r="I32" s="1">
        <v>5.5197370000000003E-3</v>
      </c>
      <c r="J32" t="s">
        <v>1645</v>
      </c>
      <c r="K32">
        <v>0</v>
      </c>
      <c r="L32">
        <v>15.5</v>
      </c>
      <c r="M32">
        <v>15</v>
      </c>
      <c r="N32" t="s">
        <v>1646</v>
      </c>
      <c r="O32">
        <v>1</v>
      </c>
      <c r="P32">
        <f t="shared" si="0"/>
        <v>15.5</v>
      </c>
      <c r="Q32" s="2" t="str">
        <f t="shared" si="0"/>
        <v>e</v>
      </c>
      <c r="R32" s="2">
        <f t="shared" si="4"/>
        <v>16</v>
      </c>
      <c r="S32">
        <f t="shared" si="1"/>
        <v>798.86770000000001</v>
      </c>
      <c r="T32" s="2" t="s">
        <v>0</v>
      </c>
      <c r="U32">
        <f t="shared" si="2"/>
        <v>0</v>
      </c>
      <c r="V32">
        <v>0</v>
      </c>
      <c r="W32">
        <v>0.5</v>
      </c>
      <c r="X32">
        <v>0.5</v>
      </c>
      <c r="Y32" s="3">
        <v>1</v>
      </c>
    </row>
    <row r="33" spans="1:25" x14ac:dyDescent="0.55000000000000004">
      <c r="A33" t="str">
        <f t="shared" si="3"/>
        <v>X-2-f-0-15.5PG</v>
      </c>
      <c r="C33" t="s">
        <v>1645</v>
      </c>
      <c r="D33">
        <v>15.5</v>
      </c>
      <c r="E33" t="s">
        <v>1</v>
      </c>
      <c r="F33">
        <v>1</v>
      </c>
      <c r="G33">
        <v>901.20849999999996</v>
      </c>
      <c r="H33">
        <v>32</v>
      </c>
      <c r="I33" s="1">
        <v>3.3787679999999999E-3</v>
      </c>
      <c r="J33" t="s">
        <v>1645</v>
      </c>
      <c r="K33">
        <v>0</v>
      </c>
      <c r="L33">
        <v>15.5</v>
      </c>
      <c r="M33">
        <v>16</v>
      </c>
      <c r="N33" t="s">
        <v>1647</v>
      </c>
      <c r="O33">
        <v>2</v>
      </c>
      <c r="P33">
        <f t="shared" si="0"/>
        <v>15.5</v>
      </c>
      <c r="Q33" s="2" t="str">
        <f t="shared" si="0"/>
        <v>f</v>
      </c>
      <c r="R33" s="2">
        <f t="shared" si="4"/>
        <v>16</v>
      </c>
      <c r="S33">
        <f t="shared" si="1"/>
        <v>901.20849999999996</v>
      </c>
      <c r="T33" s="2" t="s">
        <v>0</v>
      </c>
      <c r="U33">
        <f t="shared" si="2"/>
        <v>0</v>
      </c>
      <c r="V33">
        <v>0</v>
      </c>
      <c r="W33">
        <v>0.5</v>
      </c>
      <c r="X33">
        <v>0.5</v>
      </c>
      <c r="Y33" s="3">
        <v>1</v>
      </c>
    </row>
    <row r="34" spans="1:25" x14ac:dyDescent="0.55000000000000004">
      <c r="A34" t="str">
        <f t="shared" si="3"/>
        <v>X-1-e-0-16.5PG</v>
      </c>
      <c r="C34" t="s">
        <v>1645</v>
      </c>
      <c r="D34">
        <v>16.5</v>
      </c>
      <c r="E34" t="s">
        <v>2</v>
      </c>
      <c r="F34">
        <v>1</v>
      </c>
      <c r="G34">
        <v>904.31780000000003</v>
      </c>
      <c r="H34">
        <v>34</v>
      </c>
      <c r="I34">
        <v>3.5368050000000001E-3</v>
      </c>
      <c r="J34" t="s">
        <v>1645</v>
      </c>
      <c r="K34">
        <v>0</v>
      </c>
      <c r="L34">
        <v>16.5</v>
      </c>
      <c r="M34">
        <v>16</v>
      </c>
      <c r="N34" t="s">
        <v>1646</v>
      </c>
      <c r="O34">
        <v>1</v>
      </c>
      <c r="P34">
        <f t="shared" ref="P34:Q65" si="5">D34</f>
        <v>16.5</v>
      </c>
      <c r="Q34" s="2" t="str">
        <f t="shared" si="5"/>
        <v>e</v>
      </c>
      <c r="R34" s="2">
        <f t="shared" si="4"/>
        <v>17</v>
      </c>
      <c r="S34">
        <f t="shared" si="1"/>
        <v>904.31780000000003</v>
      </c>
      <c r="T34" s="2" t="s">
        <v>0</v>
      </c>
      <c r="U34">
        <f t="shared" si="2"/>
        <v>0</v>
      </c>
      <c r="V34">
        <v>0</v>
      </c>
      <c r="W34">
        <v>0.5</v>
      </c>
      <c r="X34">
        <v>0.5</v>
      </c>
      <c r="Y34" s="3">
        <v>1</v>
      </c>
    </row>
    <row r="35" spans="1:25" x14ac:dyDescent="0.55000000000000004">
      <c r="A35" t="str">
        <f t="shared" si="3"/>
        <v>X-2-f-0-16.5PG</v>
      </c>
      <c r="C35" t="s">
        <v>1645</v>
      </c>
      <c r="D35">
        <v>16.5</v>
      </c>
      <c r="E35" t="s">
        <v>1</v>
      </c>
      <c r="F35">
        <v>1</v>
      </c>
      <c r="G35">
        <v>1012.8150000000001</v>
      </c>
      <c r="H35">
        <v>34</v>
      </c>
      <c r="I35">
        <v>2.1019789999999999E-3</v>
      </c>
      <c r="J35" t="s">
        <v>1645</v>
      </c>
      <c r="K35">
        <v>0</v>
      </c>
      <c r="L35">
        <v>16.5</v>
      </c>
      <c r="M35">
        <v>17</v>
      </c>
      <c r="N35" t="s">
        <v>1647</v>
      </c>
      <c r="O35">
        <v>2</v>
      </c>
      <c r="P35">
        <f t="shared" si="5"/>
        <v>16.5</v>
      </c>
      <c r="Q35" s="2" t="str">
        <f t="shared" si="5"/>
        <v>f</v>
      </c>
      <c r="R35" s="2">
        <f t="shared" si="4"/>
        <v>17</v>
      </c>
      <c r="S35">
        <f t="shared" si="1"/>
        <v>1012.8150000000001</v>
      </c>
      <c r="T35" s="2" t="s">
        <v>0</v>
      </c>
      <c r="U35">
        <f t="shared" si="2"/>
        <v>0</v>
      </c>
      <c r="V35">
        <v>0</v>
      </c>
      <c r="W35">
        <v>0.5</v>
      </c>
      <c r="X35">
        <v>0.5</v>
      </c>
      <c r="Y35" s="3">
        <v>1</v>
      </c>
    </row>
    <row r="36" spans="1:25" x14ac:dyDescent="0.55000000000000004">
      <c r="A36" t="str">
        <f t="shared" si="3"/>
        <v>X-1-e-0-17.5PG</v>
      </c>
      <c r="C36" t="s">
        <v>1645</v>
      </c>
      <c r="D36">
        <v>17.5</v>
      </c>
      <c r="E36" t="s">
        <v>2</v>
      </c>
      <c r="F36">
        <v>1</v>
      </c>
      <c r="G36">
        <v>1016.1048</v>
      </c>
      <c r="H36">
        <v>36</v>
      </c>
      <c r="I36">
        <v>2.1907860000000001E-3</v>
      </c>
      <c r="J36" t="s">
        <v>1645</v>
      </c>
      <c r="K36">
        <v>0</v>
      </c>
      <c r="L36">
        <v>17.5</v>
      </c>
      <c r="M36">
        <v>17</v>
      </c>
      <c r="N36" t="s">
        <v>1646</v>
      </c>
      <c r="O36">
        <v>1</v>
      </c>
      <c r="P36">
        <f t="shared" si="5"/>
        <v>17.5</v>
      </c>
      <c r="Q36" s="2" t="str">
        <f t="shared" si="5"/>
        <v>e</v>
      </c>
      <c r="R36" s="2">
        <f t="shared" si="4"/>
        <v>18</v>
      </c>
      <c r="S36">
        <f t="shared" si="1"/>
        <v>1016.1048</v>
      </c>
      <c r="T36" s="2" t="s">
        <v>0</v>
      </c>
      <c r="U36">
        <f t="shared" si="2"/>
        <v>0</v>
      </c>
      <c r="V36">
        <v>0</v>
      </c>
      <c r="W36">
        <v>0.5</v>
      </c>
      <c r="X36">
        <v>0.5</v>
      </c>
      <c r="Y36" s="3">
        <v>1</v>
      </c>
    </row>
    <row r="37" spans="1:25" x14ac:dyDescent="0.55000000000000004">
      <c r="A37" t="str">
        <f t="shared" si="3"/>
        <v>X-2-f-0-17.5PG</v>
      </c>
      <c r="C37" t="s">
        <v>1645</v>
      </c>
      <c r="D37">
        <v>17.5</v>
      </c>
      <c r="E37" t="s">
        <v>1</v>
      </c>
      <c r="F37">
        <v>1</v>
      </c>
      <c r="G37">
        <v>1130.7155</v>
      </c>
      <c r="H37">
        <v>36</v>
      </c>
      <c r="I37">
        <v>1.2643979999999999E-3</v>
      </c>
      <c r="J37" t="s">
        <v>1645</v>
      </c>
      <c r="K37">
        <v>0</v>
      </c>
      <c r="L37">
        <v>17.5</v>
      </c>
      <c r="M37">
        <v>18</v>
      </c>
      <c r="N37" t="s">
        <v>1647</v>
      </c>
      <c r="O37">
        <v>2</v>
      </c>
      <c r="P37">
        <f t="shared" si="5"/>
        <v>17.5</v>
      </c>
      <c r="Q37" s="2" t="str">
        <f t="shared" si="5"/>
        <v>f</v>
      </c>
      <c r="R37" s="2">
        <f t="shared" si="4"/>
        <v>18</v>
      </c>
      <c r="S37">
        <f t="shared" si="1"/>
        <v>1130.7155</v>
      </c>
      <c r="T37" s="2" t="s">
        <v>0</v>
      </c>
      <c r="U37">
        <f t="shared" si="2"/>
        <v>0</v>
      </c>
      <c r="V37">
        <v>0</v>
      </c>
      <c r="W37">
        <v>0.5</v>
      </c>
      <c r="X37">
        <v>0.5</v>
      </c>
      <c r="Y37" s="3">
        <v>1</v>
      </c>
    </row>
    <row r="38" spans="1:25" x14ac:dyDescent="0.55000000000000004">
      <c r="A38" t="str">
        <f t="shared" si="3"/>
        <v>X-1-e-0-18.5PG</v>
      </c>
      <c r="C38" t="s">
        <v>1645</v>
      </c>
      <c r="D38">
        <v>18.5</v>
      </c>
      <c r="E38" t="s">
        <v>2</v>
      </c>
      <c r="F38">
        <v>1</v>
      </c>
      <c r="G38">
        <v>1134.1844000000001</v>
      </c>
      <c r="H38">
        <v>38</v>
      </c>
      <c r="I38">
        <v>1.3126220000000001E-3</v>
      </c>
      <c r="J38" t="s">
        <v>1645</v>
      </c>
      <c r="K38">
        <v>0</v>
      </c>
      <c r="L38">
        <v>18.5</v>
      </c>
      <c r="M38">
        <v>18</v>
      </c>
      <c r="N38" t="s">
        <v>1646</v>
      </c>
      <c r="O38">
        <v>1</v>
      </c>
      <c r="P38">
        <f t="shared" si="5"/>
        <v>18.5</v>
      </c>
      <c r="Q38" s="2" t="str">
        <f t="shared" si="5"/>
        <v>e</v>
      </c>
      <c r="R38" s="2">
        <f t="shared" si="4"/>
        <v>19</v>
      </c>
      <c r="S38">
        <f t="shared" si="1"/>
        <v>1134.1844000000001</v>
      </c>
      <c r="T38" s="2" t="s">
        <v>0</v>
      </c>
      <c r="U38">
        <f t="shared" si="2"/>
        <v>0</v>
      </c>
      <c r="V38">
        <v>0</v>
      </c>
      <c r="W38">
        <v>0.5</v>
      </c>
      <c r="X38">
        <v>0.5</v>
      </c>
      <c r="Y38" s="3">
        <v>1</v>
      </c>
    </row>
    <row r="39" spans="1:25" x14ac:dyDescent="0.55000000000000004">
      <c r="A39" t="str">
        <f t="shared" si="3"/>
        <v>X-2-f-0-18.5PG</v>
      </c>
      <c r="C39" t="s">
        <v>1645</v>
      </c>
      <c r="D39">
        <v>18.5</v>
      </c>
      <c r="E39" t="s">
        <v>1</v>
      </c>
      <c r="F39">
        <v>1</v>
      </c>
      <c r="G39">
        <v>1254.8634999999999</v>
      </c>
      <c r="H39">
        <v>38</v>
      </c>
      <c r="I39">
        <v>7.3584099999999999E-4</v>
      </c>
      <c r="J39" t="s">
        <v>1645</v>
      </c>
      <c r="K39">
        <v>0</v>
      </c>
      <c r="L39">
        <v>18.5</v>
      </c>
      <c r="M39">
        <v>19</v>
      </c>
      <c r="N39" t="s">
        <v>1647</v>
      </c>
      <c r="O39">
        <v>2</v>
      </c>
      <c r="P39">
        <f t="shared" si="5"/>
        <v>18.5</v>
      </c>
      <c r="Q39" s="2" t="str">
        <f t="shared" si="5"/>
        <v>f</v>
      </c>
      <c r="R39" s="2">
        <f t="shared" si="4"/>
        <v>19</v>
      </c>
      <c r="S39">
        <f t="shared" si="1"/>
        <v>1254.8634999999999</v>
      </c>
      <c r="T39" s="2" t="s">
        <v>0</v>
      </c>
      <c r="U39">
        <f t="shared" si="2"/>
        <v>0</v>
      </c>
      <c r="V39">
        <v>0</v>
      </c>
      <c r="W39">
        <v>0.5</v>
      </c>
      <c r="X39">
        <v>0.5</v>
      </c>
      <c r="Y39" s="3">
        <v>1</v>
      </c>
    </row>
    <row r="40" spans="1:25" x14ac:dyDescent="0.55000000000000004">
      <c r="A40" t="str">
        <f t="shared" si="3"/>
        <v>X-1-e-0-19.5PG</v>
      </c>
      <c r="C40" t="s">
        <v>1645</v>
      </c>
      <c r="D40">
        <v>19.5</v>
      </c>
      <c r="E40" t="s">
        <v>2</v>
      </c>
      <c r="F40">
        <v>1</v>
      </c>
      <c r="G40">
        <v>1258.51</v>
      </c>
      <c r="H40">
        <v>40</v>
      </c>
      <c r="I40">
        <v>7.6114100000000001E-4</v>
      </c>
      <c r="J40" t="s">
        <v>1645</v>
      </c>
      <c r="K40">
        <v>0</v>
      </c>
      <c r="L40">
        <v>19.5</v>
      </c>
      <c r="M40">
        <v>19</v>
      </c>
      <c r="N40" t="s">
        <v>1646</v>
      </c>
      <c r="O40">
        <v>1</v>
      </c>
      <c r="P40">
        <f t="shared" si="5"/>
        <v>19.5</v>
      </c>
      <c r="Q40" s="2" t="str">
        <f t="shared" si="5"/>
        <v>e</v>
      </c>
      <c r="R40" s="2">
        <f t="shared" si="4"/>
        <v>20</v>
      </c>
      <c r="S40">
        <f t="shared" si="1"/>
        <v>1258.51</v>
      </c>
      <c r="T40" s="2" t="s">
        <v>0</v>
      </c>
      <c r="U40">
        <f t="shared" si="2"/>
        <v>0</v>
      </c>
      <c r="V40">
        <v>0</v>
      </c>
      <c r="W40">
        <v>0.5</v>
      </c>
      <c r="X40">
        <v>0.5</v>
      </c>
      <c r="Y40" s="3">
        <v>1</v>
      </c>
    </row>
    <row r="41" spans="1:25" x14ac:dyDescent="0.55000000000000004">
      <c r="A41" t="str">
        <f t="shared" si="3"/>
        <v>X-2-f-0-19.5PG</v>
      </c>
      <c r="C41" t="s">
        <v>1645</v>
      </c>
      <c r="D41">
        <v>19.5</v>
      </c>
      <c r="E41" t="s">
        <v>1</v>
      </c>
      <c r="F41">
        <v>1</v>
      </c>
      <c r="G41">
        <v>1385.2099000000001</v>
      </c>
      <c r="H41">
        <v>40</v>
      </c>
      <c r="I41">
        <v>4.1454300000000002E-4</v>
      </c>
      <c r="J41" t="s">
        <v>1645</v>
      </c>
      <c r="K41">
        <v>0</v>
      </c>
      <c r="L41">
        <v>19.5</v>
      </c>
      <c r="M41">
        <v>20</v>
      </c>
      <c r="N41" t="s">
        <v>1647</v>
      </c>
      <c r="O41">
        <v>2</v>
      </c>
      <c r="P41">
        <f t="shared" si="5"/>
        <v>19.5</v>
      </c>
      <c r="Q41" s="2" t="str">
        <f t="shared" si="5"/>
        <v>f</v>
      </c>
      <c r="R41" s="2">
        <f t="shared" si="4"/>
        <v>20</v>
      </c>
      <c r="S41">
        <f t="shared" si="1"/>
        <v>1385.2099000000001</v>
      </c>
      <c r="T41" s="2" t="s">
        <v>0</v>
      </c>
      <c r="U41">
        <f t="shared" si="2"/>
        <v>0</v>
      </c>
      <c r="V41">
        <v>0</v>
      </c>
      <c r="W41">
        <v>0.5</v>
      </c>
      <c r="X41">
        <v>0.5</v>
      </c>
      <c r="Y41" s="3">
        <v>1</v>
      </c>
    </row>
    <row r="42" spans="1:25" x14ac:dyDescent="0.55000000000000004">
      <c r="A42" t="str">
        <f t="shared" si="3"/>
        <v>X-1-e-0-20.5PG</v>
      </c>
      <c r="C42" t="s">
        <v>1645</v>
      </c>
      <c r="D42">
        <v>20.5</v>
      </c>
      <c r="E42" t="s">
        <v>2</v>
      </c>
      <c r="F42">
        <v>1</v>
      </c>
      <c r="G42">
        <v>1389.0326</v>
      </c>
      <c r="H42">
        <v>42</v>
      </c>
      <c r="I42">
        <v>4.2736299999999999E-4</v>
      </c>
      <c r="J42" t="s">
        <v>1645</v>
      </c>
      <c r="K42">
        <v>0</v>
      </c>
      <c r="L42">
        <v>20.5</v>
      </c>
      <c r="M42">
        <v>20</v>
      </c>
      <c r="N42" t="s">
        <v>1646</v>
      </c>
      <c r="O42">
        <v>1</v>
      </c>
      <c r="P42">
        <f t="shared" si="5"/>
        <v>20.5</v>
      </c>
      <c r="Q42" s="2" t="str">
        <f t="shared" si="5"/>
        <v>e</v>
      </c>
      <c r="R42" s="2">
        <f t="shared" si="4"/>
        <v>21</v>
      </c>
      <c r="S42">
        <f t="shared" si="1"/>
        <v>1389.0326</v>
      </c>
      <c r="T42" s="2" t="s">
        <v>0</v>
      </c>
      <c r="U42">
        <f t="shared" si="2"/>
        <v>0</v>
      </c>
      <c r="V42">
        <v>0</v>
      </c>
      <c r="W42">
        <v>0.5</v>
      </c>
      <c r="X42">
        <v>0.5</v>
      </c>
      <c r="Y42" s="3">
        <v>1</v>
      </c>
    </row>
    <row r="43" spans="1:25" x14ac:dyDescent="0.55000000000000004">
      <c r="A43" t="str">
        <f t="shared" si="3"/>
        <v>X-2-f-0-20.5PG</v>
      </c>
      <c r="C43" t="s">
        <v>1645</v>
      </c>
      <c r="D43">
        <v>20.5</v>
      </c>
      <c r="E43" t="s">
        <v>1</v>
      </c>
      <c r="F43">
        <v>1</v>
      </c>
      <c r="G43">
        <v>1521.7038</v>
      </c>
      <c r="H43">
        <v>42</v>
      </c>
      <c r="I43">
        <v>2.26185E-4</v>
      </c>
      <c r="J43" t="s">
        <v>1645</v>
      </c>
      <c r="K43">
        <v>0</v>
      </c>
      <c r="L43">
        <v>20.5</v>
      </c>
      <c r="M43">
        <v>21</v>
      </c>
      <c r="N43" t="s">
        <v>1647</v>
      </c>
      <c r="O43">
        <v>2</v>
      </c>
      <c r="P43">
        <f t="shared" si="5"/>
        <v>20.5</v>
      </c>
      <c r="Q43" s="2" t="str">
        <f t="shared" si="5"/>
        <v>f</v>
      </c>
      <c r="R43" s="2">
        <f t="shared" si="4"/>
        <v>21</v>
      </c>
      <c r="S43">
        <f t="shared" si="1"/>
        <v>1521.7038</v>
      </c>
      <c r="T43" s="2" t="s">
        <v>0</v>
      </c>
      <c r="U43">
        <f t="shared" si="2"/>
        <v>0</v>
      </c>
      <c r="V43">
        <v>0</v>
      </c>
      <c r="W43">
        <v>0.5</v>
      </c>
      <c r="X43">
        <v>0.5</v>
      </c>
      <c r="Y43" s="3">
        <v>1</v>
      </c>
    </row>
    <row r="44" spans="1:25" x14ac:dyDescent="0.55000000000000004">
      <c r="A44" t="str">
        <f t="shared" si="3"/>
        <v>X-1-e-0-21.5PG</v>
      </c>
      <c r="C44" t="s">
        <v>1645</v>
      </c>
      <c r="D44">
        <v>21.5</v>
      </c>
      <c r="E44" t="s">
        <v>2</v>
      </c>
      <c r="F44">
        <v>1</v>
      </c>
      <c r="G44">
        <v>1525.7008000000001</v>
      </c>
      <c r="H44">
        <v>44</v>
      </c>
      <c r="I44">
        <v>2.32456E-4</v>
      </c>
      <c r="J44" t="s">
        <v>1645</v>
      </c>
      <c r="K44">
        <v>0</v>
      </c>
      <c r="L44">
        <v>21.5</v>
      </c>
      <c r="M44">
        <v>21</v>
      </c>
      <c r="N44" t="s">
        <v>1646</v>
      </c>
      <c r="O44">
        <v>1</v>
      </c>
      <c r="P44">
        <f t="shared" si="5"/>
        <v>21.5</v>
      </c>
      <c r="Q44" s="2" t="str">
        <f t="shared" si="5"/>
        <v>e</v>
      </c>
      <c r="R44" s="2">
        <f t="shared" si="4"/>
        <v>22</v>
      </c>
      <c r="S44">
        <f t="shared" si="1"/>
        <v>1525.7008000000001</v>
      </c>
      <c r="T44" s="2" t="s">
        <v>0</v>
      </c>
      <c r="U44">
        <f t="shared" si="2"/>
        <v>0</v>
      </c>
      <c r="V44">
        <v>0</v>
      </c>
      <c r="W44">
        <v>0.5</v>
      </c>
      <c r="X44">
        <v>0.5</v>
      </c>
      <c r="Y44" s="3">
        <v>1</v>
      </c>
    </row>
    <row r="45" spans="1:25" x14ac:dyDescent="0.55000000000000004">
      <c r="A45" t="str">
        <f t="shared" si="3"/>
        <v>X-2-f-0-21.5PG</v>
      </c>
      <c r="C45" t="s">
        <v>1645</v>
      </c>
      <c r="D45">
        <v>21.5</v>
      </c>
      <c r="E45" t="s">
        <v>1</v>
      </c>
      <c r="F45">
        <v>1</v>
      </c>
      <c r="G45">
        <v>1664.2915</v>
      </c>
      <c r="H45">
        <v>44</v>
      </c>
      <c r="I45">
        <v>1.19586E-4</v>
      </c>
      <c r="J45" t="s">
        <v>1645</v>
      </c>
      <c r="K45">
        <v>0</v>
      </c>
      <c r="L45">
        <v>21.5</v>
      </c>
      <c r="M45">
        <v>22</v>
      </c>
      <c r="N45" t="s">
        <v>1647</v>
      </c>
      <c r="O45">
        <v>2</v>
      </c>
      <c r="P45">
        <f t="shared" si="5"/>
        <v>21.5</v>
      </c>
      <c r="Q45" s="2" t="str">
        <f t="shared" si="5"/>
        <v>f</v>
      </c>
      <c r="R45" s="2">
        <f t="shared" si="4"/>
        <v>22</v>
      </c>
      <c r="S45">
        <f t="shared" si="1"/>
        <v>1664.2915</v>
      </c>
      <c r="T45" s="2" t="s">
        <v>0</v>
      </c>
      <c r="U45">
        <f t="shared" si="2"/>
        <v>0</v>
      </c>
      <c r="V45">
        <v>0</v>
      </c>
      <c r="W45">
        <v>0.5</v>
      </c>
      <c r="X45">
        <v>0.5</v>
      </c>
      <c r="Y45" s="3">
        <v>1</v>
      </c>
    </row>
    <row r="46" spans="1:25" x14ac:dyDescent="0.55000000000000004">
      <c r="A46" t="str">
        <f t="shared" si="3"/>
        <v>X-1-e-0-22.5PG</v>
      </c>
      <c r="C46" t="s">
        <v>1645</v>
      </c>
      <c r="D46">
        <v>22.5</v>
      </c>
      <c r="E46" t="s">
        <v>2</v>
      </c>
      <c r="F46">
        <v>1</v>
      </c>
      <c r="G46">
        <v>1668.4612999999999</v>
      </c>
      <c r="H46">
        <v>46</v>
      </c>
      <c r="I46">
        <v>1.2254599999999999E-4</v>
      </c>
      <c r="J46" t="s">
        <v>1645</v>
      </c>
      <c r="K46">
        <v>0</v>
      </c>
      <c r="L46">
        <v>22.5</v>
      </c>
      <c r="M46">
        <v>22</v>
      </c>
      <c r="N46" t="s">
        <v>1646</v>
      </c>
      <c r="O46">
        <v>1</v>
      </c>
      <c r="P46">
        <f t="shared" si="5"/>
        <v>22.5</v>
      </c>
      <c r="Q46" s="2" t="str">
        <f t="shared" si="5"/>
        <v>e</v>
      </c>
      <c r="R46" s="2">
        <f t="shared" si="4"/>
        <v>23</v>
      </c>
      <c r="S46">
        <f t="shared" si="1"/>
        <v>1668.4612999999999</v>
      </c>
      <c r="T46" s="2" t="s">
        <v>0</v>
      </c>
      <c r="U46">
        <f t="shared" si="2"/>
        <v>0</v>
      </c>
      <c r="V46">
        <v>0</v>
      </c>
      <c r="W46">
        <v>0.5</v>
      </c>
      <c r="X46">
        <v>0.5</v>
      </c>
      <c r="Y46" s="3">
        <v>1</v>
      </c>
    </row>
    <row r="47" spans="1:25" x14ac:dyDescent="0.55000000000000004">
      <c r="A47" t="str">
        <f t="shared" si="3"/>
        <v>X-2-f-0-22.5PG</v>
      </c>
      <c r="C47" t="s">
        <v>1645</v>
      </c>
      <c r="D47">
        <v>22.5</v>
      </c>
      <c r="E47" t="s">
        <v>1</v>
      </c>
      <c r="F47">
        <v>1</v>
      </c>
      <c r="G47">
        <v>1812.9175</v>
      </c>
      <c r="H47">
        <v>46</v>
      </c>
      <c r="I47" s="1">
        <v>6.12942E-5</v>
      </c>
      <c r="J47" t="s">
        <v>1645</v>
      </c>
      <c r="K47">
        <v>0</v>
      </c>
      <c r="L47">
        <v>22.5</v>
      </c>
      <c r="M47">
        <v>23</v>
      </c>
      <c r="N47" t="s">
        <v>1647</v>
      </c>
      <c r="O47">
        <v>2</v>
      </c>
      <c r="P47">
        <f t="shared" si="5"/>
        <v>22.5</v>
      </c>
      <c r="Q47" s="2" t="str">
        <f t="shared" si="5"/>
        <v>f</v>
      </c>
      <c r="R47" s="2">
        <f t="shared" si="4"/>
        <v>23</v>
      </c>
      <c r="S47">
        <f t="shared" si="1"/>
        <v>1812.9175</v>
      </c>
      <c r="T47" s="2" t="s">
        <v>0</v>
      </c>
      <c r="U47">
        <f t="shared" si="2"/>
        <v>0</v>
      </c>
      <c r="V47">
        <v>0</v>
      </c>
      <c r="W47">
        <v>0.5</v>
      </c>
      <c r="X47">
        <v>0.5</v>
      </c>
      <c r="Y47" s="3">
        <v>1</v>
      </c>
    </row>
    <row r="48" spans="1:25" x14ac:dyDescent="0.55000000000000004">
      <c r="A48" t="str">
        <f t="shared" si="3"/>
        <v>X-1-e-0-23.5PG</v>
      </c>
      <c r="C48" t="s">
        <v>1645</v>
      </c>
      <c r="D48">
        <v>23.5</v>
      </c>
      <c r="E48" t="s">
        <v>2</v>
      </c>
      <c r="F48">
        <v>1</v>
      </c>
      <c r="G48">
        <v>1817.2582</v>
      </c>
      <c r="H48">
        <v>48</v>
      </c>
      <c r="I48" s="1">
        <v>6.26414E-5</v>
      </c>
      <c r="J48" t="s">
        <v>1645</v>
      </c>
      <c r="K48">
        <v>0</v>
      </c>
      <c r="L48">
        <v>23.5</v>
      </c>
      <c r="M48">
        <v>23</v>
      </c>
      <c r="N48" t="s">
        <v>1646</v>
      </c>
      <c r="O48">
        <v>1</v>
      </c>
      <c r="P48">
        <f t="shared" si="5"/>
        <v>23.5</v>
      </c>
      <c r="Q48" s="2" t="str">
        <f t="shared" si="5"/>
        <v>e</v>
      </c>
      <c r="R48" s="2">
        <f t="shared" si="4"/>
        <v>24</v>
      </c>
      <c r="S48">
        <f t="shared" si="1"/>
        <v>1817.2582</v>
      </c>
      <c r="T48" s="2" t="s">
        <v>0</v>
      </c>
      <c r="U48">
        <f t="shared" si="2"/>
        <v>0</v>
      </c>
      <c r="V48">
        <v>0</v>
      </c>
      <c r="W48">
        <v>0.5</v>
      </c>
      <c r="X48">
        <v>0.5</v>
      </c>
      <c r="Y48" s="3">
        <v>1</v>
      </c>
    </row>
    <row r="49" spans="1:25" x14ac:dyDescent="0.55000000000000004">
      <c r="A49" t="str">
        <f t="shared" si="3"/>
        <v>X-2-f-0-23.5PG</v>
      </c>
      <c r="C49" t="s">
        <v>1645</v>
      </c>
      <c r="D49">
        <v>23.5</v>
      </c>
      <c r="E49" t="s">
        <v>1</v>
      </c>
      <c r="F49">
        <v>1</v>
      </c>
      <c r="G49">
        <v>1967.5238999999999</v>
      </c>
      <c r="H49">
        <v>48</v>
      </c>
      <c r="I49" s="1">
        <v>3.0470599999999999E-5</v>
      </c>
      <c r="J49" t="s">
        <v>1645</v>
      </c>
      <c r="K49">
        <v>0</v>
      </c>
      <c r="L49">
        <v>23.5</v>
      </c>
      <c r="M49">
        <v>24</v>
      </c>
      <c r="N49" t="s">
        <v>1647</v>
      </c>
      <c r="O49">
        <v>2</v>
      </c>
      <c r="P49">
        <f t="shared" si="5"/>
        <v>23.5</v>
      </c>
      <c r="Q49" s="2" t="str">
        <f t="shared" si="5"/>
        <v>f</v>
      </c>
      <c r="R49" s="2">
        <f t="shared" si="4"/>
        <v>24</v>
      </c>
      <c r="S49">
        <f t="shared" si="1"/>
        <v>1967.5238999999999</v>
      </c>
      <c r="T49" s="2" t="s">
        <v>0</v>
      </c>
      <c r="U49">
        <f t="shared" si="2"/>
        <v>0</v>
      </c>
      <c r="V49">
        <v>0</v>
      </c>
      <c r="W49">
        <v>0.5</v>
      </c>
      <c r="X49">
        <v>0.5</v>
      </c>
      <c r="Y49" s="3">
        <v>1</v>
      </c>
    </row>
    <row r="50" spans="1:25" x14ac:dyDescent="0.55000000000000004">
      <c r="A50" t="str">
        <f t="shared" si="3"/>
        <v>X-1-e-0-24.5PG</v>
      </c>
      <c r="C50" t="s">
        <v>1645</v>
      </c>
      <c r="D50">
        <v>24.5</v>
      </c>
      <c r="E50" t="s">
        <v>2</v>
      </c>
      <c r="F50">
        <v>1</v>
      </c>
      <c r="G50">
        <v>1972.0337</v>
      </c>
      <c r="H50">
        <v>50</v>
      </c>
      <c r="I50" s="1">
        <v>3.10611E-5</v>
      </c>
      <c r="J50" t="s">
        <v>1645</v>
      </c>
      <c r="K50">
        <v>0</v>
      </c>
      <c r="L50">
        <v>24.5</v>
      </c>
      <c r="M50">
        <v>24</v>
      </c>
      <c r="N50" t="s">
        <v>1646</v>
      </c>
      <c r="O50">
        <v>1</v>
      </c>
      <c r="P50">
        <f t="shared" si="5"/>
        <v>24.5</v>
      </c>
      <c r="Q50" s="2" t="str">
        <f t="shared" si="5"/>
        <v>e</v>
      </c>
      <c r="R50" s="2">
        <f t="shared" si="4"/>
        <v>25</v>
      </c>
      <c r="S50">
        <f t="shared" si="1"/>
        <v>1972.0337</v>
      </c>
      <c r="T50" s="2" t="s">
        <v>0</v>
      </c>
      <c r="U50">
        <f t="shared" si="2"/>
        <v>0</v>
      </c>
      <c r="V50">
        <v>0</v>
      </c>
      <c r="W50">
        <v>0.5</v>
      </c>
      <c r="X50">
        <v>0.5</v>
      </c>
      <c r="Y50" s="3">
        <v>1</v>
      </c>
    </row>
    <row r="51" spans="1:25" x14ac:dyDescent="0.55000000000000004">
      <c r="A51" t="str">
        <f t="shared" si="3"/>
        <v>X-2-f-0-24.5PG</v>
      </c>
      <c r="C51" t="s">
        <v>1645</v>
      </c>
      <c r="D51">
        <v>24.5</v>
      </c>
      <c r="E51" t="s">
        <v>1</v>
      </c>
      <c r="F51">
        <v>1</v>
      </c>
      <c r="G51">
        <v>2128.0509000000002</v>
      </c>
      <c r="H51">
        <v>50</v>
      </c>
      <c r="I51" s="1">
        <v>1.4698000000000001E-5</v>
      </c>
      <c r="J51" t="s">
        <v>1645</v>
      </c>
      <c r="K51">
        <v>0</v>
      </c>
      <c r="L51">
        <v>24.5</v>
      </c>
      <c r="M51">
        <v>25</v>
      </c>
      <c r="N51" t="s">
        <v>1647</v>
      </c>
      <c r="O51">
        <v>2</v>
      </c>
      <c r="P51">
        <f t="shared" si="5"/>
        <v>24.5</v>
      </c>
      <c r="Q51" s="2" t="str">
        <f t="shared" si="5"/>
        <v>f</v>
      </c>
      <c r="R51" s="2">
        <f t="shared" si="4"/>
        <v>25</v>
      </c>
      <c r="S51">
        <f t="shared" si="1"/>
        <v>2128.0509000000002</v>
      </c>
      <c r="T51" s="2" t="s">
        <v>0</v>
      </c>
      <c r="U51">
        <f t="shared" si="2"/>
        <v>0</v>
      </c>
      <c r="V51">
        <v>0</v>
      </c>
      <c r="W51">
        <v>0.5</v>
      </c>
      <c r="X51">
        <v>0.5</v>
      </c>
      <c r="Y51" s="3">
        <v>1</v>
      </c>
    </row>
    <row r="52" spans="1:25" x14ac:dyDescent="0.55000000000000004">
      <c r="A52" t="str">
        <f t="shared" si="3"/>
        <v>X-1-e-0-25.5PG</v>
      </c>
      <c r="C52" t="s">
        <v>1645</v>
      </c>
      <c r="D52">
        <v>25.5</v>
      </c>
      <c r="E52" t="s">
        <v>2</v>
      </c>
      <c r="F52">
        <v>1</v>
      </c>
      <c r="G52">
        <v>2132.7278000000001</v>
      </c>
      <c r="H52">
        <v>52</v>
      </c>
      <c r="I52" s="1">
        <v>1.4946900000000001E-5</v>
      </c>
      <c r="J52" t="s">
        <v>1645</v>
      </c>
      <c r="K52">
        <v>0</v>
      </c>
      <c r="L52">
        <v>25.5</v>
      </c>
      <c r="M52">
        <v>25</v>
      </c>
      <c r="N52" t="s">
        <v>1646</v>
      </c>
      <c r="O52">
        <v>1</v>
      </c>
      <c r="P52">
        <f t="shared" si="5"/>
        <v>25.5</v>
      </c>
      <c r="Q52" s="2" t="str">
        <f t="shared" si="5"/>
        <v>e</v>
      </c>
      <c r="R52" s="2">
        <f t="shared" si="4"/>
        <v>26</v>
      </c>
      <c r="S52">
        <f t="shared" si="1"/>
        <v>2132.7278000000001</v>
      </c>
      <c r="T52" s="2" t="s">
        <v>0</v>
      </c>
      <c r="U52">
        <f t="shared" si="2"/>
        <v>0</v>
      </c>
      <c r="V52">
        <v>0</v>
      </c>
      <c r="W52">
        <v>0.5</v>
      </c>
      <c r="X52">
        <v>0.5</v>
      </c>
      <c r="Y52" s="3">
        <v>1</v>
      </c>
    </row>
    <row r="53" spans="1:25" x14ac:dyDescent="0.55000000000000004">
      <c r="A53" t="str">
        <f t="shared" si="3"/>
        <v>X-2-f-0-25.5PG</v>
      </c>
      <c r="C53" t="s">
        <v>1645</v>
      </c>
      <c r="D53">
        <v>25.5</v>
      </c>
      <c r="E53" t="s">
        <v>1</v>
      </c>
      <c r="F53">
        <v>1</v>
      </c>
      <c r="G53">
        <v>2294.4364</v>
      </c>
      <c r="H53">
        <v>52</v>
      </c>
      <c r="I53" s="1">
        <v>6.8823400000000004E-6</v>
      </c>
      <c r="J53" t="s">
        <v>1645</v>
      </c>
      <c r="K53">
        <v>0</v>
      </c>
      <c r="L53">
        <v>25.5</v>
      </c>
      <c r="M53">
        <v>26</v>
      </c>
      <c r="N53" t="s">
        <v>1647</v>
      </c>
      <c r="O53">
        <v>2</v>
      </c>
      <c r="P53">
        <f t="shared" si="5"/>
        <v>25.5</v>
      </c>
      <c r="Q53" s="2" t="str">
        <f t="shared" si="5"/>
        <v>f</v>
      </c>
      <c r="R53" s="2">
        <f t="shared" si="4"/>
        <v>26</v>
      </c>
      <c r="S53">
        <f t="shared" si="1"/>
        <v>2294.4364</v>
      </c>
      <c r="T53" s="2" t="s">
        <v>0</v>
      </c>
      <c r="U53">
        <f t="shared" si="2"/>
        <v>0</v>
      </c>
      <c r="V53">
        <v>0</v>
      </c>
      <c r="W53">
        <v>0.5</v>
      </c>
      <c r="X53">
        <v>0.5</v>
      </c>
      <c r="Y53" s="3">
        <v>1</v>
      </c>
    </row>
    <row r="54" spans="1:25" x14ac:dyDescent="0.55000000000000004">
      <c r="A54" t="str">
        <f t="shared" si="3"/>
        <v>X-1-e-0-26.5PG</v>
      </c>
      <c r="C54" t="s">
        <v>1645</v>
      </c>
      <c r="D54">
        <v>26.5</v>
      </c>
      <c r="E54" t="s">
        <v>2</v>
      </c>
      <c r="F54">
        <v>1</v>
      </c>
      <c r="G54">
        <v>2299.2784000000001</v>
      </c>
      <c r="H54">
        <v>54</v>
      </c>
      <c r="I54" s="1">
        <v>6.98299E-6</v>
      </c>
      <c r="J54" t="s">
        <v>1645</v>
      </c>
      <c r="K54">
        <v>0</v>
      </c>
      <c r="L54">
        <v>26.5</v>
      </c>
      <c r="M54">
        <v>26</v>
      </c>
      <c r="N54" t="s">
        <v>1646</v>
      </c>
      <c r="O54">
        <v>1</v>
      </c>
      <c r="P54">
        <f t="shared" si="5"/>
        <v>26.5</v>
      </c>
      <c r="Q54" s="2" t="str">
        <f t="shared" si="5"/>
        <v>e</v>
      </c>
      <c r="R54" s="2">
        <f t="shared" si="4"/>
        <v>27</v>
      </c>
      <c r="S54">
        <f t="shared" si="1"/>
        <v>2299.2784000000001</v>
      </c>
      <c r="T54" s="2" t="s">
        <v>0</v>
      </c>
      <c r="U54">
        <f t="shared" si="2"/>
        <v>0</v>
      </c>
      <c r="V54">
        <v>0</v>
      </c>
      <c r="W54">
        <v>0.5</v>
      </c>
      <c r="X54">
        <v>0.5</v>
      </c>
      <c r="Y54" s="3">
        <v>1</v>
      </c>
    </row>
    <row r="55" spans="1:25" x14ac:dyDescent="0.55000000000000004">
      <c r="A55" t="str">
        <f t="shared" si="3"/>
        <v>X-2-f-0-26.5PG</v>
      </c>
      <c r="C55" t="s">
        <v>1645</v>
      </c>
      <c r="D55">
        <v>26.5</v>
      </c>
      <c r="E55" t="s">
        <v>1</v>
      </c>
      <c r="F55">
        <v>1</v>
      </c>
      <c r="G55">
        <v>2466.6165000000001</v>
      </c>
      <c r="H55">
        <v>54</v>
      </c>
      <c r="I55" s="1">
        <v>3.1296999999999999E-6</v>
      </c>
      <c r="J55" t="s">
        <v>1645</v>
      </c>
      <c r="K55">
        <v>0</v>
      </c>
      <c r="L55">
        <v>26.5</v>
      </c>
      <c r="M55">
        <v>27</v>
      </c>
      <c r="N55" t="s">
        <v>1647</v>
      </c>
      <c r="O55">
        <v>2</v>
      </c>
      <c r="P55">
        <f t="shared" si="5"/>
        <v>26.5</v>
      </c>
      <c r="Q55" s="2" t="str">
        <f t="shared" si="5"/>
        <v>f</v>
      </c>
      <c r="R55" s="2">
        <f t="shared" si="4"/>
        <v>27</v>
      </c>
      <c r="S55">
        <f t="shared" si="1"/>
        <v>2466.6165000000001</v>
      </c>
      <c r="T55" s="2" t="s">
        <v>0</v>
      </c>
      <c r="U55">
        <f t="shared" si="2"/>
        <v>0</v>
      </c>
      <c r="V55">
        <v>0</v>
      </c>
      <c r="W55">
        <v>0.5</v>
      </c>
      <c r="X55">
        <v>0.5</v>
      </c>
      <c r="Y55" s="3">
        <v>1</v>
      </c>
    </row>
    <row r="56" spans="1:25" x14ac:dyDescent="0.55000000000000004">
      <c r="A56" t="str">
        <f t="shared" si="3"/>
        <v>X-1-e-0-27.5PG</v>
      </c>
      <c r="C56" t="s">
        <v>1645</v>
      </c>
      <c r="D56">
        <v>27.5</v>
      </c>
      <c r="E56" t="s">
        <v>2</v>
      </c>
      <c r="F56">
        <v>1</v>
      </c>
      <c r="G56">
        <v>2471.6214</v>
      </c>
      <c r="H56">
        <v>56</v>
      </c>
      <c r="I56" s="1">
        <v>3.1686399999999999E-6</v>
      </c>
      <c r="J56" t="s">
        <v>1645</v>
      </c>
      <c r="K56">
        <v>0</v>
      </c>
      <c r="L56">
        <v>27.5</v>
      </c>
      <c r="M56">
        <v>27</v>
      </c>
      <c r="N56" t="s">
        <v>1646</v>
      </c>
      <c r="O56">
        <v>1</v>
      </c>
      <c r="P56">
        <f t="shared" si="5"/>
        <v>27.5</v>
      </c>
      <c r="Q56" s="2" t="str">
        <f t="shared" si="5"/>
        <v>e</v>
      </c>
      <c r="R56" s="2">
        <f t="shared" si="4"/>
        <v>28</v>
      </c>
      <c r="S56">
        <f t="shared" si="1"/>
        <v>2471.6214</v>
      </c>
      <c r="T56" s="2" t="s">
        <v>0</v>
      </c>
      <c r="U56">
        <f t="shared" si="2"/>
        <v>0</v>
      </c>
      <c r="V56">
        <v>0</v>
      </c>
      <c r="W56">
        <v>0.5</v>
      </c>
      <c r="X56">
        <v>0.5</v>
      </c>
      <c r="Y56" s="3">
        <v>1</v>
      </c>
    </row>
    <row r="57" spans="1:25" x14ac:dyDescent="0.55000000000000004">
      <c r="A57" t="str">
        <f t="shared" si="3"/>
        <v>X-2-f-0-27.5PG</v>
      </c>
      <c r="C57" t="s">
        <v>1645</v>
      </c>
      <c r="D57">
        <v>27.5</v>
      </c>
      <c r="E57" t="s">
        <v>1</v>
      </c>
      <c r="F57">
        <v>1</v>
      </c>
      <c r="G57">
        <v>2644.5250999999998</v>
      </c>
      <c r="H57">
        <v>56</v>
      </c>
      <c r="I57" s="1">
        <v>1.38274E-6</v>
      </c>
      <c r="J57" t="s">
        <v>1645</v>
      </c>
      <c r="K57">
        <v>0</v>
      </c>
      <c r="L57">
        <v>27.5</v>
      </c>
      <c r="M57">
        <v>28</v>
      </c>
      <c r="N57" t="s">
        <v>1647</v>
      </c>
      <c r="O57">
        <v>2</v>
      </c>
      <c r="P57">
        <f t="shared" si="5"/>
        <v>27.5</v>
      </c>
      <c r="Q57" s="2" t="str">
        <f t="shared" si="5"/>
        <v>f</v>
      </c>
      <c r="R57" s="2">
        <f t="shared" si="4"/>
        <v>28</v>
      </c>
      <c r="S57">
        <f t="shared" si="1"/>
        <v>2644.5250999999998</v>
      </c>
      <c r="T57" s="2" t="s">
        <v>0</v>
      </c>
      <c r="U57">
        <f t="shared" si="2"/>
        <v>0</v>
      </c>
      <c r="V57">
        <v>0</v>
      </c>
      <c r="W57">
        <v>0.5</v>
      </c>
      <c r="X57">
        <v>0.5</v>
      </c>
      <c r="Y57" s="3">
        <v>1</v>
      </c>
    </row>
    <row r="58" spans="1:25" x14ac:dyDescent="0.55000000000000004">
      <c r="A58" t="str">
        <f t="shared" si="3"/>
        <v>X-1-e-0-28.5PG</v>
      </c>
      <c r="C58" t="s">
        <v>1645</v>
      </c>
      <c r="D58">
        <v>28.5</v>
      </c>
      <c r="E58" t="s">
        <v>2</v>
      </c>
      <c r="F58">
        <v>1</v>
      </c>
      <c r="G58">
        <v>2649.6907999999999</v>
      </c>
      <c r="H58">
        <v>58</v>
      </c>
      <c r="I58" s="1">
        <v>1.39708E-6</v>
      </c>
      <c r="J58" t="s">
        <v>1645</v>
      </c>
      <c r="K58">
        <v>0</v>
      </c>
      <c r="L58">
        <v>28.5</v>
      </c>
      <c r="M58">
        <v>28</v>
      </c>
      <c r="N58" t="s">
        <v>1646</v>
      </c>
      <c r="O58">
        <v>1</v>
      </c>
      <c r="P58">
        <f t="shared" si="5"/>
        <v>28.5</v>
      </c>
      <c r="Q58" s="2" t="str">
        <f t="shared" si="5"/>
        <v>e</v>
      </c>
      <c r="R58" s="2">
        <f t="shared" si="4"/>
        <v>29</v>
      </c>
      <c r="S58">
        <f t="shared" si="1"/>
        <v>2649.6907999999999</v>
      </c>
      <c r="T58" s="2" t="s">
        <v>0</v>
      </c>
      <c r="U58">
        <f t="shared" si="2"/>
        <v>0</v>
      </c>
      <c r="V58">
        <v>0</v>
      </c>
      <c r="W58">
        <v>0.5</v>
      </c>
      <c r="X58">
        <v>0.5</v>
      </c>
      <c r="Y58" s="3">
        <v>1</v>
      </c>
    </row>
    <row r="59" spans="1:25" x14ac:dyDescent="0.55000000000000004">
      <c r="A59" t="str">
        <f t="shared" si="3"/>
        <v>X-2-f-0-28.5PG</v>
      </c>
      <c r="C59" t="s">
        <v>1645</v>
      </c>
      <c r="D59">
        <v>28.5</v>
      </c>
      <c r="E59" t="s">
        <v>1</v>
      </c>
      <c r="F59">
        <v>1</v>
      </c>
      <c r="G59">
        <v>2828.0945999999999</v>
      </c>
      <c r="H59">
        <v>58</v>
      </c>
      <c r="I59" s="1">
        <v>5.9379200000000003E-7</v>
      </c>
      <c r="J59" t="s">
        <v>1645</v>
      </c>
      <c r="K59">
        <v>0</v>
      </c>
      <c r="L59">
        <v>28.5</v>
      </c>
      <c r="M59">
        <v>29</v>
      </c>
      <c r="N59" t="s">
        <v>1647</v>
      </c>
      <c r="O59">
        <v>2</v>
      </c>
      <c r="P59">
        <f t="shared" si="5"/>
        <v>28.5</v>
      </c>
      <c r="Q59" s="2" t="str">
        <f t="shared" si="5"/>
        <v>f</v>
      </c>
      <c r="R59" s="2">
        <f t="shared" si="4"/>
        <v>29</v>
      </c>
      <c r="S59">
        <f t="shared" si="1"/>
        <v>2828.0945999999999</v>
      </c>
      <c r="T59" s="2" t="s">
        <v>0</v>
      </c>
      <c r="U59">
        <f t="shared" si="2"/>
        <v>0</v>
      </c>
      <c r="V59">
        <v>0</v>
      </c>
      <c r="W59">
        <v>0.5</v>
      </c>
      <c r="X59">
        <v>0.5</v>
      </c>
      <c r="Y59" s="3">
        <v>1</v>
      </c>
    </row>
    <row r="60" spans="1:25" x14ac:dyDescent="0.55000000000000004">
      <c r="A60" t="str">
        <f t="shared" si="3"/>
        <v>X-1-e-0-29.5PG</v>
      </c>
      <c r="C60" t="s">
        <v>1645</v>
      </c>
      <c r="D60">
        <v>29.5</v>
      </c>
      <c r="E60" t="s">
        <v>2</v>
      </c>
      <c r="F60">
        <v>1</v>
      </c>
      <c r="G60">
        <v>2833.4187000000002</v>
      </c>
      <c r="H60">
        <v>60</v>
      </c>
      <c r="I60" s="1">
        <v>5.9878099999999999E-7</v>
      </c>
      <c r="J60" t="s">
        <v>1645</v>
      </c>
      <c r="K60">
        <v>0</v>
      </c>
      <c r="L60">
        <v>29.5</v>
      </c>
      <c r="M60">
        <v>29</v>
      </c>
      <c r="N60" t="s">
        <v>1646</v>
      </c>
      <c r="O60">
        <v>1</v>
      </c>
      <c r="P60">
        <f t="shared" si="5"/>
        <v>29.5</v>
      </c>
      <c r="Q60" s="2" t="str">
        <f t="shared" si="5"/>
        <v>e</v>
      </c>
      <c r="R60" s="2">
        <f t="shared" si="4"/>
        <v>30</v>
      </c>
      <c r="S60">
        <f t="shared" si="1"/>
        <v>2833.4187000000002</v>
      </c>
      <c r="T60" s="2" t="s">
        <v>0</v>
      </c>
      <c r="U60">
        <f t="shared" si="2"/>
        <v>0</v>
      </c>
      <c r="V60">
        <v>0</v>
      </c>
      <c r="W60">
        <v>0.5</v>
      </c>
      <c r="X60">
        <v>0.5</v>
      </c>
      <c r="Y60" s="3">
        <v>1</v>
      </c>
    </row>
    <row r="61" spans="1:25" x14ac:dyDescent="0.55000000000000004">
      <c r="A61" t="str">
        <f t="shared" si="3"/>
        <v>X-2-f-0-29.5PG</v>
      </c>
      <c r="C61" t="s">
        <v>1645</v>
      </c>
      <c r="D61">
        <v>29.5</v>
      </c>
      <c r="E61" t="s">
        <v>1</v>
      </c>
      <c r="F61">
        <v>1</v>
      </c>
      <c r="G61">
        <v>3017.2550999999999</v>
      </c>
      <c r="H61">
        <v>60</v>
      </c>
      <c r="I61" s="1">
        <v>2.4795100000000002E-7</v>
      </c>
      <c r="J61" t="s">
        <v>1645</v>
      </c>
      <c r="K61">
        <v>0</v>
      </c>
      <c r="L61">
        <v>29.5</v>
      </c>
      <c r="M61">
        <v>30</v>
      </c>
      <c r="N61" t="s">
        <v>1647</v>
      </c>
      <c r="O61">
        <v>2</v>
      </c>
      <c r="P61">
        <f t="shared" si="5"/>
        <v>29.5</v>
      </c>
      <c r="Q61" s="2" t="str">
        <f t="shared" si="5"/>
        <v>f</v>
      </c>
      <c r="R61" s="2">
        <f t="shared" si="4"/>
        <v>30</v>
      </c>
      <c r="S61">
        <f t="shared" si="1"/>
        <v>3017.2550999999999</v>
      </c>
      <c r="T61" s="2" t="s">
        <v>0</v>
      </c>
      <c r="U61">
        <f t="shared" si="2"/>
        <v>0</v>
      </c>
      <c r="V61">
        <v>0</v>
      </c>
      <c r="W61">
        <v>0.5</v>
      </c>
      <c r="X61">
        <v>0.5</v>
      </c>
      <c r="Y61" s="3">
        <v>1</v>
      </c>
    </row>
    <row r="62" spans="1:25" x14ac:dyDescent="0.55000000000000004">
      <c r="A62" t="str">
        <f t="shared" si="3"/>
        <v>X-1-e-1-0.5PG</v>
      </c>
      <c r="C62" t="s">
        <v>1648</v>
      </c>
      <c r="D62">
        <v>0.5</v>
      </c>
      <c r="E62" t="s">
        <v>2</v>
      </c>
      <c r="F62">
        <v>1</v>
      </c>
      <c r="G62">
        <v>1139.2896000000001</v>
      </c>
      <c r="H62">
        <v>2</v>
      </c>
      <c r="I62" s="1">
        <v>6.7414400000000003E-5</v>
      </c>
      <c r="J62" t="s">
        <v>1648</v>
      </c>
      <c r="K62">
        <v>1</v>
      </c>
      <c r="L62">
        <v>0.5</v>
      </c>
      <c r="M62">
        <v>0</v>
      </c>
      <c r="N62" t="s">
        <v>1646</v>
      </c>
      <c r="O62">
        <v>1</v>
      </c>
      <c r="P62">
        <f t="shared" si="5"/>
        <v>0.5</v>
      </c>
      <c r="Q62" s="2" t="str">
        <f t="shared" si="5"/>
        <v>e</v>
      </c>
      <c r="R62" s="2">
        <f t="shared" si="4"/>
        <v>2</v>
      </c>
      <c r="S62">
        <f t="shared" si="1"/>
        <v>1139.2896000000001</v>
      </c>
      <c r="T62" s="2" t="s">
        <v>0</v>
      </c>
      <c r="U62">
        <f t="shared" si="2"/>
        <v>1</v>
      </c>
      <c r="V62">
        <v>0</v>
      </c>
      <c r="W62">
        <v>0.5</v>
      </c>
      <c r="X62">
        <v>0.5</v>
      </c>
      <c r="Y62" s="3">
        <v>1</v>
      </c>
    </row>
    <row r="63" spans="1:25" x14ac:dyDescent="0.55000000000000004">
      <c r="A63" t="str">
        <f t="shared" si="3"/>
        <v>X-1-e-2-0.5PG</v>
      </c>
      <c r="C63" t="s">
        <v>1648</v>
      </c>
      <c r="D63">
        <v>0.5</v>
      </c>
      <c r="E63" t="s">
        <v>2</v>
      </c>
      <c r="F63">
        <v>2</v>
      </c>
      <c r="G63">
        <v>2249.6062000000002</v>
      </c>
      <c r="H63">
        <v>2</v>
      </c>
      <c r="I63" s="1">
        <v>3.2819900000000001E-7</v>
      </c>
      <c r="J63" t="s">
        <v>1648</v>
      </c>
      <c r="K63">
        <v>2</v>
      </c>
      <c r="L63">
        <v>0.5</v>
      </c>
      <c r="M63">
        <v>0</v>
      </c>
      <c r="N63" t="s">
        <v>1646</v>
      </c>
      <c r="O63">
        <v>1</v>
      </c>
      <c r="P63">
        <f t="shared" si="5"/>
        <v>0.5</v>
      </c>
      <c r="Q63" s="2" t="str">
        <f t="shared" si="5"/>
        <v>e</v>
      </c>
      <c r="R63" s="2">
        <f t="shared" si="4"/>
        <v>3</v>
      </c>
      <c r="S63">
        <f t="shared" si="1"/>
        <v>2249.6062000000002</v>
      </c>
      <c r="T63" s="2" t="s">
        <v>0</v>
      </c>
      <c r="U63">
        <f t="shared" si="2"/>
        <v>2</v>
      </c>
      <c r="V63">
        <v>0</v>
      </c>
      <c r="W63">
        <v>0.5</v>
      </c>
      <c r="X63">
        <v>0.5</v>
      </c>
      <c r="Y63" s="3">
        <v>1</v>
      </c>
    </row>
    <row r="64" spans="1:25" x14ac:dyDescent="0.55000000000000004">
      <c r="A64" t="str">
        <f t="shared" si="3"/>
        <v>X-2-f-1-0.5PG</v>
      </c>
      <c r="C64" t="s">
        <v>1648</v>
      </c>
      <c r="D64">
        <v>0.5</v>
      </c>
      <c r="E64" t="s">
        <v>1</v>
      </c>
      <c r="F64">
        <v>1</v>
      </c>
      <c r="G64">
        <v>1145.6697999999999</v>
      </c>
      <c r="H64">
        <v>2</v>
      </c>
      <c r="I64" s="1">
        <v>6.53829E-5</v>
      </c>
      <c r="J64" t="s">
        <v>1648</v>
      </c>
      <c r="K64">
        <v>1</v>
      </c>
      <c r="L64">
        <v>0.5</v>
      </c>
      <c r="M64">
        <v>1</v>
      </c>
      <c r="N64" t="s">
        <v>1647</v>
      </c>
      <c r="O64">
        <v>2</v>
      </c>
      <c r="P64">
        <f t="shared" si="5"/>
        <v>0.5</v>
      </c>
      <c r="Q64" s="2" t="str">
        <f t="shared" si="5"/>
        <v>f</v>
      </c>
      <c r="R64" s="2">
        <f t="shared" si="4"/>
        <v>2</v>
      </c>
      <c r="S64">
        <f t="shared" si="1"/>
        <v>1145.6697999999999</v>
      </c>
      <c r="T64" s="2" t="s">
        <v>0</v>
      </c>
      <c r="U64">
        <f t="shared" si="2"/>
        <v>1</v>
      </c>
      <c r="V64">
        <v>0</v>
      </c>
      <c r="W64">
        <v>0.5</v>
      </c>
      <c r="X64">
        <v>0.5</v>
      </c>
      <c r="Y64" s="3">
        <v>1</v>
      </c>
    </row>
    <row r="65" spans="1:25" x14ac:dyDescent="0.55000000000000004">
      <c r="A65" t="str">
        <f t="shared" si="3"/>
        <v>X-2-f-2-0.5PG</v>
      </c>
      <c r="C65" t="s">
        <v>1648</v>
      </c>
      <c r="D65">
        <v>0.5</v>
      </c>
      <c r="E65" t="s">
        <v>1</v>
      </c>
      <c r="F65">
        <v>2</v>
      </c>
      <c r="G65">
        <v>2255.8595</v>
      </c>
      <c r="H65">
        <v>2</v>
      </c>
      <c r="I65" s="1">
        <v>3.18502E-7</v>
      </c>
      <c r="J65" t="s">
        <v>1648</v>
      </c>
      <c r="K65">
        <v>2</v>
      </c>
      <c r="L65">
        <v>0.5</v>
      </c>
      <c r="M65">
        <v>1</v>
      </c>
      <c r="N65" t="s">
        <v>1647</v>
      </c>
      <c r="O65">
        <v>2</v>
      </c>
      <c r="P65">
        <f t="shared" si="5"/>
        <v>0.5</v>
      </c>
      <c r="Q65" s="2" t="str">
        <f t="shared" si="5"/>
        <v>f</v>
      </c>
      <c r="R65" s="2">
        <f t="shared" si="4"/>
        <v>3</v>
      </c>
      <c r="S65">
        <f t="shared" si="1"/>
        <v>2255.8595</v>
      </c>
      <c r="T65" s="2" t="s">
        <v>0</v>
      </c>
      <c r="U65">
        <f t="shared" si="2"/>
        <v>2</v>
      </c>
      <c r="V65">
        <v>0</v>
      </c>
      <c r="W65">
        <v>0.5</v>
      </c>
      <c r="X65">
        <v>0.5</v>
      </c>
      <c r="Y65" s="3">
        <v>1</v>
      </c>
    </row>
    <row r="66" spans="1:25" x14ac:dyDescent="0.55000000000000004">
      <c r="A66" t="str">
        <f t="shared" si="3"/>
        <v>X-1-e-1-1.5PG</v>
      </c>
      <c r="C66" t="s">
        <v>1648</v>
      </c>
      <c r="D66">
        <v>1.5</v>
      </c>
      <c r="E66" t="s">
        <v>2</v>
      </c>
      <c r="F66">
        <v>1</v>
      </c>
      <c r="G66">
        <v>1145.9503</v>
      </c>
      <c r="H66">
        <v>4</v>
      </c>
      <c r="I66" s="1">
        <v>1.3059000000000001E-4</v>
      </c>
      <c r="J66" t="s">
        <v>1648</v>
      </c>
      <c r="K66">
        <v>1</v>
      </c>
      <c r="L66">
        <v>1.5</v>
      </c>
      <c r="M66">
        <v>1</v>
      </c>
      <c r="N66" t="s">
        <v>1646</v>
      </c>
      <c r="O66">
        <v>1</v>
      </c>
      <c r="P66">
        <f t="shared" ref="P66:Q94" si="6">D66</f>
        <v>1.5</v>
      </c>
      <c r="Q66" s="2" t="str">
        <f t="shared" si="6"/>
        <v>e</v>
      </c>
      <c r="R66" s="2">
        <f t="shared" si="4"/>
        <v>3</v>
      </c>
      <c r="S66">
        <f t="shared" ref="S66:S129" si="7">G66</f>
        <v>1145.9503</v>
      </c>
      <c r="T66" s="2" t="s">
        <v>0</v>
      </c>
      <c r="U66">
        <f t="shared" ref="U66:U129" si="8">K66</f>
        <v>1</v>
      </c>
      <c r="V66">
        <v>0</v>
      </c>
      <c r="W66">
        <v>0.5</v>
      </c>
      <c r="X66">
        <v>0.5</v>
      </c>
      <c r="Y66" s="3">
        <v>1</v>
      </c>
    </row>
    <row r="67" spans="1:25" x14ac:dyDescent="0.55000000000000004">
      <c r="A67" t="str">
        <f t="shared" ref="A67:A130" si="9">"X"&amp;"-"&amp;O67&amp;"-"&amp;Q67&amp;"-"&amp;K67&amp;"-"&amp;P67&amp;"PG"</f>
        <v>X-1-e-2-1.5PG</v>
      </c>
      <c r="C67" t="s">
        <v>1648</v>
      </c>
      <c r="D67">
        <v>1.5</v>
      </c>
      <c r="E67" t="s">
        <v>2</v>
      </c>
      <c r="F67">
        <v>2</v>
      </c>
      <c r="G67">
        <v>2256.1325999999999</v>
      </c>
      <c r="H67">
        <v>4</v>
      </c>
      <c r="I67" s="1">
        <v>6.3617099999999999E-7</v>
      </c>
      <c r="J67" t="s">
        <v>1648</v>
      </c>
      <c r="K67">
        <v>2</v>
      </c>
      <c r="L67">
        <v>1.5</v>
      </c>
      <c r="M67">
        <v>1</v>
      </c>
      <c r="N67" t="s">
        <v>1646</v>
      </c>
      <c r="O67">
        <v>1</v>
      </c>
      <c r="P67">
        <f t="shared" si="6"/>
        <v>1.5</v>
      </c>
      <c r="Q67" s="2" t="str">
        <f t="shared" si="6"/>
        <v>e</v>
      </c>
      <c r="R67" s="2">
        <f t="shared" ref="R67:R130" si="10">P67+0.5+U67</f>
        <v>4</v>
      </c>
      <c r="S67">
        <f t="shared" si="7"/>
        <v>2256.1325999999999</v>
      </c>
      <c r="T67" s="2" t="s">
        <v>0</v>
      </c>
      <c r="U67">
        <f t="shared" si="8"/>
        <v>2</v>
      </c>
      <c r="V67">
        <v>0</v>
      </c>
      <c r="W67">
        <v>0.5</v>
      </c>
      <c r="X67">
        <v>0.5</v>
      </c>
      <c r="Y67" s="3">
        <v>1</v>
      </c>
    </row>
    <row r="68" spans="1:25" x14ac:dyDescent="0.55000000000000004">
      <c r="A68" t="str">
        <f t="shared" si="9"/>
        <v>X-2-f-1-1.5PG</v>
      </c>
      <c r="C68" t="s">
        <v>1648</v>
      </c>
      <c r="D68">
        <v>1.5</v>
      </c>
      <c r="E68" t="s">
        <v>1</v>
      </c>
      <c r="F68">
        <v>1</v>
      </c>
      <c r="G68">
        <v>1158.7080000000001</v>
      </c>
      <c r="H68">
        <v>4</v>
      </c>
      <c r="I68" s="1">
        <v>1.2283899999999999E-4</v>
      </c>
      <c r="J68" t="s">
        <v>1648</v>
      </c>
      <c r="K68">
        <v>1</v>
      </c>
      <c r="L68">
        <v>1.5</v>
      </c>
      <c r="M68">
        <v>2</v>
      </c>
      <c r="N68" t="s">
        <v>1647</v>
      </c>
      <c r="O68">
        <v>2</v>
      </c>
      <c r="P68">
        <f t="shared" si="6"/>
        <v>1.5</v>
      </c>
      <c r="Q68" s="2" t="str">
        <f t="shared" si="6"/>
        <v>f</v>
      </c>
      <c r="R68" s="2">
        <f t="shared" si="10"/>
        <v>3</v>
      </c>
      <c r="S68">
        <f t="shared" si="7"/>
        <v>1158.7080000000001</v>
      </c>
      <c r="T68" s="2" t="s">
        <v>0</v>
      </c>
      <c r="U68">
        <f t="shared" si="8"/>
        <v>1</v>
      </c>
      <c r="V68">
        <v>0</v>
      </c>
      <c r="W68">
        <v>0.5</v>
      </c>
      <c r="X68">
        <v>0.5</v>
      </c>
      <c r="Y68" s="3">
        <v>1</v>
      </c>
    </row>
    <row r="69" spans="1:25" x14ac:dyDescent="0.55000000000000004">
      <c r="A69" t="str">
        <f t="shared" si="9"/>
        <v>X-2-f-2-1.5PG</v>
      </c>
      <c r="C69" t="s">
        <v>1648</v>
      </c>
      <c r="D69">
        <v>1.5</v>
      </c>
      <c r="E69" t="s">
        <v>1</v>
      </c>
      <c r="F69">
        <v>2</v>
      </c>
      <c r="G69">
        <v>2268.6365999999998</v>
      </c>
      <c r="H69">
        <v>4</v>
      </c>
      <c r="I69" s="1">
        <v>5.9914200000000001E-7</v>
      </c>
      <c r="J69" t="s">
        <v>1648</v>
      </c>
      <c r="K69">
        <v>2</v>
      </c>
      <c r="L69">
        <v>1.5</v>
      </c>
      <c r="M69">
        <v>2</v>
      </c>
      <c r="N69" t="s">
        <v>1647</v>
      </c>
      <c r="O69">
        <v>2</v>
      </c>
      <c r="P69">
        <f t="shared" si="6"/>
        <v>1.5</v>
      </c>
      <c r="Q69" s="2" t="str">
        <f t="shared" si="6"/>
        <v>f</v>
      </c>
      <c r="R69" s="2">
        <f t="shared" si="10"/>
        <v>4</v>
      </c>
      <c r="S69">
        <f t="shared" si="7"/>
        <v>2268.6365999999998</v>
      </c>
      <c r="T69" s="2" t="s">
        <v>0</v>
      </c>
      <c r="U69">
        <f t="shared" si="8"/>
        <v>2</v>
      </c>
      <c r="V69">
        <v>0</v>
      </c>
      <c r="W69">
        <v>0.5</v>
      </c>
      <c r="X69">
        <v>0.5</v>
      </c>
      <c r="Y69" s="3">
        <v>1</v>
      </c>
    </row>
    <row r="70" spans="1:25" x14ac:dyDescent="0.55000000000000004">
      <c r="A70" t="str">
        <f t="shared" si="9"/>
        <v>X-1-e-1-2.5PG</v>
      </c>
      <c r="C70" t="s">
        <v>1648</v>
      </c>
      <c r="D70">
        <v>2.5</v>
      </c>
      <c r="E70" t="s">
        <v>2</v>
      </c>
      <c r="F70">
        <v>1</v>
      </c>
      <c r="G70">
        <v>1159.1754000000001</v>
      </c>
      <c r="H70">
        <v>6</v>
      </c>
      <c r="I70" s="1">
        <v>1.8384599999999999E-4</v>
      </c>
      <c r="J70" t="s">
        <v>1648</v>
      </c>
      <c r="K70">
        <v>1</v>
      </c>
      <c r="L70">
        <v>2.5</v>
      </c>
      <c r="M70">
        <v>2</v>
      </c>
      <c r="N70" t="s">
        <v>1646</v>
      </c>
      <c r="O70">
        <v>1</v>
      </c>
      <c r="P70">
        <f t="shared" si="6"/>
        <v>2.5</v>
      </c>
      <c r="Q70" s="2" t="str">
        <f t="shared" si="6"/>
        <v>e</v>
      </c>
      <c r="R70" s="2">
        <f t="shared" si="10"/>
        <v>4</v>
      </c>
      <c r="S70">
        <f t="shared" si="7"/>
        <v>1159.1754000000001</v>
      </c>
      <c r="T70" s="2" t="s">
        <v>0</v>
      </c>
      <c r="U70">
        <f t="shared" si="8"/>
        <v>1</v>
      </c>
      <c r="V70">
        <v>0</v>
      </c>
      <c r="W70">
        <v>0.5</v>
      </c>
      <c r="X70">
        <v>0.5</v>
      </c>
      <c r="Y70" s="3">
        <v>1</v>
      </c>
    </row>
    <row r="71" spans="1:25" x14ac:dyDescent="0.55000000000000004">
      <c r="A71" t="str">
        <f t="shared" si="9"/>
        <v>X-1-e-2-2.5PG</v>
      </c>
      <c r="C71" t="s">
        <v>1648</v>
      </c>
      <c r="D71">
        <v>2.5</v>
      </c>
      <c r="E71" t="s">
        <v>2</v>
      </c>
      <c r="F71">
        <v>2</v>
      </c>
      <c r="G71">
        <v>2269.0915</v>
      </c>
      <c r="H71">
        <v>6</v>
      </c>
      <c r="I71" s="1">
        <v>8.9675400000000004E-7</v>
      </c>
      <c r="J71" t="s">
        <v>1648</v>
      </c>
      <c r="K71">
        <v>2</v>
      </c>
      <c r="L71">
        <v>2.5</v>
      </c>
      <c r="M71">
        <v>2</v>
      </c>
      <c r="N71" t="s">
        <v>1646</v>
      </c>
      <c r="O71">
        <v>1</v>
      </c>
      <c r="P71">
        <f t="shared" si="6"/>
        <v>2.5</v>
      </c>
      <c r="Q71" s="2" t="str">
        <f t="shared" si="6"/>
        <v>e</v>
      </c>
      <c r="R71" s="2">
        <f t="shared" si="10"/>
        <v>5</v>
      </c>
      <c r="S71">
        <f t="shared" si="7"/>
        <v>2269.0915</v>
      </c>
      <c r="T71" s="2" t="s">
        <v>0</v>
      </c>
      <c r="U71">
        <f t="shared" si="8"/>
        <v>2</v>
      </c>
      <c r="V71">
        <v>0</v>
      </c>
      <c r="W71">
        <v>0.5</v>
      </c>
      <c r="X71">
        <v>0.5</v>
      </c>
      <c r="Y71" s="3">
        <v>1</v>
      </c>
    </row>
    <row r="72" spans="1:25" x14ac:dyDescent="0.55000000000000004">
      <c r="A72" t="str">
        <f t="shared" si="9"/>
        <v>X-2-f-1-2.5PG</v>
      </c>
      <c r="C72" t="s">
        <v>1648</v>
      </c>
      <c r="D72">
        <v>2.5</v>
      </c>
      <c r="E72" t="s">
        <v>1</v>
      </c>
      <c r="F72">
        <v>1</v>
      </c>
      <c r="G72">
        <v>1178.3054</v>
      </c>
      <c r="H72">
        <v>6</v>
      </c>
      <c r="I72" s="1">
        <v>1.6772999999999999E-4</v>
      </c>
      <c r="J72" t="s">
        <v>1648</v>
      </c>
      <c r="K72">
        <v>1</v>
      </c>
      <c r="L72">
        <v>2.5</v>
      </c>
      <c r="M72">
        <v>3</v>
      </c>
      <c r="N72" t="s">
        <v>1647</v>
      </c>
      <c r="O72">
        <v>2</v>
      </c>
      <c r="P72">
        <f t="shared" si="6"/>
        <v>2.5</v>
      </c>
      <c r="Q72" s="2" t="str">
        <f t="shared" si="6"/>
        <v>f</v>
      </c>
      <c r="R72" s="2">
        <f t="shared" si="10"/>
        <v>4</v>
      </c>
      <c r="S72">
        <f t="shared" si="7"/>
        <v>1178.3054</v>
      </c>
      <c r="T72" s="2" t="s">
        <v>0</v>
      </c>
      <c r="U72">
        <f t="shared" si="8"/>
        <v>1</v>
      </c>
      <c r="V72">
        <v>0</v>
      </c>
      <c r="W72">
        <v>0.5</v>
      </c>
      <c r="X72">
        <v>0.5</v>
      </c>
      <c r="Y72" s="3">
        <v>1</v>
      </c>
    </row>
    <row r="73" spans="1:25" x14ac:dyDescent="0.55000000000000004">
      <c r="A73" t="str">
        <f t="shared" si="9"/>
        <v>X-2-f-2-2.5PG</v>
      </c>
      <c r="C73" t="s">
        <v>1648</v>
      </c>
      <c r="D73">
        <v>2.5</v>
      </c>
      <c r="E73" t="s">
        <v>1</v>
      </c>
      <c r="F73">
        <v>2</v>
      </c>
      <c r="G73">
        <v>2287.8411000000001</v>
      </c>
      <c r="H73">
        <v>6</v>
      </c>
      <c r="I73" s="1">
        <v>8.1963599999999999E-7</v>
      </c>
      <c r="J73" t="s">
        <v>1648</v>
      </c>
      <c r="K73">
        <v>2</v>
      </c>
      <c r="L73">
        <v>2.5</v>
      </c>
      <c r="M73">
        <v>3</v>
      </c>
      <c r="N73" t="s">
        <v>1647</v>
      </c>
      <c r="O73">
        <v>2</v>
      </c>
      <c r="P73">
        <f t="shared" si="6"/>
        <v>2.5</v>
      </c>
      <c r="Q73" s="2" t="str">
        <f t="shared" si="6"/>
        <v>f</v>
      </c>
      <c r="R73" s="2">
        <f t="shared" si="10"/>
        <v>5</v>
      </c>
      <c r="S73">
        <f t="shared" si="7"/>
        <v>2287.8411000000001</v>
      </c>
      <c r="T73" s="2" t="s">
        <v>0</v>
      </c>
      <c r="U73">
        <f t="shared" si="8"/>
        <v>2</v>
      </c>
      <c r="V73">
        <v>0</v>
      </c>
      <c r="W73">
        <v>0.5</v>
      </c>
      <c r="X73">
        <v>0.5</v>
      </c>
      <c r="Y73" s="3">
        <v>1</v>
      </c>
    </row>
    <row r="74" spans="1:25" x14ac:dyDescent="0.55000000000000004">
      <c r="A74" t="str">
        <f t="shared" si="9"/>
        <v>X-1-e-1-3.5PG</v>
      </c>
      <c r="C74" t="s">
        <v>1648</v>
      </c>
      <c r="D74">
        <v>3.5</v>
      </c>
      <c r="E74" t="s">
        <v>2</v>
      </c>
      <c r="F74">
        <v>1</v>
      </c>
      <c r="G74">
        <v>1178.9594</v>
      </c>
      <c r="H74">
        <v>8</v>
      </c>
      <c r="I74" s="1">
        <v>2.2293899999999999E-4</v>
      </c>
      <c r="J74" t="s">
        <v>1648</v>
      </c>
      <c r="K74">
        <v>1</v>
      </c>
      <c r="L74">
        <v>3.5</v>
      </c>
      <c r="M74">
        <v>3</v>
      </c>
      <c r="N74" t="s">
        <v>1646</v>
      </c>
      <c r="O74">
        <v>1</v>
      </c>
      <c r="P74">
        <f t="shared" si="6"/>
        <v>3.5</v>
      </c>
      <c r="Q74" s="2" t="str">
        <f t="shared" si="6"/>
        <v>e</v>
      </c>
      <c r="R74" s="2">
        <f t="shared" si="10"/>
        <v>5</v>
      </c>
      <c r="S74">
        <f t="shared" si="7"/>
        <v>1178.9594</v>
      </c>
      <c r="T74" s="2" t="s">
        <v>0</v>
      </c>
      <c r="U74">
        <f t="shared" si="8"/>
        <v>1</v>
      </c>
      <c r="V74">
        <v>0</v>
      </c>
      <c r="W74">
        <v>0.5</v>
      </c>
      <c r="X74">
        <v>0.5</v>
      </c>
      <c r="Y74" s="3">
        <v>1</v>
      </c>
    </row>
    <row r="75" spans="1:25" x14ac:dyDescent="0.55000000000000004">
      <c r="A75" t="str">
        <f t="shared" si="9"/>
        <v>X-1-e-2-3.5PG</v>
      </c>
      <c r="C75" t="s">
        <v>1648</v>
      </c>
      <c r="D75">
        <v>3.5</v>
      </c>
      <c r="E75" t="s">
        <v>2</v>
      </c>
      <c r="F75">
        <v>2</v>
      </c>
      <c r="G75">
        <v>2288.4776999999999</v>
      </c>
      <c r="H75">
        <v>8</v>
      </c>
      <c r="I75" s="1">
        <v>1.08952E-6</v>
      </c>
      <c r="J75" t="s">
        <v>1648</v>
      </c>
      <c r="K75">
        <v>2</v>
      </c>
      <c r="L75">
        <v>3.5</v>
      </c>
      <c r="M75">
        <v>3</v>
      </c>
      <c r="N75" t="s">
        <v>1646</v>
      </c>
      <c r="O75">
        <v>1</v>
      </c>
      <c r="P75">
        <f t="shared" si="6"/>
        <v>3.5</v>
      </c>
      <c r="Q75" s="2" t="str">
        <f t="shared" si="6"/>
        <v>e</v>
      </c>
      <c r="R75" s="2">
        <f t="shared" si="10"/>
        <v>6</v>
      </c>
      <c r="S75">
        <f t="shared" si="7"/>
        <v>2288.4776999999999</v>
      </c>
      <c r="T75" s="2" t="s">
        <v>0</v>
      </c>
      <c r="U75">
        <f t="shared" si="8"/>
        <v>2</v>
      </c>
      <c r="V75">
        <v>0</v>
      </c>
      <c r="W75">
        <v>0.5</v>
      </c>
      <c r="X75">
        <v>0.5</v>
      </c>
      <c r="Y75" s="3">
        <v>1</v>
      </c>
    </row>
    <row r="76" spans="1:25" x14ac:dyDescent="0.55000000000000004">
      <c r="A76" t="str">
        <f t="shared" si="9"/>
        <v>X-2-f-1-3.5PG</v>
      </c>
      <c r="C76" t="s">
        <v>1648</v>
      </c>
      <c r="D76">
        <v>3.5</v>
      </c>
      <c r="E76" t="s">
        <v>1</v>
      </c>
      <c r="F76">
        <v>1</v>
      </c>
      <c r="G76">
        <v>1204.4539</v>
      </c>
      <c r="H76">
        <v>8</v>
      </c>
      <c r="I76" s="1">
        <v>1.97281E-4</v>
      </c>
      <c r="J76" t="s">
        <v>1648</v>
      </c>
      <c r="K76">
        <v>1</v>
      </c>
      <c r="L76">
        <v>3.5</v>
      </c>
      <c r="M76">
        <v>4</v>
      </c>
      <c r="N76" t="s">
        <v>1647</v>
      </c>
      <c r="O76">
        <v>2</v>
      </c>
      <c r="P76">
        <f t="shared" si="6"/>
        <v>3.5</v>
      </c>
      <c r="Q76" s="2" t="str">
        <f t="shared" si="6"/>
        <v>f</v>
      </c>
      <c r="R76" s="2">
        <f t="shared" si="10"/>
        <v>5</v>
      </c>
      <c r="S76">
        <f t="shared" si="7"/>
        <v>1204.4539</v>
      </c>
      <c r="T76" s="2" t="s">
        <v>0</v>
      </c>
      <c r="U76">
        <f t="shared" si="8"/>
        <v>1</v>
      </c>
      <c r="V76">
        <v>0</v>
      </c>
      <c r="W76">
        <v>0.5</v>
      </c>
      <c r="X76">
        <v>0.5</v>
      </c>
      <c r="Y76" s="3">
        <v>1</v>
      </c>
    </row>
    <row r="77" spans="1:25" x14ac:dyDescent="0.55000000000000004">
      <c r="A77" t="str">
        <f t="shared" si="9"/>
        <v>X-2-f-2-3.5PG</v>
      </c>
      <c r="C77" t="s">
        <v>1648</v>
      </c>
      <c r="D77">
        <v>3.5</v>
      </c>
      <c r="E77" t="s">
        <v>1</v>
      </c>
      <c r="F77">
        <v>2</v>
      </c>
      <c r="G77">
        <v>2313.4648999999999</v>
      </c>
      <c r="H77">
        <v>8</v>
      </c>
      <c r="I77" s="1">
        <v>9.6647200000000005E-7</v>
      </c>
      <c r="J77" t="s">
        <v>1648</v>
      </c>
      <c r="K77">
        <v>2</v>
      </c>
      <c r="L77">
        <v>3.5</v>
      </c>
      <c r="M77">
        <v>4</v>
      </c>
      <c r="N77" t="s">
        <v>1647</v>
      </c>
      <c r="O77">
        <v>2</v>
      </c>
      <c r="P77">
        <f t="shared" si="6"/>
        <v>3.5</v>
      </c>
      <c r="Q77" s="2" t="str">
        <f t="shared" si="6"/>
        <v>f</v>
      </c>
      <c r="R77" s="2">
        <f t="shared" si="10"/>
        <v>6</v>
      </c>
      <c r="S77">
        <f t="shared" si="7"/>
        <v>2313.4648999999999</v>
      </c>
      <c r="T77" s="2" t="s">
        <v>0</v>
      </c>
      <c r="U77">
        <f t="shared" si="8"/>
        <v>2</v>
      </c>
      <c r="V77">
        <v>0</v>
      </c>
      <c r="W77">
        <v>0.5</v>
      </c>
      <c r="X77">
        <v>0.5</v>
      </c>
      <c r="Y77" s="3">
        <v>1</v>
      </c>
    </row>
    <row r="78" spans="1:25" x14ac:dyDescent="0.55000000000000004">
      <c r="A78" t="str">
        <f t="shared" si="9"/>
        <v>X-1-e-1-4.5PG</v>
      </c>
      <c r="C78" t="s">
        <v>1648</v>
      </c>
      <c r="D78">
        <v>4.5</v>
      </c>
      <c r="E78" t="s">
        <v>2</v>
      </c>
      <c r="F78">
        <v>1</v>
      </c>
      <c r="G78">
        <v>1205.2944</v>
      </c>
      <c r="H78">
        <v>10</v>
      </c>
      <c r="I78" s="1">
        <v>2.4561E-4</v>
      </c>
      <c r="J78" t="s">
        <v>1648</v>
      </c>
      <c r="K78">
        <v>1</v>
      </c>
      <c r="L78">
        <v>4.5</v>
      </c>
      <c r="M78">
        <v>4</v>
      </c>
      <c r="N78" t="s">
        <v>1646</v>
      </c>
      <c r="O78">
        <v>1</v>
      </c>
      <c r="P78">
        <f t="shared" si="6"/>
        <v>4.5</v>
      </c>
      <c r="Q78" s="2" t="str">
        <f t="shared" si="6"/>
        <v>e</v>
      </c>
      <c r="R78" s="2">
        <f t="shared" si="10"/>
        <v>6</v>
      </c>
      <c r="S78">
        <f t="shared" si="7"/>
        <v>1205.2944</v>
      </c>
      <c r="T78" s="2" t="s">
        <v>0</v>
      </c>
      <c r="U78">
        <f t="shared" si="8"/>
        <v>1</v>
      </c>
      <c r="V78">
        <v>0</v>
      </c>
      <c r="W78">
        <v>0.5</v>
      </c>
      <c r="X78">
        <v>0.5</v>
      </c>
      <c r="Y78" s="3">
        <v>1</v>
      </c>
    </row>
    <row r="79" spans="1:25" x14ac:dyDescent="0.55000000000000004">
      <c r="A79" t="str">
        <f t="shared" si="9"/>
        <v>X-1-e-2-4.5PG</v>
      </c>
      <c r="C79" t="s">
        <v>1648</v>
      </c>
      <c r="D79">
        <v>4.5</v>
      </c>
      <c r="E79" t="s">
        <v>2</v>
      </c>
      <c r="F79">
        <v>2</v>
      </c>
      <c r="G79">
        <v>2314.2829999999999</v>
      </c>
      <c r="H79">
        <v>10</v>
      </c>
      <c r="I79" s="1">
        <v>1.2033599999999999E-6</v>
      </c>
      <c r="J79" t="s">
        <v>1648</v>
      </c>
      <c r="K79">
        <v>2</v>
      </c>
      <c r="L79">
        <v>4.5</v>
      </c>
      <c r="M79">
        <v>4</v>
      </c>
      <c r="N79" t="s">
        <v>1646</v>
      </c>
      <c r="O79">
        <v>1</v>
      </c>
      <c r="P79">
        <f t="shared" si="6"/>
        <v>4.5</v>
      </c>
      <c r="Q79" s="2" t="str">
        <f t="shared" si="6"/>
        <v>e</v>
      </c>
      <c r="R79" s="2">
        <f t="shared" si="10"/>
        <v>7</v>
      </c>
      <c r="S79">
        <f t="shared" si="7"/>
        <v>2314.2829999999999</v>
      </c>
      <c r="T79" s="2" t="s">
        <v>0</v>
      </c>
      <c r="U79">
        <f t="shared" si="8"/>
        <v>2</v>
      </c>
      <c r="V79">
        <v>0</v>
      </c>
      <c r="W79">
        <v>0.5</v>
      </c>
      <c r="X79">
        <v>0.5</v>
      </c>
      <c r="Y79" s="3">
        <v>1</v>
      </c>
    </row>
    <row r="80" spans="1:25" x14ac:dyDescent="0.55000000000000004">
      <c r="A80" t="str">
        <f t="shared" si="9"/>
        <v>X-2-f-1-4.5PG</v>
      </c>
      <c r="C80" t="s">
        <v>1648</v>
      </c>
      <c r="D80">
        <v>4.5</v>
      </c>
      <c r="E80" t="s">
        <v>1</v>
      </c>
      <c r="F80">
        <v>1</v>
      </c>
      <c r="G80">
        <v>1237.1428000000001</v>
      </c>
      <c r="H80">
        <v>10</v>
      </c>
      <c r="I80" s="1">
        <v>2.10819E-4</v>
      </c>
      <c r="J80" t="s">
        <v>1648</v>
      </c>
      <c r="K80">
        <v>1</v>
      </c>
      <c r="L80">
        <v>4.5</v>
      </c>
      <c r="M80">
        <v>5</v>
      </c>
      <c r="N80" t="s">
        <v>1647</v>
      </c>
      <c r="O80">
        <v>2</v>
      </c>
      <c r="P80">
        <f t="shared" si="6"/>
        <v>4.5</v>
      </c>
      <c r="Q80" s="2" t="str">
        <f t="shared" si="6"/>
        <v>f</v>
      </c>
      <c r="R80" s="2">
        <f t="shared" si="10"/>
        <v>6</v>
      </c>
      <c r="S80">
        <f t="shared" si="7"/>
        <v>1237.1428000000001</v>
      </c>
      <c r="T80" s="2" t="s">
        <v>0</v>
      </c>
      <c r="U80">
        <f t="shared" si="8"/>
        <v>1</v>
      </c>
      <c r="V80">
        <v>0</v>
      </c>
      <c r="W80">
        <v>0.5</v>
      </c>
      <c r="X80">
        <v>0.5</v>
      </c>
      <c r="Y80" s="3">
        <v>1</v>
      </c>
    </row>
    <row r="81" spans="1:25" x14ac:dyDescent="0.55000000000000004">
      <c r="A81" t="str">
        <f t="shared" si="9"/>
        <v>X-2-f-2-4.5PG</v>
      </c>
      <c r="C81" t="s">
        <v>1648</v>
      </c>
      <c r="D81">
        <v>4.5</v>
      </c>
      <c r="E81" t="s">
        <v>1</v>
      </c>
      <c r="F81">
        <v>2</v>
      </c>
      <c r="G81">
        <v>2345.4974000000002</v>
      </c>
      <c r="H81">
        <v>10</v>
      </c>
      <c r="I81" s="1">
        <v>1.03605E-6</v>
      </c>
      <c r="J81" t="s">
        <v>1648</v>
      </c>
      <c r="K81">
        <v>2</v>
      </c>
      <c r="L81">
        <v>4.5</v>
      </c>
      <c r="M81">
        <v>5</v>
      </c>
      <c r="N81" t="s">
        <v>1647</v>
      </c>
      <c r="O81">
        <v>2</v>
      </c>
      <c r="P81">
        <f t="shared" si="6"/>
        <v>4.5</v>
      </c>
      <c r="Q81" s="2" t="str">
        <f t="shared" si="6"/>
        <v>f</v>
      </c>
      <c r="R81" s="2">
        <f t="shared" si="10"/>
        <v>7</v>
      </c>
      <c r="S81">
        <f t="shared" si="7"/>
        <v>2345.4974000000002</v>
      </c>
      <c r="T81" s="2" t="s">
        <v>0</v>
      </c>
      <c r="U81">
        <f t="shared" si="8"/>
        <v>2</v>
      </c>
      <c r="V81">
        <v>0</v>
      </c>
      <c r="W81">
        <v>0.5</v>
      </c>
      <c r="X81">
        <v>0.5</v>
      </c>
      <c r="Y81" s="3">
        <v>1</v>
      </c>
    </row>
    <row r="82" spans="1:25" x14ac:dyDescent="0.55000000000000004">
      <c r="A82" t="str">
        <f t="shared" si="9"/>
        <v>X-1-e-1-5.5PG</v>
      </c>
      <c r="C82" t="s">
        <v>1648</v>
      </c>
      <c r="D82">
        <v>5.5</v>
      </c>
      <c r="E82" t="s">
        <v>2</v>
      </c>
      <c r="F82">
        <v>1</v>
      </c>
      <c r="G82">
        <v>1238.1694</v>
      </c>
      <c r="H82">
        <v>12</v>
      </c>
      <c r="I82" s="1">
        <v>2.5174000000000003E-4</v>
      </c>
      <c r="J82" t="s">
        <v>1648</v>
      </c>
      <c r="K82">
        <v>1</v>
      </c>
      <c r="L82">
        <v>5.5</v>
      </c>
      <c r="M82">
        <v>5</v>
      </c>
      <c r="N82" t="s">
        <v>1646</v>
      </c>
      <c r="O82">
        <v>1</v>
      </c>
      <c r="P82">
        <f t="shared" si="6"/>
        <v>5.5</v>
      </c>
      <c r="Q82" s="2" t="str">
        <f t="shared" si="6"/>
        <v>e</v>
      </c>
      <c r="R82" s="2">
        <f t="shared" si="10"/>
        <v>7</v>
      </c>
      <c r="S82">
        <f t="shared" si="7"/>
        <v>1238.1694</v>
      </c>
      <c r="T82" s="2" t="s">
        <v>0</v>
      </c>
      <c r="U82">
        <f t="shared" si="8"/>
        <v>1</v>
      </c>
      <c r="V82">
        <v>0</v>
      </c>
      <c r="W82">
        <v>0.5</v>
      </c>
      <c r="X82">
        <v>0.5</v>
      </c>
      <c r="Y82" s="3">
        <v>1</v>
      </c>
    </row>
    <row r="83" spans="1:25" x14ac:dyDescent="0.55000000000000004">
      <c r="A83" t="str">
        <f t="shared" si="9"/>
        <v>X-1-e-2-5.5PG</v>
      </c>
      <c r="C83" t="s">
        <v>1648</v>
      </c>
      <c r="D83">
        <v>5.5</v>
      </c>
      <c r="E83" t="s">
        <v>2</v>
      </c>
      <c r="F83">
        <v>2</v>
      </c>
      <c r="G83">
        <v>2346.4965999999999</v>
      </c>
      <c r="H83">
        <v>12</v>
      </c>
      <c r="I83" s="1">
        <v>1.2373199999999999E-6</v>
      </c>
      <c r="J83" t="s">
        <v>1648</v>
      </c>
      <c r="K83">
        <v>2</v>
      </c>
      <c r="L83">
        <v>5.5</v>
      </c>
      <c r="M83">
        <v>5</v>
      </c>
      <c r="N83" t="s">
        <v>1646</v>
      </c>
      <c r="O83">
        <v>1</v>
      </c>
      <c r="P83">
        <f t="shared" si="6"/>
        <v>5.5</v>
      </c>
      <c r="Q83" s="2" t="str">
        <f t="shared" si="6"/>
        <v>e</v>
      </c>
      <c r="R83" s="2">
        <f t="shared" si="10"/>
        <v>8</v>
      </c>
      <c r="S83">
        <f t="shared" si="7"/>
        <v>2346.4965999999999</v>
      </c>
      <c r="T83" s="2" t="s">
        <v>0</v>
      </c>
      <c r="U83">
        <f t="shared" si="8"/>
        <v>2</v>
      </c>
      <c r="V83">
        <v>0</v>
      </c>
      <c r="W83">
        <v>0.5</v>
      </c>
      <c r="X83">
        <v>0.5</v>
      </c>
      <c r="Y83" s="3">
        <v>1</v>
      </c>
    </row>
    <row r="84" spans="1:25" x14ac:dyDescent="0.55000000000000004">
      <c r="A84" t="str">
        <f t="shared" si="9"/>
        <v>X-2-f-1-5.5PG</v>
      </c>
      <c r="C84" t="s">
        <v>1648</v>
      </c>
      <c r="D84">
        <v>5.5</v>
      </c>
      <c r="E84" t="s">
        <v>1</v>
      </c>
      <c r="F84">
        <v>1</v>
      </c>
      <c r="G84">
        <v>1276.3588</v>
      </c>
      <c r="H84">
        <v>12</v>
      </c>
      <c r="I84" s="1">
        <v>2.0960900000000001E-4</v>
      </c>
      <c r="J84" t="s">
        <v>1648</v>
      </c>
      <c r="K84">
        <v>1</v>
      </c>
      <c r="L84">
        <v>5.5</v>
      </c>
      <c r="M84">
        <v>6</v>
      </c>
      <c r="N84" t="s">
        <v>1647</v>
      </c>
      <c r="O84">
        <v>2</v>
      </c>
      <c r="P84">
        <f t="shared" si="6"/>
        <v>5.5</v>
      </c>
      <c r="Q84" s="2" t="str">
        <f t="shared" si="6"/>
        <v>f</v>
      </c>
      <c r="R84" s="2">
        <f t="shared" si="10"/>
        <v>7</v>
      </c>
      <c r="S84">
        <f t="shared" si="7"/>
        <v>1276.3588</v>
      </c>
      <c r="T84" s="2" t="s">
        <v>0</v>
      </c>
      <c r="U84">
        <f t="shared" si="8"/>
        <v>1</v>
      </c>
      <c r="V84">
        <v>0</v>
      </c>
      <c r="W84">
        <v>0.5</v>
      </c>
      <c r="X84">
        <v>0.5</v>
      </c>
      <c r="Y84" s="3">
        <v>1</v>
      </c>
    </row>
    <row r="85" spans="1:25" x14ac:dyDescent="0.55000000000000004">
      <c r="A85" t="str">
        <f t="shared" si="9"/>
        <v>X-2-f-2-5.5PG</v>
      </c>
      <c r="C85" t="s">
        <v>1648</v>
      </c>
      <c r="D85">
        <v>5.5</v>
      </c>
      <c r="E85" t="s">
        <v>1</v>
      </c>
      <c r="F85">
        <v>2</v>
      </c>
      <c r="G85">
        <v>2383.9252999999999</v>
      </c>
      <c r="H85">
        <v>12</v>
      </c>
      <c r="I85" s="1">
        <v>1.034E-6</v>
      </c>
      <c r="J85" t="s">
        <v>1648</v>
      </c>
      <c r="K85">
        <v>2</v>
      </c>
      <c r="L85">
        <v>5.5</v>
      </c>
      <c r="M85">
        <v>6</v>
      </c>
      <c r="N85" t="s">
        <v>1647</v>
      </c>
      <c r="O85">
        <v>2</v>
      </c>
      <c r="P85">
        <f t="shared" si="6"/>
        <v>5.5</v>
      </c>
      <c r="Q85" s="2" t="str">
        <f t="shared" si="6"/>
        <v>f</v>
      </c>
      <c r="R85" s="2">
        <f t="shared" si="10"/>
        <v>8</v>
      </c>
      <c r="S85">
        <f t="shared" si="7"/>
        <v>2383.9252999999999</v>
      </c>
      <c r="T85" s="2" t="s">
        <v>0</v>
      </c>
      <c r="U85">
        <f t="shared" si="8"/>
        <v>2</v>
      </c>
      <c r="V85">
        <v>0</v>
      </c>
      <c r="W85">
        <v>0.5</v>
      </c>
      <c r="X85">
        <v>0.5</v>
      </c>
      <c r="Y85" s="3">
        <v>1</v>
      </c>
    </row>
    <row r="86" spans="1:25" x14ac:dyDescent="0.55000000000000004">
      <c r="A86" t="str">
        <f t="shared" si="9"/>
        <v>X-1-e-1-6.5PG</v>
      </c>
      <c r="C86" t="s">
        <v>1648</v>
      </c>
      <c r="D86">
        <v>6.5</v>
      </c>
      <c r="E86" t="s">
        <v>2</v>
      </c>
      <c r="F86">
        <v>1</v>
      </c>
      <c r="G86">
        <v>1277.5708999999999</v>
      </c>
      <c r="H86">
        <v>14</v>
      </c>
      <c r="I86" s="1">
        <v>2.4312699999999999E-4</v>
      </c>
      <c r="J86" t="s">
        <v>1648</v>
      </c>
      <c r="K86">
        <v>1</v>
      </c>
      <c r="L86">
        <v>6.5</v>
      </c>
      <c r="M86">
        <v>6</v>
      </c>
      <c r="N86" t="s">
        <v>1646</v>
      </c>
      <c r="O86">
        <v>1</v>
      </c>
      <c r="P86">
        <f t="shared" si="6"/>
        <v>6.5</v>
      </c>
      <c r="Q86" s="2" t="str">
        <f t="shared" si="6"/>
        <v>e</v>
      </c>
      <c r="R86" s="2">
        <f t="shared" si="10"/>
        <v>8</v>
      </c>
      <c r="S86">
        <f t="shared" si="7"/>
        <v>1277.5708999999999</v>
      </c>
      <c r="T86" s="2" t="s">
        <v>0</v>
      </c>
      <c r="U86">
        <f t="shared" si="8"/>
        <v>1</v>
      </c>
      <c r="V86">
        <v>0</v>
      </c>
      <c r="W86">
        <v>0.5</v>
      </c>
      <c r="X86">
        <v>0.5</v>
      </c>
      <c r="Y86" s="3">
        <v>1</v>
      </c>
    </row>
    <row r="87" spans="1:25" x14ac:dyDescent="0.55000000000000004">
      <c r="A87" t="str">
        <f t="shared" si="9"/>
        <v>X-1-e-2-6.5PG</v>
      </c>
      <c r="C87" t="s">
        <v>1648</v>
      </c>
      <c r="D87">
        <v>6.5</v>
      </c>
      <c r="E87" t="s">
        <v>2</v>
      </c>
      <c r="F87">
        <v>2</v>
      </c>
      <c r="G87">
        <v>2385.1051000000002</v>
      </c>
      <c r="H87">
        <v>14</v>
      </c>
      <c r="I87" s="1">
        <v>1.1995300000000001E-6</v>
      </c>
      <c r="J87" t="s">
        <v>1648</v>
      </c>
      <c r="K87">
        <v>2</v>
      </c>
      <c r="L87">
        <v>6.5</v>
      </c>
      <c r="M87">
        <v>6</v>
      </c>
      <c r="N87" t="s">
        <v>1646</v>
      </c>
      <c r="O87">
        <v>1</v>
      </c>
      <c r="P87">
        <f t="shared" si="6"/>
        <v>6.5</v>
      </c>
      <c r="Q87" s="2" t="str">
        <f t="shared" si="6"/>
        <v>e</v>
      </c>
      <c r="R87" s="2">
        <f t="shared" si="10"/>
        <v>9</v>
      </c>
      <c r="S87">
        <f t="shared" si="7"/>
        <v>2385.1051000000002</v>
      </c>
      <c r="T87" s="2" t="s">
        <v>0</v>
      </c>
      <c r="U87">
        <f t="shared" si="8"/>
        <v>2</v>
      </c>
      <c r="V87">
        <v>0</v>
      </c>
      <c r="W87">
        <v>0.5</v>
      </c>
      <c r="X87">
        <v>0.5</v>
      </c>
      <c r="Y87" s="3">
        <v>1</v>
      </c>
    </row>
    <row r="88" spans="1:25" x14ac:dyDescent="0.55000000000000004">
      <c r="A88" t="str">
        <f t="shared" si="9"/>
        <v>X-2-f-1-6.5PG</v>
      </c>
      <c r="C88" t="s">
        <v>1648</v>
      </c>
      <c r="D88">
        <v>6.5</v>
      </c>
      <c r="E88" t="s">
        <v>1</v>
      </c>
      <c r="F88">
        <v>1</v>
      </c>
      <c r="G88">
        <v>1322.0856000000001</v>
      </c>
      <c r="H88">
        <v>14</v>
      </c>
      <c r="I88" s="1">
        <v>1.96388E-4</v>
      </c>
      <c r="J88" t="s">
        <v>1648</v>
      </c>
      <c r="K88">
        <v>1</v>
      </c>
      <c r="L88">
        <v>6.5</v>
      </c>
      <c r="M88">
        <v>7</v>
      </c>
      <c r="N88" t="s">
        <v>1647</v>
      </c>
      <c r="O88">
        <v>2</v>
      </c>
      <c r="P88">
        <f t="shared" si="6"/>
        <v>6.5</v>
      </c>
      <c r="Q88" s="2" t="str">
        <f t="shared" si="6"/>
        <v>f</v>
      </c>
      <c r="R88" s="2">
        <f t="shared" si="10"/>
        <v>8</v>
      </c>
      <c r="S88">
        <f t="shared" si="7"/>
        <v>1322.0856000000001</v>
      </c>
      <c r="T88" s="2" t="s">
        <v>0</v>
      </c>
      <c r="U88">
        <f t="shared" si="8"/>
        <v>1</v>
      </c>
      <c r="V88">
        <v>0</v>
      </c>
      <c r="W88">
        <v>0.5</v>
      </c>
      <c r="X88">
        <v>0.5</v>
      </c>
      <c r="Y88" s="3">
        <v>1</v>
      </c>
    </row>
    <row r="89" spans="1:25" x14ac:dyDescent="0.55000000000000004">
      <c r="A89" t="str">
        <f t="shared" si="9"/>
        <v>X-2-f-2-6.5PG</v>
      </c>
      <c r="C89" t="s">
        <v>1648</v>
      </c>
      <c r="D89">
        <v>6.5</v>
      </c>
      <c r="E89" t="s">
        <v>1</v>
      </c>
      <c r="F89">
        <v>2</v>
      </c>
      <c r="G89">
        <v>2428.7323999999999</v>
      </c>
      <c r="H89">
        <v>14</v>
      </c>
      <c r="I89" s="1">
        <v>9.7306800000000002E-7</v>
      </c>
      <c r="J89" t="s">
        <v>1648</v>
      </c>
      <c r="K89">
        <v>2</v>
      </c>
      <c r="L89">
        <v>6.5</v>
      </c>
      <c r="M89">
        <v>7</v>
      </c>
      <c r="N89" t="s">
        <v>1647</v>
      </c>
      <c r="O89">
        <v>2</v>
      </c>
      <c r="P89">
        <f t="shared" si="6"/>
        <v>6.5</v>
      </c>
      <c r="Q89" s="2" t="str">
        <f t="shared" si="6"/>
        <v>f</v>
      </c>
      <c r="R89" s="2">
        <f t="shared" si="10"/>
        <v>9</v>
      </c>
      <c r="S89">
        <f t="shared" si="7"/>
        <v>2428.7323999999999</v>
      </c>
      <c r="T89" s="2" t="s">
        <v>0</v>
      </c>
      <c r="U89">
        <f t="shared" si="8"/>
        <v>2</v>
      </c>
      <c r="V89">
        <v>0</v>
      </c>
      <c r="W89">
        <v>0.5</v>
      </c>
      <c r="X89">
        <v>0.5</v>
      </c>
      <c r="Y89" s="3">
        <v>1</v>
      </c>
    </row>
    <row r="90" spans="1:25" x14ac:dyDescent="0.55000000000000004">
      <c r="A90" t="str">
        <f t="shared" si="9"/>
        <v>X-1-e-1-7.5PG</v>
      </c>
      <c r="C90" t="s">
        <v>1648</v>
      </c>
      <c r="D90">
        <v>7.5</v>
      </c>
      <c r="E90" t="s">
        <v>2</v>
      </c>
      <c r="F90">
        <v>1</v>
      </c>
      <c r="G90">
        <v>1323.4829</v>
      </c>
      <c r="H90">
        <v>16</v>
      </c>
      <c r="I90" s="1">
        <v>2.22945E-4</v>
      </c>
      <c r="J90" t="s">
        <v>1648</v>
      </c>
      <c r="K90">
        <v>1</v>
      </c>
      <c r="L90">
        <v>7.5</v>
      </c>
      <c r="M90">
        <v>7</v>
      </c>
      <c r="N90" t="s">
        <v>1646</v>
      </c>
      <c r="O90">
        <v>1</v>
      </c>
      <c r="P90">
        <f t="shared" si="6"/>
        <v>7.5</v>
      </c>
      <c r="Q90" s="2" t="str">
        <f t="shared" si="6"/>
        <v>e</v>
      </c>
      <c r="R90" s="2">
        <f t="shared" si="10"/>
        <v>9</v>
      </c>
      <c r="S90">
        <f t="shared" si="7"/>
        <v>1323.4829</v>
      </c>
      <c r="T90" s="2" t="s">
        <v>0</v>
      </c>
      <c r="U90">
        <f t="shared" si="8"/>
        <v>1</v>
      </c>
      <c r="V90">
        <v>0</v>
      </c>
      <c r="W90">
        <v>0.5</v>
      </c>
      <c r="X90">
        <v>0.5</v>
      </c>
      <c r="Y90" s="3">
        <v>1</v>
      </c>
    </row>
    <row r="91" spans="1:25" x14ac:dyDescent="0.55000000000000004">
      <c r="A91" t="str">
        <f t="shared" si="9"/>
        <v>X-1-e-2-7.5PG</v>
      </c>
      <c r="C91" t="s">
        <v>1648</v>
      </c>
      <c r="D91">
        <v>7.5</v>
      </c>
      <c r="E91" t="s">
        <v>2</v>
      </c>
      <c r="F91">
        <v>2</v>
      </c>
      <c r="G91">
        <v>2430.0924</v>
      </c>
      <c r="H91">
        <v>16</v>
      </c>
      <c r="I91" s="1">
        <v>1.1048500000000001E-6</v>
      </c>
      <c r="J91" t="s">
        <v>1648</v>
      </c>
      <c r="K91">
        <v>2</v>
      </c>
      <c r="L91">
        <v>7.5</v>
      </c>
      <c r="M91">
        <v>7</v>
      </c>
      <c r="N91" t="s">
        <v>1646</v>
      </c>
      <c r="O91">
        <v>1</v>
      </c>
      <c r="P91">
        <f t="shared" si="6"/>
        <v>7.5</v>
      </c>
      <c r="Q91" s="2" t="str">
        <f t="shared" si="6"/>
        <v>e</v>
      </c>
      <c r="R91" s="2">
        <f t="shared" si="10"/>
        <v>10</v>
      </c>
      <c r="S91">
        <f t="shared" si="7"/>
        <v>2430.0924</v>
      </c>
      <c r="T91" s="2" t="s">
        <v>0</v>
      </c>
      <c r="U91">
        <f t="shared" si="8"/>
        <v>2</v>
      </c>
      <c r="V91">
        <v>0</v>
      </c>
      <c r="W91">
        <v>0.5</v>
      </c>
      <c r="X91">
        <v>0.5</v>
      </c>
      <c r="Y91" s="3">
        <v>1</v>
      </c>
    </row>
    <row r="92" spans="1:25" x14ac:dyDescent="0.55000000000000004">
      <c r="A92" t="str">
        <f t="shared" si="9"/>
        <v>X-2-f-1-7.5PG</v>
      </c>
      <c r="C92" t="s">
        <v>1648</v>
      </c>
      <c r="D92">
        <v>7.5</v>
      </c>
      <c r="E92" t="s">
        <v>1</v>
      </c>
      <c r="F92">
        <v>1</v>
      </c>
      <c r="G92">
        <v>1374.3046999999999</v>
      </c>
      <c r="H92">
        <v>16</v>
      </c>
      <c r="I92" s="1">
        <v>1.7472000000000001E-4</v>
      </c>
      <c r="J92" t="s">
        <v>1648</v>
      </c>
      <c r="K92">
        <v>1</v>
      </c>
      <c r="L92">
        <v>7.5</v>
      </c>
      <c r="M92">
        <v>8</v>
      </c>
      <c r="N92" t="s">
        <v>1647</v>
      </c>
      <c r="O92">
        <v>2</v>
      </c>
      <c r="P92">
        <f t="shared" si="6"/>
        <v>7.5</v>
      </c>
      <c r="Q92" s="2" t="str">
        <f t="shared" si="6"/>
        <v>f</v>
      </c>
      <c r="R92" s="2">
        <f t="shared" si="10"/>
        <v>9</v>
      </c>
      <c r="S92">
        <f t="shared" si="7"/>
        <v>1374.3046999999999</v>
      </c>
      <c r="T92" s="2" t="s">
        <v>0</v>
      </c>
      <c r="U92">
        <f t="shared" si="8"/>
        <v>1</v>
      </c>
      <c r="V92">
        <v>0</v>
      </c>
      <c r="W92">
        <v>0.5</v>
      </c>
      <c r="X92">
        <v>0.5</v>
      </c>
      <c r="Y92" s="3">
        <v>1</v>
      </c>
    </row>
    <row r="93" spans="1:25" x14ac:dyDescent="0.55000000000000004">
      <c r="A93" t="str">
        <f t="shared" si="9"/>
        <v>X-2-f-2-7.5PG</v>
      </c>
      <c r="C93" t="s">
        <v>1648</v>
      </c>
      <c r="D93">
        <v>7.5</v>
      </c>
      <c r="E93" t="s">
        <v>1</v>
      </c>
      <c r="F93">
        <v>2</v>
      </c>
      <c r="G93">
        <v>2479.9002</v>
      </c>
      <c r="H93">
        <v>16</v>
      </c>
      <c r="I93" s="1">
        <v>8.70083E-7</v>
      </c>
      <c r="J93" t="s">
        <v>1648</v>
      </c>
      <c r="K93">
        <v>2</v>
      </c>
      <c r="L93">
        <v>7.5</v>
      </c>
      <c r="M93">
        <v>8</v>
      </c>
      <c r="N93" t="s">
        <v>1647</v>
      </c>
      <c r="O93">
        <v>2</v>
      </c>
      <c r="P93">
        <f t="shared" si="6"/>
        <v>7.5</v>
      </c>
      <c r="Q93" s="2" t="str">
        <f t="shared" si="6"/>
        <v>f</v>
      </c>
      <c r="R93" s="2">
        <f t="shared" si="10"/>
        <v>10</v>
      </c>
      <c r="S93">
        <f t="shared" si="7"/>
        <v>2479.9002</v>
      </c>
      <c r="T93" s="2" t="s">
        <v>0</v>
      </c>
      <c r="U93">
        <f t="shared" si="8"/>
        <v>2</v>
      </c>
      <c r="V93">
        <v>0</v>
      </c>
      <c r="W93">
        <v>0.5</v>
      </c>
      <c r="X93">
        <v>0.5</v>
      </c>
      <c r="Y93" s="3">
        <v>1</v>
      </c>
    </row>
    <row r="94" spans="1:25" x14ac:dyDescent="0.55000000000000004">
      <c r="A94" t="str">
        <f t="shared" si="9"/>
        <v>X-1-e-1-8.5PG</v>
      </c>
      <c r="C94" t="s">
        <v>1648</v>
      </c>
      <c r="D94">
        <v>8.5</v>
      </c>
      <c r="E94" t="s">
        <v>2</v>
      </c>
      <c r="F94">
        <v>1</v>
      </c>
      <c r="G94">
        <v>1375.8865000000001</v>
      </c>
      <c r="H94">
        <v>18</v>
      </c>
      <c r="I94" s="1">
        <v>1.9507500000000001E-4</v>
      </c>
      <c r="J94" t="s">
        <v>1648</v>
      </c>
      <c r="K94">
        <v>1</v>
      </c>
      <c r="L94">
        <v>8.5</v>
      </c>
      <c r="M94">
        <v>8</v>
      </c>
      <c r="N94" t="s">
        <v>1646</v>
      </c>
      <c r="O94">
        <v>1</v>
      </c>
      <c r="P94">
        <f t="shared" si="6"/>
        <v>8.5</v>
      </c>
      <c r="Q94" s="2" t="str">
        <f t="shared" si="6"/>
        <v>e</v>
      </c>
      <c r="R94" s="2">
        <f t="shared" si="10"/>
        <v>10</v>
      </c>
      <c r="S94">
        <f t="shared" si="7"/>
        <v>1375.8865000000001</v>
      </c>
      <c r="T94" s="2" t="s">
        <v>0</v>
      </c>
      <c r="U94">
        <f t="shared" si="8"/>
        <v>1</v>
      </c>
      <c r="V94">
        <v>0</v>
      </c>
      <c r="W94">
        <v>0.5</v>
      </c>
      <c r="X94">
        <v>0.5</v>
      </c>
      <c r="Y94" s="3">
        <v>1</v>
      </c>
    </row>
    <row r="95" spans="1:25" x14ac:dyDescent="0.55000000000000004">
      <c r="A95" t="str">
        <f t="shared" si="9"/>
        <v>X-1-e-2-8.5PG</v>
      </c>
      <c r="C95" t="s">
        <v>1648</v>
      </c>
      <c r="D95">
        <v>8.5</v>
      </c>
      <c r="E95" t="s">
        <v>2</v>
      </c>
      <c r="F95">
        <v>2</v>
      </c>
      <c r="G95">
        <v>2481.4396999999999</v>
      </c>
      <c r="H95">
        <v>18</v>
      </c>
      <c r="I95" s="1">
        <v>9.7164300000000007E-7</v>
      </c>
      <c r="J95" t="s">
        <v>1648</v>
      </c>
      <c r="K95">
        <v>2</v>
      </c>
      <c r="L95">
        <v>8.5</v>
      </c>
      <c r="M95">
        <v>8</v>
      </c>
      <c r="N95" t="s">
        <v>1646</v>
      </c>
      <c r="O95">
        <v>1</v>
      </c>
      <c r="P95">
        <f t="shared" ref="P95:Q158" si="11">D95</f>
        <v>8.5</v>
      </c>
      <c r="Q95" s="2" t="str">
        <f t="shared" si="11"/>
        <v>e</v>
      </c>
      <c r="R95" s="2">
        <f t="shared" si="10"/>
        <v>11</v>
      </c>
      <c r="S95">
        <f t="shared" si="7"/>
        <v>2481.4396999999999</v>
      </c>
      <c r="T95" s="2" t="s">
        <v>0</v>
      </c>
      <c r="U95">
        <f t="shared" si="8"/>
        <v>2</v>
      </c>
      <c r="V95">
        <v>0</v>
      </c>
      <c r="W95">
        <v>0.5</v>
      </c>
      <c r="X95">
        <v>0.5</v>
      </c>
      <c r="Y95" s="3">
        <v>1</v>
      </c>
    </row>
    <row r="96" spans="1:25" x14ac:dyDescent="0.55000000000000004">
      <c r="A96" t="str">
        <f t="shared" si="9"/>
        <v>X-2-f-1-8.5PG</v>
      </c>
      <c r="C96" t="s">
        <v>1648</v>
      </c>
      <c r="D96">
        <v>8.5</v>
      </c>
      <c r="E96" t="s">
        <v>1</v>
      </c>
      <c r="F96">
        <v>1</v>
      </c>
      <c r="G96">
        <v>1432.9947</v>
      </c>
      <c r="H96">
        <v>18</v>
      </c>
      <c r="I96">
        <v>1.48338E-4</v>
      </c>
      <c r="J96" t="s">
        <v>1648</v>
      </c>
      <c r="K96">
        <v>1</v>
      </c>
      <c r="L96">
        <v>8.5</v>
      </c>
      <c r="M96">
        <v>9</v>
      </c>
      <c r="N96" t="s">
        <v>1647</v>
      </c>
      <c r="O96">
        <v>2</v>
      </c>
      <c r="P96">
        <f t="shared" si="11"/>
        <v>8.5</v>
      </c>
      <c r="Q96" s="2" t="str">
        <f t="shared" si="11"/>
        <v>f</v>
      </c>
      <c r="R96" s="2">
        <f t="shared" si="10"/>
        <v>10</v>
      </c>
      <c r="S96">
        <f t="shared" si="7"/>
        <v>1432.9947</v>
      </c>
      <c r="T96" s="2" t="s">
        <v>0</v>
      </c>
      <c r="U96">
        <f t="shared" si="8"/>
        <v>1</v>
      </c>
      <c r="V96">
        <v>0</v>
      </c>
      <c r="W96">
        <v>0.5</v>
      </c>
      <c r="X96">
        <v>0.5</v>
      </c>
      <c r="Y96" s="3">
        <v>1</v>
      </c>
    </row>
    <row r="97" spans="1:25" x14ac:dyDescent="0.55000000000000004">
      <c r="A97" t="str">
        <f t="shared" si="9"/>
        <v>X-2-f-2-8.5PG</v>
      </c>
      <c r="C97" t="s">
        <v>1648</v>
      </c>
      <c r="D97">
        <v>8.5</v>
      </c>
      <c r="E97" t="s">
        <v>1</v>
      </c>
      <c r="F97">
        <v>2</v>
      </c>
      <c r="G97">
        <v>2537.4074000000001</v>
      </c>
      <c r="H97">
        <v>18</v>
      </c>
      <c r="I97" s="1">
        <v>7.42907E-7</v>
      </c>
      <c r="J97" t="s">
        <v>1648</v>
      </c>
      <c r="K97">
        <v>2</v>
      </c>
      <c r="L97">
        <v>8.5</v>
      </c>
      <c r="M97">
        <v>9</v>
      </c>
      <c r="N97" t="s">
        <v>1647</v>
      </c>
      <c r="O97">
        <v>2</v>
      </c>
      <c r="P97">
        <f t="shared" si="11"/>
        <v>8.5</v>
      </c>
      <c r="Q97" s="2" t="str">
        <f t="shared" si="11"/>
        <v>f</v>
      </c>
      <c r="R97" s="2">
        <f t="shared" si="10"/>
        <v>11</v>
      </c>
      <c r="S97">
        <f t="shared" si="7"/>
        <v>2537.4074000000001</v>
      </c>
      <c r="T97" s="2" t="s">
        <v>0</v>
      </c>
      <c r="U97">
        <f t="shared" si="8"/>
        <v>2</v>
      </c>
      <c r="V97">
        <v>0</v>
      </c>
      <c r="W97">
        <v>0.5</v>
      </c>
      <c r="X97">
        <v>0.5</v>
      </c>
      <c r="Y97" s="3">
        <v>1</v>
      </c>
    </row>
    <row r="98" spans="1:25" x14ac:dyDescent="0.55000000000000004">
      <c r="A98" t="str">
        <f t="shared" si="9"/>
        <v>X-1-e-1-9.5PG</v>
      </c>
      <c r="C98" t="s">
        <v>1648</v>
      </c>
      <c r="D98">
        <v>9.5</v>
      </c>
      <c r="E98" t="s">
        <v>2</v>
      </c>
      <c r="F98">
        <v>1</v>
      </c>
      <c r="G98">
        <v>1434.7601999999999</v>
      </c>
      <c r="H98">
        <v>20</v>
      </c>
      <c r="I98">
        <v>1.6343099999999999E-4</v>
      </c>
      <c r="J98" t="s">
        <v>1648</v>
      </c>
      <c r="K98">
        <v>1</v>
      </c>
      <c r="L98">
        <v>9.5</v>
      </c>
      <c r="M98">
        <v>9</v>
      </c>
      <c r="N98" t="s">
        <v>1646</v>
      </c>
      <c r="O98">
        <v>1</v>
      </c>
      <c r="P98">
        <f t="shared" si="11"/>
        <v>9.5</v>
      </c>
      <c r="Q98" s="2" t="str">
        <f t="shared" si="11"/>
        <v>e</v>
      </c>
      <c r="R98" s="2">
        <f t="shared" si="10"/>
        <v>11</v>
      </c>
      <c r="S98">
        <f t="shared" si="7"/>
        <v>1434.7601999999999</v>
      </c>
      <c r="T98" s="2" t="s">
        <v>0</v>
      </c>
      <c r="U98">
        <f t="shared" si="8"/>
        <v>1</v>
      </c>
      <c r="V98">
        <v>0</v>
      </c>
      <c r="W98">
        <v>0.5</v>
      </c>
      <c r="X98">
        <v>0.5</v>
      </c>
      <c r="Y98" s="3">
        <v>1</v>
      </c>
    </row>
    <row r="99" spans="1:25" x14ac:dyDescent="0.55000000000000004">
      <c r="A99" t="str">
        <f t="shared" si="9"/>
        <v>X-1-e-2-9.5PG</v>
      </c>
      <c r="C99" t="s">
        <v>1648</v>
      </c>
      <c r="D99">
        <v>9.5</v>
      </c>
      <c r="E99" t="s">
        <v>2</v>
      </c>
      <c r="F99">
        <v>2</v>
      </c>
      <c r="G99">
        <v>2539.1257000000001</v>
      </c>
      <c r="H99">
        <v>20</v>
      </c>
      <c r="I99" s="1">
        <v>8.1867800000000002E-7</v>
      </c>
      <c r="J99" t="s">
        <v>1648</v>
      </c>
      <c r="K99">
        <v>2</v>
      </c>
      <c r="L99">
        <v>9.5</v>
      </c>
      <c r="M99">
        <v>9</v>
      </c>
      <c r="N99" t="s">
        <v>1646</v>
      </c>
      <c r="O99">
        <v>1</v>
      </c>
      <c r="P99">
        <f t="shared" si="11"/>
        <v>9.5</v>
      </c>
      <c r="Q99" s="2" t="str">
        <f t="shared" si="11"/>
        <v>e</v>
      </c>
      <c r="R99" s="2">
        <f t="shared" si="10"/>
        <v>12</v>
      </c>
      <c r="S99">
        <f t="shared" si="7"/>
        <v>2539.1257000000001</v>
      </c>
      <c r="T99" s="2" t="s">
        <v>0</v>
      </c>
      <c r="U99">
        <f t="shared" si="8"/>
        <v>2</v>
      </c>
      <c r="V99">
        <v>0</v>
      </c>
      <c r="W99">
        <v>0.5</v>
      </c>
      <c r="X99">
        <v>0.5</v>
      </c>
      <c r="Y99" s="3">
        <v>1</v>
      </c>
    </row>
    <row r="100" spans="1:25" x14ac:dyDescent="0.55000000000000004">
      <c r="A100" t="str">
        <f t="shared" si="9"/>
        <v>X-2-f-1-9.5PG</v>
      </c>
      <c r="C100" t="s">
        <v>1648</v>
      </c>
      <c r="D100">
        <v>9.5</v>
      </c>
      <c r="E100" t="s">
        <v>1</v>
      </c>
      <c r="F100">
        <v>1</v>
      </c>
      <c r="G100">
        <v>1498.1315</v>
      </c>
      <c r="H100">
        <v>20</v>
      </c>
      <c r="I100">
        <v>1.20598E-4</v>
      </c>
      <c r="J100" t="s">
        <v>1648</v>
      </c>
      <c r="K100">
        <v>1</v>
      </c>
      <c r="L100">
        <v>9.5</v>
      </c>
      <c r="M100">
        <v>10</v>
      </c>
      <c r="N100" t="s">
        <v>1647</v>
      </c>
      <c r="O100">
        <v>2</v>
      </c>
      <c r="P100">
        <f t="shared" si="11"/>
        <v>9.5</v>
      </c>
      <c r="Q100" s="2" t="str">
        <f t="shared" si="11"/>
        <v>f</v>
      </c>
      <c r="R100" s="2">
        <f t="shared" si="10"/>
        <v>11</v>
      </c>
      <c r="S100">
        <f t="shared" si="7"/>
        <v>1498.1315</v>
      </c>
      <c r="T100" s="2" t="s">
        <v>0</v>
      </c>
      <c r="U100">
        <f t="shared" si="8"/>
        <v>1</v>
      </c>
      <c r="V100">
        <v>0</v>
      </c>
      <c r="W100">
        <v>0.5</v>
      </c>
      <c r="X100">
        <v>0.5</v>
      </c>
      <c r="Y100" s="3">
        <v>1</v>
      </c>
    </row>
    <row r="101" spans="1:25" x14ac:dyDescent="0.55000000000000004">
      <c r="A101" t="str">
        <f t="shared" si="9"/>
        <v>X-2-f-2-9.5PG</v>
      </c>
      <c r="C101" t="s">
        <v>1648</v>
      </c>
      <c r="D101">
        <v>9.5</v>
      </c>
      <c r="E101" t="s">
        <v>1</v>
      </c>
      <c r="F101">
        <v>2</v>
      </c>
      <c r="G101">
        <v>2601.23</v>
      </c>
      <c r="H101">
        <v>20</v>
      </c>
      <c r="I101" s="1">
        <v>6.07799E-7</v>
      </c>
      <c r="J101" t="s">
        <v>1648</v>
      </c>
      <c r="K101">
        <v>2</v>
      </c>
      <c r="L101">
        <v>9.5</v>
      </c>
      <c r="M101">
        <v>10</v>
      </c>
      <c r="N101" t="s">
        <v>1647</v>
      </c>
      <c r="O101">
        <v>2</v>
      </c>
      <c r="P101">
        <f t="shared" si="11"/>
        <v>9.5</v>
      </c>
      <c r="Q101" s="2" t="str">
        <f t="shared" si="11"/>
        <v>f</v>
      </c>
      <c r="R101" s="2">
        <f t="shared" si="10"/>
        <v>12</v>
      </c>
      <c r="S101">
        <f t="shared" si="7"/>
        <v>2601.23</v>
      </c>
      <c r="T101" s="2" t="s">
        <v>0</v>
      </c>
      <c r="U101">
        <f t="shared" si="8"/>
        <v>2</v>
      </c>
      <c r="V101">
        <v>0</v>
      </c>
      <c r="W101">
        <v>0.5</v>
      </c>
      <c r="X101">
        <v>0.5</v>
      </c>
      <c r="Y101" s="3">
        <v>1</v>
      </c>
    </row>
    <row r="102" spans="1:25" x14ac:dyDescent="0.55000000000000004">
      <c r="A102" t="str">
        <f t="shared" si="9"/>
        <v>X-1-e-1-10.5PG</v>
      </c>
      <c r="C102" t="s">
        <v>1648</v>
      </c>
      <c r="D102">
        <v>10.5</v>
      </c>
      <c r="E102" t="s">
        <v>2</v>
      </c>
      <c r="F102">
        <v>1</v>
      </c>
      <c r="G102">
        <v>1500.0800999999999</v>
      </c>
      <c r="H102">
        <v>22</v>
      </c>
      <c r="I102">
        <v>1.3142399999999999E-4</v>
      </c>
      <c r="J102" t="s">
        <v>1648</v>
      </c>
      <c r="K102">
        <v>1</v>
      </c>
      <c r="L102">
        <v>10.5</v>
      </c>
      <c r="M102">
        <v>10</v>
      </c>
      <c r="N102" t="s">
        <v>1646</v>
      </c>
      <c r="O102">
        <v>1</v>
      </c>
      <c r="P102">
        <f t="shared" si="11"/>
        <v>10.5</v>
      </c>
      <c r="Q102" s="2" t="str">
        <f t="shared" si="11"/>
        <v>e</v>
      </c>
      <c r="R102" s="2">
        <f t="shared" si="10"/>
        <v>12</v>
      </c>
      <c r="S102">
        <f t="shared" si="7"/>
        <v>1500.0800999999999</v>
      </c>
      <c r="T102" s="2" t="s">
        <v>0</v>
      </c>
      <c r="U102">
        <f t="shared" si="8"/>
        <v>1</v>
      </c>
      <c r="V102">
        <v>0</v>
      </c>
      <c r="W102">
        <v>0.5</v>
      </c>
      <c r="X102">
        <v>0.5</v>
      </c>
      <c r="Y102" s="3">
        <v>1</v>
      </c>
    </row>
    <row r="103" spans="1:25" x14ac:dyDescent="0.55000000000000004">
      <c r="A103" t="str">
        <f t="shared" si="9"/>
        <v>X-1-e-2-10.5PG</v>
      </c>
      <c r="C103" t="s">
        <v>1648</v>
      </c>
      <c r="D103">
        <v>10.5</v>
      </c>
      <c r="E103" t="s">
        <v>2</v>
      </c>
      <c r="F103">
        <v>2</v>
      </c>
      <c r="G103">
        <v>2603.1264000000001</v>
      </c>
      <c r="H103">
        <v>22</v>
      </c>
      <c r="I103" s="1">
        <v>6.6252499999999996E-7</v>
      </c>
      <c r="J103" t="s">
        <v>1648</v>
      </c>
      <c r="K103">
        <v>2</v>
      </c>
      <c r="L103">
        <v>10.5</v>
      </c>
      <c r="M103">
        <v>10</v>
      </c>
      <c r="N103" t="s">
        <v>1646</v>
      </c>
      <c r="O103">
        <v>1</v>
      </c>
      <c r="P103">
        <f t="shared" si="11"/>
        <v>10.5</v>
      </c>
      <c r="Q103" s="2" t="str">
        <f t="shared" si="11"/>
        <v>e</v>
      </c>
      <c r="R103" s="2">
        <f t="shared" si="10"/>
        <v>13</v>
      </c>
      <c r="S103">
        <f t="shared" si="7"/>
        <v>2603.1264000000001</v>
      </c>
      <c r="T103" s="2" t="s">
        <v>0</v>
      </c>
      <c r="U103">
        <f t="shared" si="8"/>
        <v>2</v>
      </c>
      <c r="V103">
        <v>0</v>
      </c>
      <c r="W103">
        <v>0.5</v>
      </c>
      <c r="X103">
        <v>0.5</v>
      </c>
      <c r="Y103" s="3">
        <v>1</v>
      </c>
    </row>
    <row r="104" spans="1:25" x14ac:dyDescent="0.55000000000000004">
      <c r="A104" t="str">
        <f t="shared" si="9"/>
        <v>X-2-f-1-10.5PG</v>
      </c>
      <c r="C104" t="s">
        <v>1648</v>
      </c>
      <c r="D104">
        <v>10.5</v>
      </c>
      <c r="E104" t="s">
        <v>1</v>
      </c>
      <c r="F104">
        <v>1</v>
      </c>
      <c r="G104">
        <v>1569.6886</v>
      </c>
      <c r="H104">
        <v>22</v>
      </c>
      <c r="I104" s="1">
        <v>9.4122099999999998E-5</v>
      </c>
      <c r="J104" t="s">
        <v>1648</v>
      </c>
      <c r="K104">
        <v>1</v>
      </c>
      <c r="L104">
        <v>10.5</v>
      </c>
      <c r="M104">
        <v>11</v>
      </c>
      <c r="N104" t="s">
        <v>1647</v>
      </c>
      <c r="O104">
        <v>2</v>
      </c>
      <c r="P104">
        <f t="shared" si="11"/>
        <v>10.5</v>
      </c>
      <c r="Q104" s="2" t="str">
        <f t="shared" si="11"/>
        <v>f</v>
      </c>
      <c r="R104" s="2">
        <f t="shared" si="10"/>
        <v>12</v>
      </c>
      <c r="S104">
        <f t="shared" si="7"/>
        <v>1569.6886</v>
      </c>
      <c r="T104" s="2" t="s">
        <v>0</v>
      </c>
      <c r="U104">
        <f t="shared" si="8"/>
        <v>1</v>
      </c>
      <c r="V104">
        <v>0</v>
      </c>
      <c r="W104">
        <v>0.5</v>
      </c>
      <c r="X104">
        <v>0.5</v>
      </c>
      <c r="Y104" s="3">
        <v>1</v>
      </c>
    </row>
    <row r="105" spans="1:25" x14ac:dyDescent="0.55000000000000004">
      <c r="A105" t="str">
        <f t="shared" si="9"/>
        <v>X-2-f-2-10.5PG</v>
      </c>
      <c r="C105" t="s">
        <v>1648</v>
      </c>
      <c r="D105">
        <v>10.5</v>
      </c>
      <c r="E105" t="s">
        <v>1</v>
      </c>
      <c r="F105">
        <v>2</v>
      </c>
      <c r="G105">
        <v>2671.3415</v>
      </c>
      <c r="H105">
        <v>22</v>
      </c>
      <c r="I105" s="1">
        <v>4.7766200000000001E-7</v>
      </c>
      <c r="J105" t="s">
        <v>1648</v>
      </c>
      <c r="K105">
        <v>2</v>
      </c>
      <c r="L105">
        <v>10.5</v>
      </c>
      <c r="M105">
        <v>11</v>
      </c>
      <c r="N105" t="s">
        <v>1647</v>
      </c>
      <c r="O105">
        <v>2</v>
      </c>
      <c r="P105">
        <f t="shared" si="11"/>
        <v>10.5</v>
      </c>
      <c r="Q105" s="2" t="str">
        <f t="shared" si="11"/>
        <v>f</v>
      </c>
      <c r="R105" s="2">
        <f t="shared" si="10"/>
        <v>13</v>
      </c>
      <c r="S105">
        <f t="shared" si="7"/>
        <v>2671.3415</v>
      </c>
      <c r="T105" s="2" t="s">
        <v>0</v>
      </c>
      <c r="U105">
        <f t="shared" si="8"/>
        <v>2</v>
      </c>
      <c r="V105">
        <v>0</v>
      </c>
      <c r="W105">
        <v>0.5</v>
      </c>
      <c r="X105">
        <v>0.5</v>
      </c>
      <c r="Y105" s="3">
        <v>1</v>
      </c>
    </row>
    <row r="106" spans="1:25" x14ac:dyDescent="0.55000000000000004">
      <c r="A106" t="str">
        <f t="shared" si="9"/>
        <v>X-1-e-1-11.5PG</v>
      </c>
      <c r="C106" t="s">
        <v>1648</v>
      </c>
      <c r="D106">
        <v>11.5</v>
      </c>
      <c r="E106" t="s">
        <v>2</v>
      </c>
      <c r="F106">
        <v>1</v>
      </c>
      <c r="G106">
        <v>1571.8195000000001</v>
      </c>
      <c r="H106">
        <v>24</v>
      </c>
      <c r="I106">
        <v>1.01635E-4</v>
      </c>
      <c r="J106" t="s">
        <v>1648</v>
      </c>
      <c r="K106">
        <v>1</v>
      </c>
      <c r="L106">
        <v>11.5</v>
      </c>
      <c r="M106">
        <v>11</v>
      </c>
      <c r="N106" t="s">
        <v>1646</v>
      </c>
      <c r="O106">
        <v>1</v>
      </c>
      <c r="P106">
        <f t="shared" si="11"/>
        <v>11.5</v>
      </c>
      <c r="Q106" s="2" t="str">
        <f t="shared" si="11"/>
        <v>e</v>
      </c>
      <c r="R106" s="2">
        <f t="shared" si="10"/>
        <v>13</v>
      </c>
      <c r="S106">
        <f t="shared" si="7"/>
        <v>1571.8195000000001</v>
      </c>
      <c r="T106" s="2" t="s">
        <v>0</v>
      </c>
      <c r="U106">
        <f t="shared" si="8"/>
        <v>1</v>
      </c>
      <c r="V106">
        <v>0</v>
      </c>
      <c r="W106">
        <v>0.5</v>
      </c>
      <c r="X106">
        <v>0.5</v>
      </c>
      <c r="Y106" s="3">
        <v>1</v>
      </c>
    </row>
    <row r="107" spans="1:25" x14ac:dyDescent="0.55000000000000004">
      <c r="A107" t="str">
        <f t="shared" si="9"/>
        <v>X-1-e-2-11.5PG</v>
      </c>
      <c r="C107" t="s">
        <v>1648</v>
      </c>
      <c r="D107">
        <v>11.5</v>
      </c>
      <c r="E107" t="s">
        <v>2</v>
      </c>
      <c r="F107">
        <v>2</v>
      </c>
      <c r="G107">
        <v>2673.4151999999999</v>
      </c>
      <c r="H107">
        <v>24</v>
      </c>
      <c r="I107" s="1">
        <v>5.1592999999999999E-7</v>
      </c>
      <c r="J107" t="s">
        <v>1648</v>
      </c>
      <c r="K107">
        <v>2</v>
      </c>
      <c r="L107">
        <v>11.5</v>
      </c>
      <c r="M107">
        <v>11</v>
      </c>
      <c r="N107" t="s">
        <v>1646</v>
      </c>
      <c r="O107">
        <v>1</v>
      </c>
      <c r="P107">
        <f t="shared" si="11"/>
        <v>11.5</v>
      </c>
      <c r="Q107" s="2" t="str">
        <f t="shared" si="11"/>
        <v>e</v>
      </c>
      <c r="R107" s="2">
        <f t="shared" si="10"/>
        <v>14</v>
      </c>
      <c r="S107">
        <f t="shared" si="7"/>
        <v>2673.4151999999999</v>
      </c>
      <c r="T107" s="2" t="s">
        <v>0</v>
      </c>
      <c r="U107">
        <f t="shared" si="8"/>
        <v>2</v>
      </c>
      <c r="V107">
        <v>0</v>
      </c>
      <c r="W107">
        <v>0.5</v>
      </c>
      <c r="X107">
        <v>0.5</v>
      </c>
      <c r="Y107" s="3">
        <v>1</v>
      </c>
    </row>
    <row r="108" spans="1:25" x14ac:dyDescent="0.55000000000000004">
      <c r="A108" t="str">
        <f t="shared" si="9"/>
        <v>X-2-f-1-11.5PG</v>
      </c>
      <c r="C108" t="s">
        <v>1648</v>
      </c>
      <c r="D108">
        <v>11.5</v>
      </c>
      <c r="E108" t="s">
        <v>1</v>
      </c>
      <c r="F108">
        <v>1</v>
      </c>
      <c r="G108">
        <v>1647.6369</v>
      </c>
      <c r="H108">
        <v>24</v>
      </c>
      <c r="I108" s="1">
        <v>7.0652299999999994E-5</v>
      </c>
      <c r="J108" t="s">
        <v>1648</v>
      </c>
      <c r="K108">
        <v>1</v>
      </c>
      <c r="L108">
        <v>11.5</v>
      </c>
      <c r="M108">
        <v>12</v>
      </c>
      <c r="N108" t="s">
        <v>1647</v>
      </c>
      <c r="O108">
        <v>2</v>
      </c>
      <c r="P108">
        <f t="shared" si="11"/>
        <v>11.5</v>
      </c>
      <c r="Q108" s="2" t="str">
        <f t="shared" si="11"/>
        <v>f</v>
      </c>
      <c r="R108" s="2">
        <f t="shared" si="10"/>
        <v>13</v>
      </c>
      <c r="S108">
        <f t="shared" si="7"/>
        <v>1647.6369</v>
      </c>
      <c r="T108" s="2" t="s">
        <v>0</v>
      </c>
      <c r="U108">
        <f t="shared" si="8"/>
        <v>1</v>
      </c>
      <c r="V108">
        <v>0</v>
      </c>
      <c r="W108">
        <v>0.5</v>
      </c>
      <c r="X108">
        <v>0.5</v>
      </c>
      <c r="Y108" s="3">
        <v>1</v>
      </c>
    </row>
    <row r="109" spans="1:25" x14ac:dyDescent="0.55000000000000004">
      <c r="A109" t="str">
        <f t="shared" si="9"/>
        <v>X-2-f-2-11.5PG</v>
      </c>
      <c r="C109" t="s">
        <v>1648</v>
      </c>
      <c r="D109">
        <v>11.5</v>
      </c>
      <c r="E109" t="s">
        <v>1</v>
      </c>
      <c r="F109">
        <v>2</v>
      </c>
      <c r="G109">
        <v>2747.7129</v>
      </c>
      <c r="H109">
        <v>24</v>
      </c>
      <c r="I109" s="1">
        <v>3.6127699999999999E-7</v>
      </c>
      <c r="J109" t="s">
        <v>1648</v>
      </c>
      <c r="K109">
        <v>2</v>
      </c>
      <c r="L109">
        <v>11.5</v>
      </c>
      <c r="M109">
        <v>12</v>
      </c>
      <c r="N109" t="s">
        <v>1647</v>
      </c>
      <c r="O109">
        <v>2</v>
      </c>
      <c r="P109">
        <f t="shared" si="11"/>
        <v>11.5</v>
      </c>
      <c r="Q109" s="2" t="str">
        <f t="shared" si="11"/>
        <v>f</v>
      </c>
      <c r="R109" s="2">
        <f t="shared" si="10"/>
        <v>14</v>
      </c>
      <c r="S109">
        <f t="shared" si="7"/>
        <v>2747.7129</v>
      </c>
      <c r="T109" s="2" t="s">
        <v>0</v>
      </c>
      <c r="U109">
        <f t="shared" si="8"/>
        <v>2</v>
      </c>
      <c r="V109">
        <v>0</v>
      </c>
      <c r="W109">
        <v>0.5</v>
      </c>
      <c r="X109">
        <v>0.5</v>
      </c>
      <c r="Y109" s="3">
        <v>1</v>
      </c>
    </row>
    <row r="110" spans="1:25" x14ac:dyDescent="0.55000000000000004">
      <c r="A110" t="str">
        <f t="shared" si="9"/>
        <v>X-1-e-1-12.5PG</v>
      </c>
      <c r="C110" t="s">
        <v>1648</v>
      </c>
      <c r="D110">
        <v>12.5</v>
      </c>
      <c r="E110" t="s">
        <v>2</v>
      </c>
      <c r="F110">
        <v>1</v>
      </c>
      <c r="G110">
        <v>1649.9491</v>
      </c>
      <c r="H110">
        <v>26</v>
      </c>
      <c r="I110" s="1">
        <v>7.5695899999999995E-5</v>
      </c>
      <c r="J110" t="s">
        <v>1648</v>
      </c>
      <c r="K110">
        <v>1</v>
      </c>
      <c r="L110">
        <v>12.5</v>
      </c>
      <c r="M110">
        <v>12</v>
      </c>
      <c r="N110" t="s">
        <v>1646</v>
      </c>
      <c r="O110">
        <v>1</v>
      </c>
      <c r="P110">
        <f t="shared" si="11"/>
        <v>12.5</v>
      </c>
      <c r="Q110" s="2" t="str">
        <f t="shared" si="11"/>
        <v>e</v>
      </c>
      <c r="R110" s="2">
        <f t="shared" si="10"/>
        <v>14</v>
      </c>
      <c r="S110">
        <f t="shared" si="7"/>
        <v>1649.9491</v>
      </c>
      <c r="T110" s="2" t="s">
        <v>0</v>
      </c>
      <c r="U110">
        <f t="shared" si="8"/>
        <v>1</v>
      </c>
      <c r="V110">
        <v>0</v>
      </c>
      <c r="W110">
        <v>0.5</v>
      </c>
      <c r="X110">
        <v>0.5</v>
      </c>
      <c r="Y110" s="3">
        <v>1</v>
      </c>
    </row>
    <row r="111" spans="1:25" x14ac:dyDescent="0.55000000000000004">
      <c r="A111" t="str">
        <f t="shared" si="9"/>
        <v>X-1-e-2-12.5PG</v>
      </c>
      <c r="C111" t="s">
        <v>1648</v>
      </c>
      <c r="D111">
        <v>12.5</v>
      </c>
      <c r="E111" t="s">
        <v>2</v>
      </c>
      <c r="F111">
        <v>2</v>
      </c>
      <c r="G111">
        <v>2749.9630000000002</v>
      </c>
      <c r="H111">
        <v>26</v>
      </c>
      <c r="I111" s="1">
        <v>3.8718200000000001E-7</v>
      </c>
      <c r="J111" t="s">
        <v>1648</v>
      </c>
      <c r="K111">
        <v>2</v>
      </c>
      <c r="L111">
        <v>12.5</v>
      </c>
      <c r="M111">
        <v>12</v>
      </c>
      <c r="N111" t="s">
        <v>1646</v>
      </c>
      <c r="O111">
        <v>1</v>
      </c>
      <c r="P111">
        <f t="shared" si="11"/>
        <v>12.5</v>
      </c>
      <c r="Q111" s="2" t="str">
        <f t="shared" si="11"/>
        <v>e</v>
      </c>
      <c r="R111" s="2">
        <f t="shared" si="10"/>
        <v>15</v>
      </c>
      <c r="S111">
        <f t="shared" si="7"/>
        <v>2749.9630000000002</v>
      </c>
      <c r="T111" s="2" t="s">
        <v>0</v>
      </c>
      <c r="U111">
        <f t="shared" si="8"/>
        <v>2</v>
      </c>
      <c r="V111">
        <v>0</v>
      </c>
      <c r="W111">
        <v>0.5</v>
      </c>
      <c r="X111">
        <v>0.5</v>
      </c>
      <c r="Y111" s="3">
        <v>1</v>
      </c>
    </row>
    <row r="112" spans="1:25" x14ac:dyDescent="0.55000000000000004">
      <c r="A112" t="str">
        <f t="shared" si="9"/>
        <v>X-2-f-1-12.5PG</v>
      </c>
      <c r="C112" t="s">
        <v>1648</v>
      </c>
      <c r="D112">
        <v>12.5</v>
      </c>
      <c r="E112" t="s">
        <v>1</v>
      </c>
      <c r="F112">
        <v>1</v>
      </c>
      <c r="G112">
        <v>1731.9446</v>
      </c>
      <c r="H112">
        <v>26</v>
      </c>
      <c r="I112" s="1">
        <v>5.1084400000000002E-5</v>
      </c>
      <c r="J112" t="s">
        <v>1648</v>
      </c>
      <c r="K112">
        <v>1</v>
      </c>
      <c r="L112">
        <v>12.5</v>
      </c>
      <c r="M112">
        <v>13</v>
      </c>
      <c r="N112" t="s">
        <v>1647</v>
      </c>
      <c r="O112">
        <v>2</v>
      </c>
      <c r="P112">
        <f t="shared" si="11"/>
        <v>12.5</v>
      </c>
      <c r="Q112" s="2" t="str">
        <f t="shared" si="11"/>
        <v>f</v>
      </c>
      <c r="R112" s="2">
        <f t="shared" si="10"/>
        <v>14</v>
      </c>
      <c r="S112">
        <f t="shared" si="7"/>
        <v>1731.9446</v>
      </c>
      <c r="T112" s="2" t="s">
        <v>0</v>
      </c>
      <c r="U112">
        <f t="shared" si="8"/>
        <v>1</v>
      </c>
      <c r="V112">
        <v>0</v>
      </c>
      <c r="W112">
        <v>0.5</v>
      </c>
      <c r="X112">
        <v>0.5</v>
      </c>
      <c r="Y112" s="3">
        <v>1</v>
      </c>
    </row>
    <row r="113" spans="1:25" x14ac:dyDescent="0.55000000000000004">
      <c r="A113" t="str">
        <f t="shared" si="9"/>
        <v>X-2-f-2-12.5PG</v>
      </c>
      <c r="C113" t="s">
        <v>1648</v>
      </c>
      <c r="D113">
        <v>12.5</v>
      </c>
      <c r="E113" t="s">
        <v>1</v>
      </c>
      <c r="F113">
        <v>2</v>
      </c>
      <c r="G113">
        <v>2830.3126000000002</v>
      </c>
      <c r="H113">
        <v>26</v>
      </c>
      <c r="I113" s="1">
        <v>2.63366E-7</v>
      </c>
      <c r="J113" t="s">
        <v>1648</v>
      </c>
      <c r="K113">
        <v>2</v>
      </c>
      <c r="L113">
        <v>12.5</v>
      </c>
      <c r="M113">
        <v>13</v>
      </c>
      <c r="N113" t="s">
        <v>1647</v>
      </c>
      <c r="O113">
        <v>2</v>
      </c>
      <c r="P113">
        <f t="shared" si="11"/>
        <v>12.5</v>
      </c>
      <c r="Q113" s="2" t="str">
        <f t="shared" si="11"/>
        <v>f</v>
      </c>
      <c r="R113" s="2">
        <f t="shared" si="10"/>
        <v>15</v>
      </c>
      <c r="S113">
        <f t="shared" si="7"/>
        <v>2830.3126000000002</v>
      </c>
      <c r="T113" s="2" t="s">
        <v>0</v>
      </c>
      <c r="U113">
        <f t="shared" si="8"/>
        <v>2</v>
      </c>
      <c r="V113">
        <v>0</v>
      </c>
      <c r="W113">
        <v>0.5</v>
      </c>
      <c r="X113">
        <v>0.5</v>
      </c>
      <c r="Y113" s="3">
        <v>1</v>
      </c>
    </row>
    <row r="114" spans="1:25" x14ac:dyDescent="0.55000000000000004">
      <c r="A114" t="str">
        <f t="shared" si="9"/>
        <v>X-1-e-1-13.5PG</v>
      </c>
      <c r="C114" t="s">
        <v>1648</v>
      </c>
      <c r="D114">
        <v>13.5</v>
      </c>
      <c r="E114" t="s">
        <v>2</v>
      </c>
      <c r="F114">
        <v>1</v>
      </c>
      <c r="G114">
        <v>1734.4372000000001</v>
      </c>
      <c r="H114">
        <v>28</v>
      </c>
      <c r="I114" s="1">
        <v>5.4360300000000002E-5</v>
      </c>
      <c r="J114" t="s">
        <v>1648</v>
      </c>
      <c r="K114">
        <v>1</v>
      </c>
      <c r="L114">
        <v>13.5</v>
      </c>
      <c r="M114">
        <v>13</v>
      </c>
      <c r="N114" t="s">
        <v>1646</v>
      </c>
      <c r="O114">
        <v>1</v>
      </c>
      <c r="P114">
        <f t="shared" si="11"/>
        <v>13.5</v>
      </c>
      <c r="Q114" s="2" t="str">
        <f t="shared" si="11"/>
        <v>e</v>
      </c>
      <c r="R114" s="2">
        <f t="shared" si="10"/>
        <v>15</v>
      </c>
      <c r="S114">
        <f t="shared" si="7"/>
        <v>1734.4372000000001</v>
      </c>
      <c r="T114" s="2" t="s">
        <v>0</v>
      </c>
      <c r="U114">
        <f t="shared" si="8"/>
        <v>1</v>
      </c>
      <c r="V114">
        <v>0</v>
      </c>
      <c r="W114">
        <v>0.5</v>
      </c>
      <c r="X114">
        <v>0.5</v>
      </c>
      <c r="Y114" s="3">
        <v>1</v>
      </c>
    </row>
    <row r="115" spans="1:25" x14ac:dyDescent="0.55000000000000004">
      <c r="A115" t="str">
        <f t="shared" si="9"/>
        <v>X-1-e-2-13.5PG</v>
      </c>
      <c r="C115" t="s">
        <v>1648</v>
      </c>
      <c r="D115">
        <v>13.5</v>
      </c>
      <c r="E115" t="s">
        <v>2</v>
      </c>
      <c r="F115">
        <v>2</v>
      </c>
      <c r="G115">
        <v>2832.7379999999998</v>
      </c>
      <c r="H115">
        <v>28</v>
      </c>
      <c r="I115" s="1">
        <v>2.8034500000000001E-7</v>
      </c>
      <c r="J115" t="s">
        <v>1648</v>
      </c>
      <c r="K115">
        <v>2</v>
      </c>
      <c r="L115">
        <v>13.5</v>
      </c>
      <c r="M115">
        <v>13</v>
      </c>
      <c r="N115" t="s">
        <v>1646</v>
      </c>
      <c r="O115">
        <v>1</v>
      </c>
      <c r="P115">
        <f t="shared" si="11"/>
        <v>13.5</v>
      </c>
      <c r="Q115" s="2" t="str">
        <f t="shared" si="11"/>
        <v>e</v>
      </c>
      <c r="R115" s="2">
        <f t="shared" si="10"/>
        <v>16</v>
      </c>
      <c r="S115">
        <f t="shared" si="7"/>
        <v>2832.7379999999998</v>
      </c>
      <c r="T115" s="2" t="s">
        <v>0</v>
      </c>
      <c r="U115">
        <f t="shared" si="8"/>
        <v>2</v>
      </c>
      <c r="V115">
        <v>0</v>
      </c>
      <c r="W115">
        <v>0.5</v>
      </c>
      <c r="X115">
        <v>0.5</v>
      </c>
      <c r="Y115" s="3">
        <v>1</v>
      </c>
    </row>
    <row r="116" spans="1:25" x14ac:dyDescent="0.55000000000000004">
      <c r="A116" t="str">
        <f t="shared" si="9"/>
        <v>X-2-f-1-13.5PG</v>
      </c>
      <c r="C116" t="s">
        <v>1648</v>
      </c>
      <c r="D116">
        <v>13.5</v>
      </c>
      <c r="E116" t="s">
        <v>1</v>
      </c>
      <c r="F116">
        <v>1</v>
      </c>
      <c r="G116">
        <v>1822.5775000000001</v>
      </c>
      <c r="H116">
        <v>28</v>
      </c>
      <c r="I116" s="1">
        <v>3.5620400000000002E-5</v>
      </c>
      <c r="J116" t="s">
        <v>1648</v>
      </c>
      <c r="K116">
        <v>1</v>
      </c>
      <c r="L116">
        <v>13.5</v>
      </c>
      <c r="M116">
        <v>14</v>
      </c>
      <c r="N116" t="s">
        <v>1647</v>
      </c>
      <c r="O116">
        <v>2</v>
      </c>
      <c r="P116">
        <f t="shared" si="11"/>
        <v>13.5</v>
      </c>
      <c r="Q116" s="2" t="str">
        <f t="shared" si="11"/>
        <v>f</v>
      </c>
      <c r="R116" s="2">
        <f t="shared" si="10"/>
        <v>15</v>
      </c>
      <c r="S116">
        <f t="shared" si="7"/>
        <v>1822.5775000000001</v>
      </c>
      <c r="T116" s="2" t="s">
        <v>0</v>
      </c>
      <c r="U116">
        <f t="shared" si="8"/>
        <v>1</v>
      </c>
      <c r="V116">
        <v>0</v>
      </c>
      <c r="W116">
        <v>0.5</v>
      </c>
      <c r="X116">
        <v>0.5</v>
      </c>
      <c r="Y116" s="3">
        <v>1</v>
      </c>
    </row>
    <row r="117" spans="1:25" x14ac:dyDescent="0.55000000000000004">
      <c r="A117" t="str">
        <f t="shared" si="9"/>
        <v>X-2-f-2-13.5PG</v>
      </c>
      <c r="C117" t="s">
        <v>1648</v>
      </c>
      <c r="D117">
        <v>13.5</v>
      </c>
      <c r="E117" t="s">
        <v>1</v>
      </c>
      <c r="F117">
        <v>2</v>
      </c>
      <c r="G117">
        <v>2919.1064999999999</v>
      </c>
      <c r="H117">
        <v>28</v>
      </c>
      <c r="I117" s="1">
        <v>1.8526799999999999E-7</v>
      </c>
      <c r="J117" t="s">
        <v>1648</v>
      </c>
      <c r="K117">
        <v>2</v>
      </c>
      <c r="L117">
        <v>13.5</v>
      </c>
      <c r="M117">
        <v>14</v>
      </c>
      <c r="N117" t="s">
        <v>1647</v>
      </c>
      <c r="O117">
        <v>2</v>
      </c>
      <c r="P117">
        <f t="shared" si="11"/>
        <v>13.5</v>
      </c>
      <c r="Q117" s="2" t="str">
        <f t="shared" si="11"/>
        <v>f</v>
      </c>
      <c r="R117" s="2">
        <f t="shared" si="10"/>
        <v>16</v>
      </c>
      <c r="S117">
        <f t="shared" si="7"/>
        <v>2919.1064999999999</v>
      </c>
      <c r="T117" s="2" t="s">
        <v>0</v>
      </c>
      <c r="U117">
        <f t="shared" si="8"/>
        <v>2</v>
      </c>
      <c r="V117">
        <v>0</v>
      </c>
      <c r="W117">
        <v>0.5</v>
      </c>
      <c r="X117">
        <v>0.5</v>
      </c>
      <c r="Y117" s="3">
        <v>1</v>
      </c>
    </row>
    <row r="118" spans="1:25" x14ac:dyDescent="0.55000000000000004">
      <c r="A118" t="str">
        <f t="shared" si="9"/>
        <v>X-1-e-1-14.5PG</v>
      </c>
      <c r="C118" t="s">
        <v>1648</v>
      </c>
      <c r="D118">
        <v>14.5</v>
      </c>
      <c r="E118" t="s">
        <v>2</v>
      </c>
      <c r="F118">
        <v>1</v>
      </c>
      <c r="G118">
        <v>1825.2492999999999</v>
      </c>
      <c r="H118">
        <v>30</v>
      </c>
      <c r="I118" s="1">
        <v>3.7678800000000003E-5</v>
      </c>
      <c r="J118" t="s">
        <v>1648</v>
      </c>
      <c r="K118">
        <v>1</v>
      </c>
      <c r="L118">
        <v>14.5</v>
      </c>
      <c r="M118">
        <v>14</v>
      </c>
      <c r="N118" t="s">
        <v>1646</v>
      </c>
      <c r="O118">
        <v>1</v>
      </c>
      <c r="P118">
        <f t="shared" si="11"/>
        <v>14.5</v>
      </c>
      <c r="Q118" s="2" t="str">
        <f t="shared" si="11"/>
        <v>e</v>
      </c>
      <c r="R118" s="2">
        <f t="shared" si="10"/>
        <v>16</v>
      </c>
      <c r="S118">
        <f t="shared" si="7"/>
        <v>1825.2492999999999</v>
      </c>
      <c r="T118" s="2" t="s">
        <v>0</v>
      </c>
      <c r="U118">
        <f t="shared" si="8"/>
        <v>1</v>
      </c>
      <c r="V118">
        <v>0</v>
      </c>
      <c r="W118">
        <v>0.5</v>
      </c>
      <c r="X118">
        <v>0.5</v>
      </c>
      <c r="Y118" s="3">
        <v>1</v>
      </c>
    </row>
    <row r="119" spans="1:25" x14ac:dyDescent="0.55000000000000004">
      <c r="A119" t="str">
        <f t="shared" si="9"/>
        <v>X-1-e-2-14.5PG</v>
      </c>
      <c r="C119" t="s">
        <v>1648</v>
      </c>
      <c r="D119">
        <v>14.5</v>
      </c>
      <c r="E119" t="s">
        <v>2</v>
      </c>
      <c r="F119">
        <v>2</v>
      </c>
      <c r="G119">
        <v>2921.7060999999999</v>
      </c>
      <c r="H119">
        <v>30</v>
      </c>
      <c r="I119" s="1">
        <v>1.96042E-7</v>
      </c>
      <c r="J119" t="s">
        <v>1648</v>
      </c>
      <c r="K119">
        <v>2</v>
      </c>
      <c r="L119">
        <v>14.5</v>
      </c>
      <c r="M119">
        <v>14</v>
      </c>
      <c r="N119" t="s">
        <v>1646</v>
      </c>
      <c r="O119">
        <v>1</v>
      </c>
      <c r="P119">
        <f t="shared" si="11"/>
        <v>14.5</v>
      </c>
      <c r="Q119" s="2" t="str">
        <f t="shared" si="11"/>
        <v>e</v>
      </c>
      <c r="R119" s="2">
        <f t="shared" si="10"/>
        <v>17</v>
      </c>
      <c r="S119">
        <f t="shared" si="7"/>
        <v>2921.7060999999999</v>
      </c>
      <c r="T119" s="2" t="s">
        <v>0</v>
      </c>
      <c r="U119">
        <f t="shared" si="8"/>
        <v>2</v>
      </c>
      <c r="V119">
        <v>0</v>
      </c>
      <c r="W119">
        <v>0.5</v>
      </c>
      <c r="X119">
        <v>0.5</v>
      </c>
      <c r="Y119" s="3">
        <v>1</v>
      </c>
    </row>
    <row r="120" spans="1:25" x14ac:dyDescent="0.55000000000000004">
      <c r="A120" t="str">
        <f t="shared" si="9"/>
        <v>X-2-f-1-14.5PG</v>
      </c>
      <c r="C120" t="s">
        <v>1648</v>
      </c>
      <c r="D120">
        <v>14.5</v>
      </c>
      <c r="E120" t="s">
        <v>1</v>
      </c>
      <c r="F120">
        <v>1</v>
      </c>
      <c r="G120">
        <v>1919.4989</v>
      </c>
      <c r="H120">
        <v>30</v>
      </c>
      <c r="I120" s="1">
        <v>2.39767E-5</v>
      </c>
      <c r="J120" t="s">
        <v>1648</v>
      </c>
      <c r="K120">
        <v>1</v>
      </c>
      <c r="L120">
        <v>14.5</v>
      </c>
      <c r="M120">
        <v>15</v>
      </c>
      <c r="N120" t="s">
        <v>1647</v>
      </c>
      <c r="O120">
        <v>2</v>
      </c>
      <c r="P120">
        <f t="shared" si="11"/>
        <v>14.5</v>
      </c>
      <c r="Q120" s="2" t="str">
        <f t="shared" si="11"/>
        <v>f</v>
      </c>
      <c r="R120" s="2">
        <f t="shared" si="10"/>
        <v>16</v>
      </c>
      <c r="S120">
        <f t="shared" si="7"/>
        <v>1919.4989</v>
      </c>
      <c r="T120" s="2" t="s">
        <v>0</v>
      </c>
      <c r="U120">
        <f t="shared" si="8"/>
        <v>1</v>
      </c>
      <c r="V120">
        <v>0</v>
      </c>
      <c r="W120">
        <v>0.5</v>
      </c>
      <c r="X120">
        <v>0.5</v>
      </c>
      <c r="Y120" s="3">
        <v>1</v>
      </c>
    </row>
    <row r="121" spans="1:25" x14ac:dyDescent="0.55000000000000004">
      <c r="A121" t="str">
        <f t="shared" si="9"/>
        <v>X-2-f-2-14.5PG</v>
      </c>
      <c r="C121" t="s">
        <v>1648</v>
      </c>
      <c r="D121">
        <v>14.5</v>
      </c>
      <c r="E121" t="s">
        <v>1</v>
      </c>
      <c r="F121">
        <v>2</v>
      </c>
      <c r="G121">
        <v>3014.0578</v>
      </c>
      <c r="H121">
        <v>30</v>
      </c>
      <c r="I121" s="1">
        <v>1.25891E-7</v>
      </c>
      <c r="J121" t="s">
        <v>1648</v>
      </c>
      <c r="K121">
        <v>2</v>
      </c>
      <c r="L121">
        <v>14.5</v>
      </c>
      <c r="M121">
        <v>15</v>
      </c>
      <c r="N121" t="s">
        <v>1647</v>
      </c>
      <c r="O121">
        <v>2</v>
      </c>
      <c r="P121">
        <f t="shared" si="11"/>
        <v>14.5</v>
      </c>
      <c r="Q121" s="2" t="str">
        <f t="shared" si="11"/>
        <v>f</v>
      </c>
      <c r="R121" s="2">
        <f t="shared" si="10"/>
        <v>17</v>
      </c>
      <c r="S121">
        <f t="shared" si="7"/>
        <v>3014.0578</v>
      </c>
      <c r="T121" s="2" t="s">
        <v>0</v>
      </c>
      <c r="U121">
        <f t="shared" si="8"/>
        <v>2</v>
      </c>
      <c r="V121">
        <v>0</v>
      </c>
      <c r="W121">
        <v>0.5</v>
      </c>
      <c r="X121">
        <v>0.5</v>
      </c>
      <c r="Y121" s="3">
        <v>1</v>
      </c>
    </row>
    <row r="122" spans="1:25" x14ac:dyDescent="0.55000000000000004">
      <c r="A122" t="str">
        <f t="shared" si="9"/>
        <v>X-1-e-1-15.5PG</v>
      </c>
      <c r="C122" t="s">
        <v>1648</v>
      </c>
      <c r="D122">
        <v>15.5</v>
      </c>
      <c r="E122" t="s">
        <v>2</v>
      </c>
      <c r="F122">
        <v>1</v>
      </c>
      <c r="G122">
        <v>1922.3488</v>
      </c>
      <c r="H122">
        <v>32</v>
      </c>
      <c r="I122" s="1">
        <v>2.5228E-5</v>
      </c>
      <c r="J122" t="s">
        <v>1648</v>
      </c>
      <c r="K122">
        <v>1</v>
      </c>
      <c r="L122">
        <v>15.5</v>
      </c>
      <c r="M122">
        <v>15</v>
      </c>
      <c r="N122" t="s">
        <v>1646</v>
      </c>
      <c r="O122">
        <v>1</v>
      </c>
      <c r="P122">
        <f t="shared" si="11"/>
        <v>15.5</v>
      </c>
      <c r="Q122" s="2" t="str">
        <f t="shared" si="11"/>
        <v>e</v>
      </c>
      <c r="R122" s="2">
        <f t="shared" si="10"/>
        <v>17</v>
      </c>
      <c r="S122">
        <f t="shared" si="7"/>
        <v>1922.3488</v>
      </c>
      <c r="T122" s="2" t="s">
        <v>0</v>
      </c>
      <c r="U122">
        <f t="shared" si="8"/>
        <v>1</v>
      </c>
      <c r="V122">
        <v>0</v>
      </c>
      <c r="W122">
        <v>0.5</v>
      </c>
      <c r="X122">
        <v>0.5</v>
      </c>
      <c r="Y122" s="3">
        <v>1</v>
      </c>
    </row>
    <row r="123" spans="1:25" x14ac:dyDescent="0.55000000000000004">
      <c r="A123" t="str">
        <f t="shared" si="9"/>
        <v>X-1-e-2-15.5PG</v>
      </c>
      <c r="C123" t="s">
        <v>1648</v>
      </c>
      <c r="D123">
        <v>15.5</v>
      </c>
      <c r="E123" t="s">
        <v>2</v>
      </c>
      <c r="F123">
        <v>2</v>
      </c>
      <c r="G123">
        <v>3016.8305999999998</v>
      </c>
      <c r="H123">
        <v>32</v>
      </c>
      <c r="I123" s="1">
        <v>1.3250999999999999E-7</v>
      </c>
      <c r="J123" t="s">
        <v>1648</v>
      </c>
      <c r="K123">
        <v>2</v>
      </c>
      <c r="L123">
        <v>15.5</v>
      </c>
      <c r="M123">
        <v>15</v>
      </c>
      <c r="N123" t="s">
        <v>1646</v>
      </c>
      <c r="O123">
        <v>1</v>
      </c>
      <c r="P123">
        <f t="shared" si="11"/>
        <v>15.5</v>
      </c>
      <c r="Q123" s="2" t="str">
        <f t="shared" si="11"/>
        <v>e</v>
      </c>
      <c r="R123" s="2">
        <f t="shared" si="10"/>
        <v>18</v>
      </c>
      <c r="S123">
        <f t="shared" si="7"/>
        <v>3016.8305999999998</v>
      </c>
      <c r="T123" s="2" t="s">
        <v>0</v>
      </c>
      <c r="U123">
        <f t="shared" si="8"/>
        <v>2</v>
      </c>
      <c r="V123">
        <v>0</v>
      </c>
      <c r="W123">
        <v>0.5</v>
      </c>
      <c r="X123">
        <v>0.5</v>
      </c>
      <c r="Y123" s="3">
        <v>1</v>
      </c>
    </row>
    <row r="124" spans="1:25" x14ac:dyDescent="0.55000000000000004">
      <c r="A124" t="str">
        <f t="shared" si="9"/>
        <v>X-2-f-1-15.5PG</v>
      </c>
      <c r="C124" t="s">
        <v>1648</v>
      </c>
      <c r="D124">
        <v>15.5</v>
      </c>
      <c r="E124" t="s">
        <v>1</v>
      </c>
      <c r="F124">
        <v>1</v>
      </c>
      <c r="G124">
        <v>2022.6695</v>
      </c>
      <c r="H124">
        <v>32</v>
      </c>
      <c r="I124" s="1">
        <v>1.5593000000000001E-5</v>
      </c>
      <c r="J124" t="s">
        <v>1648</v>
      </c>
      <c r="K124">
        <v>1</v>
      </c>
      <c r="L124">
        <v>15.5</v>
      </c>
      <c r="M124">
        <v>16</v>
      </c>
      <c r="N124" t="s">
        <v>1647</v>
      </c>
      <c r="O124">
        <v>2</v>
      </c>
      <c r="P124">
        <f t="shared" si="11"/>
        <v>15.5</v>
      </c>
      <c r="Q124" s="2" t="str">
        <f t="shared" si="11"/>
        <v>f</v>
      </c>
      <c r="R124" s="2">
        <f t="shared" si="10"/>
        <v>17</v>
      </c>
      <c r="S124">
        <f t="shared" si="7"/>
        <v>2022.6695</v>
      </c>
      <c r="T124" s="2" t="s">
        <v>0</v>
      </c>
      <c r="U124">
        <f t="shared" si="8"/>
        <v>1</v>
      </c>
      <c r="V124">
        <v>0</v>
      </c>
      <c r="W124">
        <v>0.5</v>
      </c>
      <c r="X124">
        <v>0.5</v>
      </c>
      <c r="Y124" s="3">
        <v>1</v>
      </c>
    </row>
    <row r="125" spans="1:25" x14ac:dyDescent="0.55000000000000004">
      <c r="A125" t="str">
        <f t="shared" si="9"/>
        <v>X-2-f-2-15.5PG</v>
      </c>
      <c r="C125" t="s">
        <v>1648</v>
      </c>
      <c r="D125">
        <v>15.5</v>
      </c>
      <c r="E125" t="s">
        <v>1</v>
      </c>
      <c r="F125">
        <v>2</v>
      </c>
      <c r="G125">
        <v>3115.1275999999998</v>
      </c>
      <c r="H125">
        <v>32</v>
      </c>
      <c r="I125" s="1">
        <v>8.2701099999999999E-8</v>
      </c>
      <c r="J125" t="s">
        <v>1648</v>
      </c>
      <c r="K125">
        <v>2</v>
      </c>
      <c r="L125">
        <v>15.5</v>
      </c>
      <c r="M125">
        <v>16</v>
      </c>
      <c r="N125" t="s">
        <v>1647</v>
      </c>
      <c r="O125">
        <v>2</v>
      </c>
      <c r="P125">
        <f t="shared" si="11"/>
        <v>15.5</v>
      </c>
      <c r="Q125" s="2" t="str">
        <f t="shared" si="11"/>
        <v>f</v>
      </c>
      <c r="R125" s="2">
        <f t="shared" si="10"/>
        <v>18</v>
      </c>
      <c r="S125">
        <f t="shared" si="7"/>
        <v>3115.1275999999998</v>
      </c>
      <c r="T125" s="2" t="s">
        <v>0</v>
      </c>
      <c r="U125">
        <f t="shared" si="8"/>
        <v>2</v>
      </c>
      <c r="V125">
        <v>0</v>
      </c>
      <c r="W125">
        <v>0.5</v>
      </c>
      <c r="X125">
        <v>0.5</v>
      </c>
      <c r="Y125" s="3">
        <v>1</v>
      </c>
    </row>
    <row r="126" spans="1:25" x14ac:dyDescent="0.55000000000000004">
      <c r="A126" t="str">
        <f t="shared" si="9"/>
        <v>X-1-e-1-16.5PG</v>
      </c>
      <c r="C126" t="s">
        <v>1648</v>
      </c>
      <c r="D126">
        <v>16.5</v>
      </c>
      <c r="E126" t="s">
        <v>2</v>
      </c>
      <c r="F126">
        <v>1</v>
      </c>
      <c r="G126">
        <v>2025.6963000000001</v>
      </c>
      <c r="H126">
        <v>34</v>
      </c>
      <c r="I126" s="1">
        <v>1.6328799999999999E-5</v>
      </c>
      <c r="J126" t="s">
        <v>1648</v>
      </c>
      <c r="K126">
        <v>1</v>
      </c>
      <c r="L126">
        <v>16.5</v>
      </c>
      <c r="M126">
        <v>16</v>
      </c>
      <c r="N126" t="s">
        <v>1646</v>
      </c>
      <c r="O126">
        <v>1</v>
      </c>
      <c r="P126">
        <f t="shared" si="11"/>
        <v>16.5</v>
      </c>
      <c r="Q126" s="2" t="str">
        <f t="shared" si="11"/>
        <v>e</v>
      </c>
      <c r="R126" s="2">
        <f t="shared" si="10"/>
        <v>18</v>
      </c>
      <c r="S126">
        <f t="shared" si="7"/>
        <v>2025.6963000000001</v>
      </c>
      <c r="T126" s="2" t="s">
        <v>0</v>
      </c>
      <c r="U126">
        <f t="shared" si="8"/>
        <v>1</v>
      </c>
      <c r="V126">
        <v>0</v>
      </c>
      <c r="W126">
        <v>0.5</v>
      </c>
      <c r="X126">
        <v>0.5</v>
      </c>
      <c r="Y126" s="3">
        <v>1</v>
      </c>
    </row>
    <row r="127" spans="1:25" x14ac:dyDescent="0.55000000000000004">
      <c r="A127" t="str">
        <f t="shared" si="9"/>
        <v>X-1-e-2-16.5PG</v>
      </c>
      <c r="C127" t="s">
        <v>1648</v>
      </c>
      <c r="D127">
        <v>16.5</v>
      </c>
      <c r="E127" t="s">
        <v>2</v>
      </c>
      <c r="F127">
        <v>2</v>
      </c>
      <c r="G127">
        <v>3118.0724</v>
      </c>
      <c r="H127">
        <v>34</v>
      </c>
      <c r="I127" s="1">
        <v>8.6637699999999995E-8</v>
      </c>
      <c r="J127" t="s">
        <v>1648</v>
      </c>
      <c r="K127">
        <v>2</v>
      </c>
      <c r="L127">
        <v>16.5</v>
      </c>
      <c r="M127">
        <v>16</v>
      </c>
      <c r="N127" t="s">
        <v>1646</v>
      </c>
      <c r="O127">
        <v>1</v>
      </c>
      <c r="P127">
        <f t="shared" si="11"/>
        <v>16.5</v>
      </c>
      <c r="Q127" s="2" t="str">
        <f t="shared" si="11"/>
        <v>e</v>
      </c>
      <c r="R127" s="2">
        <f t="shared" si="10"/>
        <v>19</v>
      </c>
      <c r="S127">
        <f t="shared" si="7"/>
        <v>3118.0724</v>
      </c>
      <c r="T127" s="2" t="s">
        <v>0</v>
      </c>
      <c r="U127">
        <f t="shared" si="8"/>
        <v>2</v>
      </c>
      <c r="V127">
        <v>0</v>
      </c>
      <c r="W127">
        <v>0.5</v>
      </c>
      <c r="X127">
        <v>0.5</v>
      </c>
      <c r="Y127" s="3">
        <v>1</v>
      </c>
    </row>
    <row r="128" spans="1:25" x14ac:dyDescent="0.55000000000000004">
      <c r="A128" t="str">
        <f t="shared" si="9"/>
        <v>X-2-f-1-16.5PG</v>
      </c>
      <c r="C128" t="s">
        <v>1648</v>
      </c>
      <c r="D128">
        <v>16.5</v>
      </c>
      <c r="E128" t="s">
        <v>1</v>
      </c>
      <c r="F128">
        <v>1</v>
      </c>
      <c r="G128">
        <v>2132.0477000000001</v>
      </c>
      <c r="H128">
        <v>34</v>
      </c>
      <c r="I128" s="1">
        <v>9.8048699999999995E-6</v>
      </c>
      <c r="J128" t="s">
        <v>1648</v>
      </c>
      <c r="K128">
        <v>1</v>
      </c>
      <c r="L128">
        <v>16.5</v>
      </c>
      <c r="M128">
        <v>17</v>
      </c>
      <c r="N128" t="s">
        <v>1647</v>
      </c>
      <c r="O128">
        <v>2</v>
      </c>
      <c r="P128">
        <f t="shared" si="11"/>
        <v>16.5</v>
      </c>
      <c r="Q128" s="2" t="str">
        <f t="shared" si="11"/>
        <v>f</v>
      </c>
      <c r="R128" s="2">
        <f t="shared" si="10"/>
        <v>18</v>
      </c>
      <c r="S128">
        <f t="shared" si="7"/>
        <v>2132.0477000000001</v>
      </c>
      <c r="T128" s="2" t="s">
        <v>0</v>
      </c>
      <c r="U128">
        <f t="shared" si="8"/>
        <v>1</v>
      </c>
      <c r="V128">
        <v>0</v>
      </c>
      <c r="W128">
        <v>0.5</v>
      </c>
      <c r="X128">
        <v>0.5</v>
      </c>
      <c r="Y128" s="3">
        <v>1</v>
      </c>
    </row>
    <row r="129" spans="1:25" x14ac:dyDescent="0.55000000000000004">
      <c r="A129" t="str">
        <f t="shared" si="9"/>
        <v>X-2-f-2-16.5PG</v>
      </c>
      <c r="C129" t="s">
        <v>1648</v>
      </c>
      <c r="D129">
        <v>16.5</v>
      </c>
      <c r="E129" t="s">
        <v>1</v>
      </c>
      <c r="F129">
        <v>2</v>
      </c>
      <c r="G129">
        <v>3222.2743</v>
      </c>
      <c r="H129">
        <v>34</v>
      </c>
      <c r="I129" s="1">
        <v>5.25618E-8</v>
      </c>
      <c r="J129" t="s">
        <v>1648</v>
      </c>
      <c r="K129">
        <v>2</v>
      </c>
      <c r="L129">
        <v>16.5</v>
      </c>
      <c r="M129">
        <v>17</v>
      </c>
      <c r="N129" t="s">
        <v>1647</v>
      </c>
      <c r="O129">
        <v>2</v>
      </c>
      <c r="P129">
        <f t="shared" si="11"/>
        <v>16.5</v>
      </c>
      <c r="Q129" s="2" t="str">
        <f t="shared" si="11"/>
        <v>f</v>
      </c>
      <c r="R129" s="2">
        <f t="shared" si="10"/>
        <v>19</v>
      </c>
      <c r="S129">
        <f t="shared" si="7"/>
        <v>3222.2743</v>
      </c>
      <c r="T129" s="2" t="s">
        <v>0</v>
      </c>
      <c r="U129">
        <f t="shared" si="8"/>
        <v>2</v>
      </c>
      <c r="V129">
        <v>0</v>
      </c>
      <c r="W129">
        <v>0.5</v>
      </c>
      <c r="X129">
        <v>0.5</v>
      </c>
      <c r="Y129" s="3">
        <v>1</v>
      </c>
    </row>
    <row r="130" spans="1:25" x14ac:dyDescent="0.55000000000000004">
      <c r="A130" t="str">
        <f t="shared" si="9"/>
        <v>X-1-e-1-17.5PG</v>
      </c>
      <c r="C130" t="s">
        <v>1648</v>
      </c>
      <c r="D130">
        <v>17.5</v>
      </c>
      <c r="E130" t="s">
        <v>2</v>
      </c>
      <c r="F130">
        <v>1</v>
      </c>
      <c r="G130">
        <v>2135.2501000000002</v>
      </c>
      <c r="H130">
        <v>36</v>
      </c>
      <c r="I130" s="1">
        <v>1.0223399999999999E-5</v>
      </c>
      <c r="J130" t="s">
        <v>1648</v>
      </c>
      <c r="K130">
        <v>1</v>
      </c>
      <c r="L130">
        <v>17.5</v>
      </c>
      <c r="M130">
        <v>17</v>
      </c>
      <c r="N130" t="s">
        <v>1646</v>
      </c>
      <c r="O130">
        <v>1</v>
      </c>
      <c r="P130">
        <f t="shared" si="11"/>
        <v>17.5</v>
      </c>
      <c r="Q130" s="2" t="str">
        <f t="shared" si="11"/>
        <v>e</v>
      </c>
      <c r="R130" s="2">
        <f t="shared" si="10"/>
        <v>19</v>
      </c>
      <c r="S130">
        <f t="shared" ref="S130:S181" si="12">G130</f>
        <v>2135.2501000000002</v>
      </c>
      <c r="T130" s="2" t="s">
        <v>0</v>
      </c>
      <c r="U130">
        <f t="shared" ref="U130:U181" si="13">K130</f>
        <v>1</v>
      </c>
      <c r="V130">
        <v>0</v>
      </c>
      <c r="W130">
        <v>0.5</v>
      </c>
      <c r="X130">
        <v>0.5</v>
      </c>
      <c r="Y130" s="3">
        <v>1</v>
      </c>
    </row>
    <row r="131" spans="1:25" x14ac:dyDescent="0.55000000000000004">
      <c r="A131" t="str">
        <f t="shared" ref="A131:A181" si="14">"X"&amp;"-"&amp;O131&amp;"-"&amp;Q131&amp;"-"&amp;K131&amp;"-"&amp;P131&amp;"PG"</f>
        <v>X-1-e-2-17.5PG</v>
      </c>
      <c r="C131" t="s">
        <v>1648</v>
      </c>
      <c r="D131">
        <v>17.5</v>
      </c>
      <c r="E131" t="s">
        <v>2</v>
      </c>
      <c r="F131">
        <v>2</v>
      </c>
      <c r="G131">
        <v>3225.3897000000002</v>
      </c>
      <c r="H131">
        <v>36</v>
      </c>
      <c r="I131" s="1">
        <v>5.4828400000000001E-8</v>
      </c>
      <c r="J131" t="s">
        <v>1648</v>
      </c>
      <c r="K131">
        <v>2</v>
      </c>
      <c r="L131">
        <v>17.5</v>
      </c>
      <c r="M131">
        <v>17</v>
      </c>
      <c r="N131" t="s">
        <v>1646</v>
      </c>
      <c r="O131">
        <v>1</v>
      </c>
      <c r="P131">
        <f t="shared" si="11"/>
        <v>17.5</v>
      </c>
      <c r="Q131" s="2" t="str">
        <f t="shared" si="11"/>
        <v>e</v>
      </c>
      <c r="R131" s="2">
        <f t="shared" ref="R131:R181" si="15">P131+0.5+U131</f>
        <v>20</v>
      </c>
      <c r="S131">
        <f t="shared" si="12"/>
        <v>3225.3897000000002</v>
      </c>
      <c r="T131" s="2" t="s">
        <v>0</v>
      </c>
      <c r="U131">
        <f t="shared" si="13"/>
        <v>2</v>
      </c>
      <c r="V131">
        <v>0</v>
      </c>
      <c r="W131">
        <v>0.5</v>
      </c>
      <c r="X131">
        <v>0.5</v>
      </c>
      <c r="Y131" s="3">
        <v>1</v>
      </c>
    </row>
    <row r="132" spans="1:25" x14ac:dyDescent="0.55000000000000004">
      <c r="A132" t="str">
        <f t="shared" si="14"/>
        <v>X-2-f-1-17.5PG</v>
      </c>
      <c r="C132" t="s">
        <v>1648</v>
      </c>
      <c r="D132">
        <v>17.5</v>
      </c>
      <c r="E132" t="s">
        <v>1</v>
      </c>
      <c r="F132">
        <v>1</v>
      </c>
      <c r="G132">
        <v>2247.5895</v>
      </c>
      <c r="H132">
        <v>36</v>
      </c>
      <c r="I132" s="1">
        <v>5.9649899999999998E-6</v>
      </c>
      <c r="J132" t="s">
        <v>1648</v>
      </c>
      <c r="K132">
        <v>1</v>
      </c>
      <c r="L132">
        <v>17.5</v>
      </c>
      <c r="M132">
        <v>18</v>
      </c>
      <c r="N132" t="s">
        <v>1647</v>
      </c>
      <c r="O132">
        <v>2</v>
      </c>
      <c r="P132">
        <f t="shared" si="11"/>
        <v>17.5</v>
      </c>
      <c r="Q132" s="2" t="str">
        <f t="shared" si="11"/>
        <v>f</v>
      </c>
      <c r="R132" s="2">
        <f t="shared" si="15"/>
        <v>19</v>
      </c>
      <c r="S132">
        <f t="shared" si="12"/>
        <v>2247.5895</v>
      </c>
      <c r="T132" s="2" t="s">
        <v>0</v>
      </c>
      <c r="U132">
        <f t="shared" si="13"/>
        <v>1</v>
      </c>
      <c r="V132">
        <v>0</v>
      </c>
      <c r="W132">
        <v>0.5</v>
      </c>
      <c r="X132">
        <v>0.5</v>
      </c>
      <c r="Y132" s="3">
        <v>1</v>
      </c>
    </row>
    <row r="133" spans="1:25" x14ac:dyDescent="0.55000000000000004">
      <c r="A133" t="str">
        <f t="shared" si="14"/>
        <v>X-2-f-2-17.5PG</v>
      </c>
      <c r="C133" t="s">
        <v>1648</v>
      </c>
      <c r="D133">
        <v>17.5</v>
      </c>
      <c r="E133" t="s">
        <v>1</v>
      </c>
      <c r="F133">
        <v>2</v>
      </c>
      <c r="G133">
        <v>3335.4540000000002</v>
      </c>
      <c r="H133">
        <v>36</v>
      </c>
      <c r="I133" s="1">
        <v>3.23414E-8</v>
      </c>
      <c r="J133" t="s">
        <v>1648</v>
      </c>
      <c r="K133">
        <v>2</v>
      </c>
      <c r="L133">
        <v>17.5</v>
      </c>
      <c r="M133">
        <v>18</v>
      </c>
      <c r="N133" t="s">
        <v>1647</v>
      </c>
      <c r="O133">
        <v>2</v>
      </c>
      <c r="P133">
        <f t="shared" si="11"/>
        <v>17.5</v>
      </c>
      <c r="Q133" s="2" t="str">
        <f t="shared" si="11"/>
        <v>f</v>
      </c>
      <c r="R133" s="2">
        <f t="shared" si="15"/>
        <v>20</v>
      </c>
      <c r="S133">
        <f t="shared" si="12"/>
        <v>3335.4540000000002</v>
      </c>
      <c r="T133" s="2" t="s">
        <v>0</v>
      </c>
      <c r="U133">
        <f t="shared" si="13"/>
        <v>2</v>
      </c>
      <c r="V133">
        <v>0</v>
      </c>
      <c r="W133">
        <v>0.5</v>
      </c>
      <c r="X133">
        <v>0.5</v>
      </c>
      <c r="Y133" s="3">
        <v>1</v>
      </c>
    </row>
    <row r="134" spans="1:25" x14ac:dyDescent="0.55000000000000004">
      <c r="A134" t="str">
        <f t="shared" si="14"/>
        <v>X-1-e-1-18.5PG</v>
      </c>
      <c r="C134" t="s">
        <v>1648</v>
      </c>
      <c r="D134">
        <v>18.5</v>
      </c>
      <c r="E134" t="s">
        <v>2</v>
      </c>
      <c r="F134">
        <v>1</v>
      </c>
      <c r="G134">
        <v>2250.9659999999999</v>
      </c>
      <c r="H134">
        <v>38</v>
      </c>
      <c r="I134" s="1">
        <v>6.1952399999999998E-6</v>
      </c>
      <c r="J134" t="s">
        <v>1648</v>
      </c>
      <c r="K134">
        <v>1</v>
      </c>
      <c r="L134">
        <v>18.5</v>
      </c>
      <c r="M134">
        <v>18</v>
      </c>
      <c r="N134" t="s">
        <v>1646</v>
      </c>
      <c r="O134">
        <v>1</v>
      </c>
      <c r="P134">
        <f t="shared" si="11"/>
        <v>18.5</v>
      </c>
      <c r="Q134" s="2" t="str">
        <f t="shared" si="11"/>
        <v>e</v>
      </c>
      <c r="R134" s="2">
        <f t="shared" si="15"/>
        <v>20</v>
      </c>
      <c r="S134">
        <f t="shared" si="12"/>
        <v>2250.9659999999999</v>
      </c>
      <c r="T134" s="2" t="s">
        <v>0</v>
      </c>
      <c r="U134">
        <f t="shared" si="13"/>
        <v>1</v>
      </c>
      <c r="V134">
        <v>0</v>
      </c>
      <c r="W134">
        <v>0.5</v>
      </c>
      <c r="X134">
        <v>0.5</v>
      </c>
      <c r="Y134" s="3">
        <v>1</v>
      </c>
    </row>
    <row r="135" spans="1:25" x14ac:dyDescent="0.55000000000000004">
      <c r="A135" t="str">
        <f t="shared" si="14"/>
        <v>X-1-e-2-18.5PG</v>
      </c>
      <c r="C135" t="s">
        <v>1648</v>
      </c>
      <c r="D135">
        <v>18.5</v>
      </c>
      <c r="E135" t="s">
        <v>2</v>
      </c>
      <c r="F135">
        <v>2</v>
      </c>
      <c r="G135">
        <v>3338.7386000000001</v>
      </c>
      <c r="H135">
        <v>38</v>
      </c>
      <c r="I135" s="1">
        <v>3.36046E-8</v>
      </c>
      <c r="J135" t="s">
        <v>1648</v>
      </c>
      <c r="K135">
        <v>2</v>
      </c>
      <c r="L135">
        <v>18.5</v>
      </c>
      <c r="M135">
        <v>18</v>
      </c>
      <c r="N135" t="s">
        <v>1646</v>
      </c>
      <c r="O135">
        <v>1</v>
      </c>
      <c r="P135">
        <f t="shared" si="11"/>
        <v>18.5</v>
      </c>
      <c r="Q135" s="2" t="str">
        <f t="shared" si="11"/>
        <v>e</v>
      </c>
      <c r="R135" s="2">
        <f t="shared" si="15"/>
        <v>21</v>
      </c>
      <c r="S135">
        <f t="shared" si="12"/>
        <v>3338.7386000000001</v>
      </c>
      <c r="T135" s="2" t="s">
        <v>0</v>
      </c>
      <c r="U135">
        <f t="shared" si="13"/>
        <v>2</v>
      </c>
      <c r="V135">
        <v>0</v>
      </c>
      <c r="W135">
        <v>0.5</v>
      </c>
      <c r="X135">
        <v>0.5</v>
      </c>
      <c r="Y135" s="3">
        <v>1</v>
      </c>
    </row>
    <row r="136" spans="1:25" x14ac:dyDescent="0.55000000000000004">
      <c r="A136" t="str">
        <f t="shared" si="14"/>
        <v>X-2-f-1-18.5PG</v>
      </c>
      <c r="C136" t="s">
        <v>1648</v>
      </c>
      <c r="D136">
        <v>18.5</v>
      </c>
      <c r="E136" t="s">
        <v>1</v>
      </c>
      <c r="F136">
        <v>1</v>
      </c>
      <c r="G136">
        <v>2369.2483999999999</v>
      </c>
      <c r="H136">
        <v>38</v>
      </c>
      <c r="I136" s="1">
        <v>3.5131299999999999E-6</v>
      </c>
      <c r="J136" t="s">
        <v>1648</v>
      </c>
      <c r="K136">
        <v>1</v>
      </c>
      <c r="L136">
        <v>18.5</v>
      </c>
      <c r="M136">
        <v>19</v>
      </c>
      <c r="N136" t="s">
        <v>1647</v>
      </c>
      <c r="O136">
        <v>2</v>
      </c>
      <c r="P136">
        <f t="shared" si="11"/>
        <v>18.5</v>
      </c>
      <c r="Q136" s="2" t="str">
        <f t="shared" si="11"/>
        <v>f</v>
      </c>
      <c r="R136" s="2">
        <f t="shared" si="15"/>
        <v>20</v>
      </c>
      <c r="S136">
        <f t="shared" si="12"/>
        <v>2369.2483999999999</v>
      </c>
      <c r="T136" s="2" t="s">
        <v>0</v>
      </c>
      <c r="U136">
        <f t="shared" si="13"/>
        <v>1</v>
      </c>
      <c r="V136">
        <v>0</v>
      </c>
      <c r="W136">
        <v>0.5</v>
      </c>
      <c r="X136">
        <v>0.5</v>
      </c>
      <c r="Y136" s="3">
        <v>1</v>
      </c>
    </row>
    <row r="137" spans="1:25" x14ac:dyDescent="0.55000000000000004">
      <c r="A137" t="str">
        <f t="shared" si="14"/>
        <v>X-2-f-2-18.5PG</v>
      </c>
      <c r="C137" t="s">
        <v>1648</v>
      </c>
      <c r="D137">
        <v>18.5</v>
      </c>
      <c r="E137" t="s">
        <v>1</v>
      </c>
      <c r="F137">
        <v>2</v>
      </c>
      <c r="G137">
        <v>3454.6205</v>
      </c>
      <c r="H137">
        <v>38</v>
      </c>
      <c r="I137" s="1">
        <v>1.92768E-8</v>
      </c>
      <c r="J137" t="s">
        <v>1648</v>
      </c>
      <c r="K137">
        <v>2</v>
      </c>
      <c r="L137">
        <v>18.5</v>
      </c>
      <c r="M137">
        <v>19</v>
      </c>
      <c r="N137" t="s">
        <v>1647</v>
      </c>
      <c r="O137">
        <v>2</v>
      </c>
      <c r="P137">
        <f t="shared" si="11"/>
        <v>18.5</v>
      </c>
      <c r="Q137" s="2" t="str">
        <f t="shared" si="11"/>
        <v>f</v>
      </c>
      <c r="R137" s="2">
        <f t="shared" si="15"/>
        <v>21</v>
      </c>
      <c r="S137">
        <f t="shared" si="12"/>
        <v>3454.6205</v>
      </c>
      <c r="T137" s="2" t="s">
        <v>0</v>
      </c>
      <c r="U137">
        <f t="shared" si="13"/>
        <v>2</v>
      </c>
      <c r="V137">
        <v>0</v>
      </c>
      <c r="W137">
        <v>0.5</v>
      </c>
      <c r="X137">
        <v>0.5</v>
      </c>
      <c r="Y137" s="3">
        <v>1</v>
      </c>
    </row>
    <row r="138" spans="1:25" x14ac:dyDescent="0.55000000000000004">
      <c r="A138" t="str">
        <f t="shared" si="14"/>
        <v>X-1-e-1-19.5PG</v>
      </c>
      <c r="C138" t="s">
        <v>1648</v>
      </c>
      <c r="D138">
        <v>19.5</v>
      </c>
      <c r="E138" t="s">
        <v>2</v>
      </c>
      <c r="F138">
        <v>1</v>
      </c>
      <c r="G138">
        <v>2372.7975999999999</v>
      </c>
      <c r="H138">
        <v>40</v>
      </c>
      <c r="I138" s="1">
        <v>3.6356200000000001E-6</v>
      </c>
      <c r="J138" t="s">
        <v>1648</v>
      </c>
      <c r="K138">
        <v>1</v>
      </c>
      <c r="L138">
        <v>19.5</v>
      </c>
      <c r="M138">
        <v>19</v>
      </c>
      <c r="N138" t="s">
        <v>1646</v>
      </c>
      <c r="O138">
        <v>1</v>
      </c>
      <c r="P138">
        <f t="shared" si="11"/>
        <v>19.5</v>
      </c>
      <c r="Q138" s="2" t="str">
        <f t="shared" si="11"/>
        <v>e</v>
      </c>
      <c r="R138" s="2">
        <f t="shared" si="15"/>
        <v>21</v>
      </c>
      <c r="S138">
        <f t="shared" si="12"/>
        <v>2372.7975999999999</v>
      </c>
      <c r="T138" s="2" t="s">
        <v>0</v>
      </c>
      <c r="U138">
        <f t="shared" si="13"/>
        <v>1</v>
      </c>
      <c r="V138">
        <v>0</v>
      </c>
      <c r="W138">
        <v>0.5</v>
      </c>
      <c r="X138">
        <v>0.5</v>
      </c>
      <c r="Y138" s="3">
        <v>1</v>
      </c>
    </row>
    <row r="139" spans="1:25" x14ac:dyDescent="0.55000000000000004">
      <c r="A139" t="str">
        <f t="shared" si="14"/>
        <v>X-1-e-2-19.5PG</v>
      </c>
      <c r="C139" t="s">
        <v>1648</v>
      </c>
      <c r="D139">
        <v>19.5</v>
      </c>
      <c r="E139" t="s">
        <v>2</v>
      </c>
      <c r="F139">
        <v>2</v>
      </c>
      <c r="G139">
        <v>3458.0727999999999</v>
      </c>
      <c r="H139">
        <v>40</v>
      </c>
      <c r="I139" s="1">
        <v>1.9958100000000001E-8</v>
      </c>
      <c r="J139" t="s">
        <v>1648</v>
      </c>
      <c r="K139">
        <v>2</v>
      </c>
      <c r="L139">
        <v>19.5</v>
      </c>
      <c r="M139">
        <v>19</v>
      </c>
      <c r="N139" t="s">
        <v>1646</v>
      </c>
      <c r="O139">
        <v>1</v>
      </c>
      <c r="P139">
        <f t="shared" si="11"/>
        <v>19.5</v>
      </c>
      <c r="Q139" s="2" t="str">
        <f t="shared" si="11"/>
        <v>e</v>
      </c>
      <c r="R139" s="2">
        <f t="shared" si="15"/>
        <v>22</v>
      </c>
      <c r="S139">
        <f t="shared" si="12"/>
        <v>3458.0727999999999</v>
      </c>
      <c r="T139" s="2" t="s">
        <v>0</v>
      </c>
      <c r="U139">
        <f t="shared" si="13"/>
        <v>2</v>
      </c>
      <c r="V139">
        <v>0</v>
      </c>
      <c r="W139">
        <v>0.5</v>
      </c>
      <c r="X139">
        <v>0.5</v>
      </c>
      <c r="Y139" s="3">
        <v>1</v>
      </c>
    </row>
    <row r="140" spans="1:25" x14ac:dyDescent="0.55000000000000004">
      <c r="A140" t="str">
        <f t="shared" si="14"/>
        <v>X-2-f-1-19.5PG</v>
      </c>
      <c r="C140" t="s">
        <v>1648</v>
      </c>
      <c r="D140">
        <v>19.5</v>
      </c>
      <c r="E140" t="s">
        <v>1</v>
      </c>
      <c r="F140">
        <v>1</v>
      </c>
      <c r="G140">
        <v>2496.9757</v>
      </c>
      <c r="H140">
        <v>40</v>
      </c>
      <c r="I140" s="1">
        <v>2.0041699999999998E-6</v>
      </c>
      <c r="J140" t="s">
        <v>1648</v>
      </c>
      <c r="K140">
        <v>1</v>
      </c>
      <c r="L140">
        <v>19.5</v>
      </c>
      <c r="M140">
        <v>20</v>
      </c>
      <c r="N140" t="s">
        <v>1647</v>
      </c>
      <c r="O140">
        <v>2</v>
      </c>
      <c r="P140">
        <f t="shared" si="11"/>
        <v>19.5</v>
      </c>
      <c r="Q140" s="2" t="str">
        <f t="shared" si="11"/>
        <v>f</v>
      </c>
      <c r="R140" s="2">
        <f t="shared" si="15"/>
        <v>21</v>
      </c>
      <c r="S140">
        <f t="shared" si="12"/>
        <v>2496.9757</v>
      </c>
      <c r="T140" s="2" t="s">
        <v>0</v>
      </c>
      <c r="U140">
        <f t="shared" si="13"/>
        <v>1</v>
      </c>
      <c r="V140">
        <v>0</v>
      </c>
      <c r="W140">
        <v>0.5</v>
      </c>
      <c r="X140">
        <v>0.5</v>
      </c>
      <c r="Y140" s="3">
        <v>1</v>
      </c>
    </row>
    <row r="141" spans="1:25" x14ac:dyDescent="0.55000000000000004">
      <c r="A141" t="str">
        <f t="shared" si="14"/>
        <v>X-2-f-2-19.5PG</v>
      </c>
      <c r="C141" t="s">
        <v>1648</v>
      </c>
      <c r="D141">
        <v>19.5</v>
      </c>
      <c r="E141" t="s">
        <v>1</v>
      </c>
      <c r="F141">
        <v>2</v>
      </c>
      <c r="G141">
        <v>3579.7251000000001</v>
      </c>
      <c r="H141">
        <v>40</v>
      </c>
      <c r="I141" s="1">
        <v>1.11362E-8</v>
      </c>
      <c r="J141" t="s">
        <v>1648</v>
      </c>
      <c r="K141">
        <v>2</v>
      </c>
      <c r="L141">
        <v>19.5</v>
      </c>
      <c r="M141">
        <v>20</v>
      </c>
      <c r="N141" t="s">
        <v>1647</v>
      </c>
      <c r="O141">
        <v>2</v>
      </c>
      <c r="P141">
        <f t="shared" si="11"/>
        <v>19.5</v>
      </c>
      <c r="Q141" s="2" t="str">
        <f t="shared" si="11"/>
        <v>f</v>
      </c>
      <c r="R141" s="2">
        <f t="shared" si="15"/>
        <v>22</v>
      </c>
      <c r="S141">
        <f t="shared" si="12"/>
        <v>3579.7251000000001</v>
      </c>
      <c r="T141" s="2" t="s">
        <v>0</v>
      </c>
      <c r="U141">
        <f t="shared" si="13"/>
        <v>2</v>
      </c>
      <c r="V141">
        <v>0</v>
      </c>
      <c r="W141">
        <v>0.5</v>
      </c>
      <c r="X141">
        <v>0.5</v>
      </c>
      <c r="Y141" s="3">
        <v>1</v>
      </c>
    </row>
    <row r="142" spans="1:25" x14ac:dyDescent="0.55000000000000004">
      <c r="A142" t="str">
        <f t="shared" si="14"/>
        <v>X-1-e-1-20.5PG</v>
      </c>
      <c r="C142" t="s">
        <v>1648</v>
      </c>
      <c r="D142">
        <v>20.5</v>
      </c>
      <c r="E142" t="s">
        <v>2</v>
      </c>
      <c r="F142">
        <v>1</v>
      </c>
      <c r="G142">
        <v>2500.6961000000001</v>
      </c>
      <c r="H142">
        <v>42</v>
      </c>
      <c r="I142" s="1">
        <v>2.0671699999999999E-6</v>
      </c>
      <c r="J142" t="s">
        <v>1648</v>
      </c>
      <c r="K142">
        <v>1</v>
      </c>
      <c r="L142">
        <v>20.5</v>
      </c>
      <c r="M142">
        <v>20</v>
      </c>
      <c r="N142" t="s">
        <v>1646</v>
      </c>
      <c r="O142">
        <v>1</v>
      </c>
      <c r="P142">
        <f t="shared" si="11"/>
        <v>20.5</v>
      </c>
      <c r="Q142" s="2" t="str">
        <f t="shared" si="11"/>
        <v>e</v>
      </c>
      <c r="R142" s="2">
        <f t="shared" si="15"/>
        <v>22</v>
      </c>
      <c r="S142">
        <f t="shared" si="12"/>
        <v>2500.6961000000001</v>
      </c>
      <c r="T142" s="2" t="s">
        <v>0</v>
      </c>
      <c r="U142">
        <f t="shared" si="13"/>
        <v>1</v>
      </c>
      <c r="V142">
        <v>0</v>
      </c>
      <c r="W142">
        <v>0.5</v>
      </c>
      <c r="X142">
        <v>0.5</v>
      </c>
      <c r="Y142" s="3">
        <v>1</v>
      </c>
    </row>
    <row r="143" spans="1:25" x14ac:dyDescent="0.55000000000000004">
      <c r="A143" t="str">
        <f t="shared" si="14"/>
        <v>X-1-e-2-20.5PG</v>
      </c>
      <c r="C143" t="s">
        <v>1648</v>
      </c>
      <c r="D143">
        <v>20.5</v>
      </c>
      <c r="E143" t="s">
        <v>2</v>
      </c>
      <c r="F143">
        <v>2</v>
      </c>
      <c r="G143">
        <v>3583.3436000000002</v>
      </c>
      <c r="H143">
        <v>42</v>
      </c>
      <c r="I143" s="1">
        <v>1.1491900000000001E-8</v>
      </c>
      <c r="J143" t="s">
        <v>1648</v>
      </c>
      <c r="K143">
        <v>2</v>
      </c>
      <c r="L143">
        <v>20.5</v>
      </c>
      <c r="M143">
        <v>20</v>
      </c>
      <c r="N143" t="s">
        <v>1646</v>
      </c>
      <c r="O143">
        <v>1</v>
      </c>
      <c r="P143">
        <f t="shared" si="11"/>
        <v>20.5</v>
      </c>
      <c r="Q143" s="2" t="str">
        <f t="shared" si="11"/>
        <v>e</v>
      </c>
      <c r="R143" s="2">
        <f t="shared" si="15"/>
        <v>23</v>
      </c>
      <c r="S143">
        <f t="shared" si="12"/>
        <v>3583.3436000000002</v>
      </c>
      <c r="T143" s="2" t="s">
        <v>0</v>
      </c>
      <c r="U143">
        <f t="shared" si="13"/>
        <v>2</v>
      </c>
      <c r="V143">
        <v>0</v>
      </c>
      <c r="W143">
        <v>0.5</v>
      </c>
      <c r="X143">
        <v>0.5</v>
      </c>
      <c r="Y143" s="3">
        <v>1</v>
      </c>
    </row>
    <row r="144" spans="1:25" x14ac:dyDescent="0.55000000000000004">
      <c r="A144" t="str">
        <f t="shared" si="14"/>
        <v>X-2-f-1-20.5PG</v>
      </c>
      <c r="C144" t="s">
        <v>1648</v>
      </c>
      <c r="D144">
        <v>20.5</v>
      </c>
      <c r="E144" t="s">
        <v>1</v>
      </c>
      <c r="F144">
        <v>1</v>
      </c>
      <c r="G144">
        <v>2630.7203</v>
      </c>
      <c r="H144">
        <v>42</v>
      </c>
      <c r="I144" s="1">
        <v>1.1080400000000001E-6</v>
      </c>
      <c r="J144" t="s">
        <v>1648</v>
      </c>
      <c r="K144">
        <v>1</v>
      </c>
      <c r="L144">
        <v>20.5</v>
      </c>
      <c r="M144">
        <v>21</v>
      </c>
      <c r="N144" t="s">
        <v>1647</v>
      </c>
      <c r="O144">
        <v>2</v>
      </c>
      <c r="P144">
        <f t="shared" si="11"/>
        <v>20.5</v>
      </c>
      <c r="Q144" s="2" t="str">
        <f t="shared" si="11"/>
        <v>f</v>
      </c>
      <c r="R144" s="2">
        <f t="shared" si="15"/>
        <v>22</v>
      </c>
      <c r="S144">
        <f t="shared" si="12"/>
        <v>2630.7203</v>
      </c>
      <c r="T144" s="2" t="s">
        <v>0</v>
      </c>
      <c r="U144">
        <f t="shared" si="13"/>
        <v>1</v>
      </c>
      <c r="V144">
        <v>0</v>
      </c>
      <c r="W144">
        <v>0.5</v>
      </c>
      <c r="X144">
        <v>0.5</v>
      </c>
      <c r="Y144" s="3">
        <v>1</v>
      </c>
    </row>
    <row r="145" spans="1:25" x14ac:dyDescent="0.55000000000000004">
      <c r="A145" t="str">
        <f t="shared" si="14"/>
        <v>X-2-f-2-20.5PG</v>
      </c>
      <c r="C145" t="s">
        <v>1648</v>
      </c>
      <c r="D145">
        <v>20.5</v>
      </c>
      <c r="E145" t="s">
        <v>1</v>
      </c>
      <c r="F145">
        <v>2</v>
      </c>
      <c r="G145">
        <v>3710.7170000000001</v>
      </c>
      <c r="H145">
        <v>42</v>
      </c>
      <c r="I145" s="1">
        <v>6.2386599999999996E-9</v>
      </c>
      <c r="J145" t="s">
        <v>1648</v>
      </c>
      <c r="K145">
        <v>2</v>
      </c>
      <c r="L145">
        <v>20.5</v>
      </c>
      <c r="M145">
        <v>21</v>
      </c>
      <c r="N145" t="s">
        <v>1647</v>
      </c>
      <c r="O145">
        <v>2</v>
      </c>
      <c r="P145">
        <f t="shared" si="11"/>
        <v>20.5</v>
      </c>
      <c r="Q145" s="2" t="str">
        <f t="shared" si="11"/>
        <v>f</v>
      </c>
      <c r="R145" s="2">
        <f t="shared" si="15"/>
        <v>23</v>
      </c>
      <c r="S145">
        <f t="shared" si="12"/>
        <v>3710.7170000000001</v>
      </c>
      <c r="T145" s="2" t="s">
        <v>0</v>
      </c>
      <c r="U145">
        <f t="shared" si="13"/>
        <v>2</v>
      </c>
      <c r="V145">
        <v>0</v>
      </c>
      <c r="W145">
        <v>0.5</v>
      </c>
      <c r="X145">
        <v>0.5</v>
      </c>
      <c r="Y145" s="3">
        <v>1</v>
      </c>
    </row>
    <row r="146" spans="1:25" x14ac:dyDescent="0.55000000000000004">
      <c r="A146" t="str">
        <f t="shared" si="14"/>
        <v>X-1-e-1-21.5PG</v>
      </c>
      <c r="C146" t="s">
        <v>1648</v>
      </c>
      <c r="D146">
        <v>21.5</v>
      </c>
      <c r="E146" t="s">
        <v>2</v>
      </c>
      <c r="F146">
        <v>1</v>
      </c>
      <c r="G146">
        <v>2634.6102999999998</v>
      </c>
      <c r="H146">
        <v>44</v>
      </c>
      <c r="I146" s="1">
        <v>1.1393499999999999E-6</v>
      </c>
      <c r="J146" t="s">
        <v>1648</v>
      </c>
      <c r="K146">
        <v>1</v>
      </c>
      <c r="L146">
        <v>21.5</v>
      </c>
      <c r="M146">
        <v>21</v>
      </c>
      <c r="N146" t="s">
        <v>1646</v>
      </c>
      <c r="O146">
        <v>1</v>
      </c>
      <c r="P146">
        <f t="shared" si="11"/>
        <v>21.5</v>
      </c>
      <c r="Q146" s="2" t="str">
        <f t="shared" si="11"/>
        <v>e</v>
      </c>
      <c r="R146" s="2">
        <f t="shared" si="15"/>
        <v>23</v>
      </c>
      <c r="S146">
        <f t="shared" si="12"/>
        <v>2634.6102999999998</v>
      </c>
      <c r="T146" s="2" t="s">
        <v>0</v>
      </c>
      <c r="U146">
        <f t="shared" si="13"/>
        <v>1</v>
      </c>
      <c r="V146">
        <v>0</v>
      </c>
      <c r="W146">
        <v>0.5</v>
      </c>
      <c r="X146">
        <v>0.5</v>
      </c>
      <c r="Y146" s="3">
        <v>1</v>
      </c>
    </row>
    <row r="147" spans="1:25" x14ac:dyDescent="0.55000000000000004">
      <c r="A147" t="str">
        <f t="shared" si="14"/>
        <v>X-1-e-2-21.5PG</v>
      </c>
      <c r="C147" t="s">
        <v>1648</v>
      </c>
      <c r="D147">
        <v>21.5</v>
      </c>
      <c r="E147" t="s">
        <v>2</v>
      </c>
      <c r="F147">
        <v>2</v>
      </c>
      <c r="G147">
        <v>3714.5001000000002</v>
      </c>
      <c r="H147">
        <v>44</v>
      </c>
      <c r="I147" s="1">
        <v>6.4182299999999997E-9</v>
      </c>
      <c r="J147" t="s">
        <v>1648</v>
      </c>
      <c r="K147">
        <v>2</v>
      </c>
      <c r="L147">
        <v>21.5</v>
      </c>
      <c r="M147">
        <v>21</v>
      </c>
      <c r="N147" t="s">
        <v>1646</v>
      </c>
      <c r="O147">
        <v>1</v>
      </c>
      <c r="P147">
        <f t="shared" si="11"/>
        <v>21.5</v>
      </c>
      <c r="Q147" s="2" t="str">
        <f t="shared" si="11"/>
        <v>e</v>
      </c>
      <c r="R147" s="2">
        <f t="shared" si="15"/>
        <v>24</v>
      </c>
      <c r="S147">
        <f t="shared" si="12"/>
        <v>3714.5001000000002</v>
      </c>
      <c r="T147" s="2" t="s">
        <v>0</v>
      </c>
      <c r="U147">
        <f t="shared" si="13"/>
        <v>2</v>
      </c>
      <c r="V147">
        <v>0</v>
      </c>
      <c r="W147">
        <v>0.5</v>
      </c>
      <c r="X147">
        <v>0.5</v>
      </c>
      <c r="Y147" s="3">
        <v>1</v>
      </c>
    </row>
    <row r="148" spans="1:25" x14ac:dyDescent="0.55000000000000004">
      <c r="A148" t="str">
        <f t="shared" si="14"/>
        <v>X-2-f-1-21.5PG</v>
      </c>
      <c r="C148" t="s">
        <v>1648</v>
      </c>
      <c r="D148">
        <v>21.5</v>
      </c>
      <c r="E148" t="s">
        <v>1</v>
      </c>
      <c r="F148">
        <v>1</v>
      </c>
      <c r="G148">
        <v>2770.4290000000001</v>
      </c>
      <c r="H148">
        <v>44</v>
      </c>
      <c r="I148" s="1">
        <v>5.9397399999999997E-7</v>
      </c>
      <c r="J148" t="s">
        <v>1648</v>
      </c>
      <c r="K148">
        <v>1</v>
      </c>
      <c r="L148">
        <v>21.5</v>
      </c>
      <c r="M148">
        <v>22</v>
      </c>
      <c r="N148" t="s">
        <v>1647</v>
      </c>
      <c r="O148">
        <v>2</v>
      </c>
      <c r="P148">
        <f t="shared" si="11"/>
        <v>21.5</v>
      </c>
      <c r="Q148" s="2" t="str">
        <f t="shared" si="11"/>
        <v>f</v>
      </c>
      <c r="R148" s="2">
        <f t="shared" si="15"/>
        <v>23</v>
      </c>
      <c r="S148">
        <f t="shared" si="12"/>
        <v>2770.4290000000001</v>
      </c>
      <c r="T148" s="2" t="s">
        <v>0</v>
      </c>
      <c r="U148">
        <f t="shared" si="13"/>
        <v>1</v>
      </c>
      <c r="V148">
        <v>0</v>
      </c>
      <c r="W148">
        <v>0.5</v>
      </c>
      <c r="X148">
        <v>0.5</v>
      </c>
      <c r="Y148" s="3">
        <v>1</v>
      </c>
    </row>
    <row r="149" spans="1:25" x14ac:dyDescent="0.55000000000000004">
      <c r="A149" t="str">
        <f t="shared" si="14"/>
        <v>X-2-f-2-21.5PG</v>
      </c>
      <c r="C149" t="s">
        <v>1648</v>
      </c>
      <c r="D149">
        <v>21.5</v>
      </c>
      <c r="E149" t="s">
        <v>1</v>
      </c>
      <c r="F149">
        <v>2</v>
      </c>
      <c r="G149">
        <v>3847.5430000000001</v>
      </c>
      <c r="H149">
        <v>44</v>
      </c>
      <c r="I149" s="1">
        <v>3.3908399999999998E-9</v>
      </c>
      <c r="J149" t="s">
        <v>1648</v>
      </c>
      <c r="K149">
        <v>2</v>
      </c>
      <c r="L149">
        <v>21.5</v>
      </c>
      <c r="M149">
        <v>22</v>
      </c>
      <c r="N149" t="s">
        <v>1647</v>
      </c>
      <c r="O149">
        <v>2</v>
      </c>
      <c r="P149">
        <f t="shared" si="11"/>
        <v>21.5</v>
      </c>
      <c r="Q149" s="2" t="str">
        <f t="shared" si="11"/>
        <v>f</v>
      </c>
      <c r="R149" s="2">
        <f t="shared" si="15"/>
        <v>24</v>
      </c>
      <c r="S149">
        <f t="shared" si="12"/>
        <v>3847.5430000000001</v>
      </c>
      <c r="T149" s="2" t="s">
        <v>0</v>
      </c>
      <c r="U149">
        <f t="shared" si="13"/>
        <v>2</v>
      </c>
      <c r="V149">
        <v>0</v>
      </c>
      <c r="W149">
        <v>0.5</v>
      </c>
      <c r="X149">
        <v>0.5</v>
      </c>
      <c r="Y149" s="3">
        <v>1</v>
      </c>
    </row>
    <row r="150" spans="1:25" x14ac:dyDescent="0.55000000000000004">
      <c r="A150" t="str">
        <f t="shared" si="14"/>
        <v>X-1-e-1-22.5PG</v>
      </c>
      <c r="C150" t="s">
        <v>1648</v>
      </c>
      <c r="D150">
        <v>22.5</v>
      </c>
      <c r="E150" t="s">
        <v>2</v>
      </c>
      <c r="F150">
        <v>1</v>
      </c>
      <c r="G150">
        <v>2774.4868000000001</v>
      </c>
      <c r="H150">
        <v>46</v>
      </c>
      <c r="I150" s="1">
        <v>6.0900500000000005E-7</v>
      </c>
      <c r="J150" t="s">
        <v>1648</v>
      </c>
      <c r="K150">
        <v>1</v>
      </c>
      <c r="L150">
        <v>22.5</v>
      </c>
      <c r="M150">
        <v>22</v>
      </c>
      <c r="N150" t="s">
        <v>1646</v>
      </c>
      <c r="O150">
        <v>1</v>
      </c>
      <c r="P150">
        <f t="shared" si="11"/>
        <v>22.5</v>
      </c>
      <c r="Q150" s="2" t="str">
        <f t="shared" si="11"/>
        <v>e</v>
      </c>
      <c r="R150" s="2">
        <f t="shared" si="15"/>
        <v>24</v>
      </c>
      <c r="S150">
        <f t="shared" si="12"/>
        <v>2774.4868000000001</v>
      </c>
      <c r="T150" s="2" t="s">
        <v>0</v>
      </c>
      <c r="U150">
        <f t="shared" si="13"/>
        <v>1</v>
      </c>
      <c r="V150">
        <v>0</v>
      </c>
      <c r="W150">
        <v>0.5</v>
      </c>
      <c r="X150">
        <v>0.5</v>
      </c>
      <c r="Y150" s="3">
        <v>1</v>
      </c>
    </row>
    <row r="151" spans="1:25" x14ac:dyDescent="0.55000000000000004">
      <c r="A151" t="str">
        <f t="shared" si="14"/>
        <v>X-1-e-2-22.5PG</v>
      </c>
      <c r="C151" t="s">
        <v>1648</v>
      </c>
      <c r="D151">
        <v>22.5</v>
      </c>
      <c r="E151" t="s">
        <v>2</v>
      </c>
      <c r="F151">
        <v>2</v>
      </c>
      <c r="G151">
        <v>3851.489</v>
      </c>
      <c r="H151">
        <v>46</v>
      </c>
      <c r="I151" s="1">
        <v>3.4785099999999998E-9</v>
      </c>
      <c r="J151" t="s">
        <v>1648</v>
      </c>
      <c r="K151">
        <v>2</v>
      </c>
      <c r="L151">
        <v>22.5</v>
      </c>
      <c r="M151">
        <v>22</v>
      </c>
      <c r="N151" t="s">
        <v>1646</v>
      </c>
      <c r="O151">
        <v>1</v>
      </c>
      <c r="P151">
        <f t="shared" si="11"/>
        <v>22.5</v>
      </c>
      <c r="Q151" s="2" t="str">
        <f t="shared" si="11"/>
        <v>e</v>
      </c>
      <c r="R151" s="2">
        <f t="shared" si="15"/>
        <v>25</v>
      </c>
      <c r="S151">
        <f t="shared" si="12"/>
        <v>3851.489</v>
      </c>
      <c r="T151" s="2" t="s">
        <v>0</v>
      </c>
      <c r="U151">
        <f t="shared" si="13"/>
        <v>2</v>
      </c>
      <c r="V151">
        <v>0</v>
      </c>
      <c r="W151">
        <v>0.5</v>
      </c>
      <c r="X151">
        <v>0.5</v>
      </c>
      <c r="Y151" s="3">
        <v>1</v>
      </c>
    </row>
    <row r="152" spans="1:25" x14ac:dyDescent="0.55000000000000004">
      <c r="A152" t="str">
        <f t="shared" si="14"/>
        <v>X-2-f-1-22.5PG</v>
      </c>
      <c r="C152" t="s">
        <v>1648</v>
      </c>
      <c r="D152">
        <v>22.5</v>
      </c>
      <c r="E152" t="s">
        <v>1</v>
      </c>
      <c r="F152">
        <v>1</v>
      </c>
      <c r="G152">
        <v>2916.0464000000002</v>
      </c>
      <c r="H152">
        <v>46</v>
      </c>
      <c r="I152" s="1">
        <v>3.0886900000000001E-7</v>
      </c>
      <c r="J152" t="s">
        <v>1648</v>
      </c>
      <c r="K152">
        <v>1</v>
      </c>
      <c r="L152">
        <v>22.5</v>
      </c>
      <c r="M152">
        <v>23</v>
      </c>
      <c r="N152" t="s">
        <v>1647</v>
      </c>
      <c r="O152">
        <v>2</v>
      </c>
      <c r="P152">
        <f t="shared" si="11"/>
        <v>22.5</v>
      </c>
      <c r="Q152" s="2" t="str">
        <f t="shared" si="11"/>
        <v>f</v>
      </c>
      <c r="R152" s="2">
        <f t="shared" si="15"/>
        <v>24</v>
      </c>
      <c r="S152">
        <f t="shared" si="12"/>
        <v>2916.0464000000002</v>
      </c>
      <c r="T152" s="2" t="s">
        <v>0</v>
      </c>
      <c r="U152">
        <f t="shared" si="13"/>
        <v>1</v>
      </c>
      <c r="V152">
        <v>0</v>
      </c>
      <c r="W152">
        <v>0.5</v>
      </c>
      <c r="X152">
        <v>0.5</v>
      </c>
      <c r="Y152" s="3">
        <v>1</v>
      </c>
    </row>
    <row r="153" spans="1:25" x14ac:dyDescent="0.55000000000000004">
      <c r="A153" t="str">
        <f t="shared" si="14"/>
        <v>X-2-f-2-22.5PG</v>
      </c>
      <c r="C153" t="s">
        <v>1648</v>
      </c>
      <c r="D153">
        <v>22.5</v>
      </c>
      <c r="E153" t="s">
        <v>1</v>
      </c>
      <c r="F153">
        <v>2</v>
      </c>
      <c r="G153">
        <v>3990.1480000000001</v>
      </c>
      <c r="H153">
        <v>46</v>
      </c>
      <c r="I153" s="1">
        <v>1.78891E-9</v>
      </c>
      <c r="J153" t="s">
        <v>1648</v>
      </c>
      <c r="K153">
        <v>2</v>
      </c>
      <c r="L153">
        <v>22.5</v>
      </c>
      <c r="M153">
        <v>23</v>
      </c>
      <c r="N153" t="s">
        <v>1647</v>
      </c>
      <c r="O153">
        <v>2</v>
      </c>
      <c r="P153">
        <f t="shared" si="11"/>
        <v>22.5</v>
      </c>
      <c r="Q153" s="2" t="str">
        <f t="shared" si="11"/>
        <v>f</v>
      </c>
      <c r="R153" s="2">
        <f t="shared" si="15"/>
        <v>25</v>
      </c>
      <c r="S153">
        <f t="shared" si="12"/>
        <v>3990.1480000000001</v>
      </c>
      <c r="T153" s="2" t="s">
        <v>0</v>
      </c>
      <c r="U153">
        <f t="shared" si="13"/>
        <v>2</v>
      </c>
      <c r="V153">
        <v>0</v>
      </c>
      <c r="W153">
        <v>0.5</v>
      </c>
      <c r="X153">
        <v>0.5</v>
      </c>
      <c r="Y153" s="3">
        <v>1</v>
      </c>
    </row>
    <row r="154" spans="1:25" x14ac:dyDescent="0.55000000000000004">
      <c r="A154" t="str">
        <f t="shared" si="14"/>
        <v>X-1-e-1-23.5PG</v>
      </c>
      <c r="C154" t="s">
        <v>1648</v>
      </c>
      <c r="D154">
        <v>23.5</v>
      </c>
      <c r="E154" t="s">
        <v>2</v>
      </c>
      <c r="F154">
        <v>1</v>
      </c>
      <c r="G154">
        <v>2920.2701999999999</v>
      </c>
      <c r="H154">
        <v>48</v>
      </c>
      <c r="I154" s="1">
        <v>3.1583500000000002E-7</v>
      </c>
      <c r="J154" t="s">
        <v>1648</v>
      </c>
      <c r="K154">
        <v>1</v>
      </c>
      <c r="L154">
        <v>23.5</v>
      </c>
      <c r="M154">
        <v>23</v>
      </c>
      <c r="N154" t="s">
        <v>1646</v>
      </c>
      <c r="O154">
        <v>1</v>
      </c>
      <c r="P154">
        <f t="shared" si="11"/>
        <v>23.5</v>
      </c>
      <c r="Q154" s="2" t="str">
        <f t="shared" si="11"/>
        <v>e</v>
      </c>
      <c r="R154" s="2">
        <f t="shared" si="15"/>
        <v>25</v>
      </c>
      <c r="S154">
        <f t="shared" si="12"/>
        <v>2920.2701999999999</v>
      </c>
      <c r="T154" s="2" t="s">
        <v>0</v>
      </c>
      <c r="U154">
        <f t="shared" si="13"/>
        <v>1</v>
      </c>
      <c r="V154">
        <v>0</v>
      </c>
      <c r="W154">
        <v>0.5</v>
      </c>
      <c r="X154">
        <v>0.5</v>
      </c>
      <c r="Y154" s="3">
        <v>1</v>
      </c>
    </row>
    <row r="155" spans="1:25" x14ac:dyDescent="0.55000000000000004">
      <c r="A155" t="str">
        <f t="shared" si="14"/>
        <v>X-1-e-2-23.5PG</v>
      </c>
      <c r="C155" t="s">
        <v>1648</v>
      </c>
      <c r="D155">
        <v>23.5</v>
      </c>
      <c r="E155" t="s">
        <v>2</v>
      </c>
      <c r="F155">
        <v>2</v>
      </c>
      <c r="G155">
        <v>3994.2550000000001</v>
      </c>
      <c r="H155">
        <v>48</v>
      </c>
      <c r="I155" s="1">
        <v>1.83028E-9</v>
      </c>
      <c r="J155" t="s">
        <v>1648</v>
      </c>
      <c r="K155">
        <v>2</v>
      </c>
      <c r="L155">
        <v>23.5</v>
      </c>
      <c r="M155">
        <v>23</v>
      </c>
      <c r="N155" t="s">
        <v>1646</v>
      </c>
      <c r="O155">
        <v>1</v>
      </c>
      <c r="P155">
        <f t="shared" si="11"/>
        <v>23.5</v>
      </c>
      <c r="Q155" s="2" t="str">
        <f t="shared" si="11"/>
        <v>e</v>
      </c>
      <c r="R155" s="2">
        <f t="shared" si="15"/>
        <v>26</v>
      </c>
      <c r="S155">
        <f t="shared" si="12"/>
        <v>3994.2550000000001</v>
      </c>
      <c r="T155" s="2" t="s">
        <v>0</v>
      </c>
      <c r="U155">
        <f t="shared" si="13"/>
        <v>2</v>
      </c>
      <c r="V155">
        <v>0</v>
      </c>
      <c r="W155">
        <v>0.5</v>
      </c>
      <c r="X155">
        <v>0.5</v>
      </c>
      <c r="Y155" s="3">
        <v>1</v>
      </c>
    </row>
    <row r="156" spans="1:25" x14ac:dyDescent="0.55000000000000004">
      <c r="A156" t="str">
        <f t="shared" si="14"/>
        <v>X-2-f-1-23.5PG</v>
      </c>
      <c r="C156" t="s">
        <v>1648</v>
      </c>
      <c r="D156">
        <v>23.5</v>
      </c>
      <c r="E156" t="s">
        <v>1</v>
      </c>
      <c r="F156">
        <v>1</v>
      </c>
      <c r="G156">
        <v>3067.5147000000002</v>
      </c>
      <c r="H156">
        <v>48</v>
      </c>
      <c r="I156" s="1">
        <v>1.5587400000000001E-7</v>
      </c>
      <c r="J156" t="s">
        <v>1648</v>
      </c>
      <c r="K156">
        <v>1</v>
      </c>
      <c r="L156">
        <v>23.5</v>
      </c>
      <c r="M156">
        <v>24</v>
      </c>
      <c r="N156" t="s">
        <v>1647</v>
      </c>
      <c r="O156">
        <v>2</v>
      </c>
      <c r="P156">
        <f t="shared" si="11"/>
        <v>23.5</v>
      </c>
      <c r="Q156" s="2" t="str">
        <f t="shared" si="11"/>
        <v>f</v>
      </c>
      <c r="R156" s="2">
        <f t="shared" si="15"/>
        <v>25</v>
      </c>
      <c r="S156">
        <f t="shared" si="12"/>
        <v>3067.5147000000002</v>
      </c>
      <c r="T156" s="2" t="s">
        <v>0</v>
      </c>
      <c r="U156">
        <f t="shared" si="13"/>
        <v>1</v>
      </c>
      <c r="V156">
        <v>0</v>
      </c>
      <c r="W156">
        <v>0.5</v>
      </c>
      <c r="X156">
        <v>0.5</v>
      </c>
      <c r="Y156" s="3">
        <v>1</v>
      </c>
    </row>
    <row r="157" spans="1:25" x14ac:dyDescent="0.55000000000000004">
      <c r="A157" t="str">
        <f t="shared" si="14"/>
        <v>X-2-f-2-23.5PG</v>
      </c>
      <c r="C157" t="s">
        <v>1648</v>
      </c>
      <c r="D157">
        <v>23.5</v>
      </c>
      <c r="E157" t="s">
        <v>1</v>
      </c>
      <c r="F157">
        <v>2</v>
      </c>
      <c r="G157">
        <v>4138.4742999999999</v>
      </c>
      <c r="H157">
        <v>48</v>
      </c>
      <c r="I157" s="1">
        <v>9.1649999999999999E-10</v>
      </c>
      <c r="J157" t="s">
        <v>1648</v>
      </c>
      <c r="K157">
        <v>2</v>
      </c>
      <c r="L157">
        <v>23.5</v>
      </c>
      <c r="M157">
        <v>24</v>
      </c>
      <c r="N157" t="s">
        <v>1647</v>
      </c>
      <c r="O157">
        <v>2</v>
      </c>
      <c r="P157">
        <f t="shared" si="11"/>
        <v>23.5</v>
      </c>
      <c r="Q157" s="2" t="str">
        <f t="shared" si="11"/>
        <v>f</v>
      </c>
      <c r="R157" s="2">
        <f t="shared" si="15"/>
        <v>26</v>
      </c>
      <c r="S157">
        <f t="shared" si="12"/>
        <v>4138.4742999999999</v>
      </c>
      <c r="T157" s="2" t="s">
        <v>0</v>
      </c>
      <c r="U157">
        <f t="shared" si="13"/>
        <v>2</v>
      </c>
      <c r="V157">
        <v>0</v>
      </c>
      <c r="W157">
        <v>0.5</v>
      </c>
      <c r="X157">
        <v>0.5</v>
      </c>
      <c r="Y157" s="3">
        <v>1</v>
      </c>
    </row>
    <row r="158" spans="1:25" x14ac:dyDescent="0.55000000000000004">
      <c r="A158" t="str">
        <f t="shared" si="14"/>
        <v>X-1-e-1-24.5PG</v>
      </c>
      <c r="C158" t="s">
        <v>1648</v>
      </c>
      <c r="D158">
        <v>24.5</v>
      </c>
      <c r="E158" t="s">
        <v>2</v>
      </c>
      <c r="F158">
        <v>1</v>
      </c>
      <c r="G158">
        <v>3071.9027999999998</v>
      </c>
      <c r="H158">
        <v>50</v>
      </c>
      <c r="I158" s="1">
        <v>1.5898699999999999E-7</v>
      </c>
      <c r="J158" t="s">
        <v>1648</v>
      </c>
      <c r="K158">
        <v>1</v>
      </c>
      <c r="L158">
        <v>24.5</v>
      </c>
      <c r="M158">
        <v>24</v>
      </c>
      <c r="N158" t="s">
        <v>1646</v>
      </c>
      <c r="O158">
        <v>1</v>
      </c>
      <c r="P158">
        <f t="shared" si="11"/>
        <v>24.5</v>
      </c>
      <c r="Q158" s="2" t="str">
        <f t="shared" si="11"/>
        <v>e</v>
      </c>
      <c r="R158" s="2">
        <f t="shared" si="15"/>
        <v>26</v>
      </c>
      <c r="S158">
        <f t="shared" si="12"/>
        <v>3071.9027999999998</v>
      </c>
      <c r="T158" s="2" t="s">
        <v>0</v>
      </c>
      <c r="U158">
        <f t="shared" si="13"/>
        <v>1</v>
      </c>
      <c r="V158">
        <v>0</v>
      </c>
      <c r="W158">
        <v>0.5</v>
      </c>
      <c r="X158">
        <v>0.5</v>
      </c>
      <c r="Y158" s="3">
        <v>1</v>
      </c>
    </row>
    <row r="159" spans="1:25" x14ac:dyDescent="0.55000000000000004">
      <c r="A159" t="str">
        <f t="shared" si="14"/>
        <v>X-1-e-2-24.5PG</v>
      </c>
      <c r="C159" t="s">
        <v>1648</v>
      </c>
      <c r="D159">
        <v>24.5</v>
      </c>
      <c r="E159" t="s">
        <v>2</v>
      </c>
      <c r="F159">
        <v>2</v>
      </c>
      <c r="G159">
        <v>4142.7406000000001</v>
      </c>
      <c r="H159">
        <v>50</v>
      </c>
      <c r="I159" s="1">
        <v>9.3535000000000008E-10</v>
      </c>
      <c r="J159" t="s">
        <v>1648</v>
      </c>
      <c r="K159">
        <v>2</v>
      </c>
      <c r="L159">
        <v>24.5</v>
      </c>
      <c r="M159">
        <v>24</v>
      </c>
      <c r="N159" t="s">
        <v>1646</v>
      </c>
      <c r="O159">
        <v>1</v>
      </c>
      <c r="P159">
        <f t="shared" ref="P159:Q181" si="16">D159</f>
        <v>24.5</v>
      </c>
      <c r="Q159" s="2" t="str">
        <f t="shared" si="16"/>
        <v>e</v>
      </c>
      <c r="R159" s="2">
        <f t="shared" si="15"/>
        <v>27</v>
      </c>
      <c r="S159">
        <f t="shared" si="12"/>
        <v>4142.7406000000001</v>
      </c>
      <c r="T159" s="2" t="s">
        <v>0</v>
      </c>
      <c r="U159">
        <f t="shared" si="13"/>
        <v>2</v>
      </c>
      <c r="V159">
        <v>0</v>
      </c>
      <c r="W159">
        <v>0.5</v>
      </c>
      <c r="X159">
        <v>0.5</v>
      </c>
      <c r="Y159" s="3">
        <v>1</v>
      </c>
    </row>
    <row r="160" spans="1:25" x14ac:dyDescent="0.55000000000000004">
      <c r="A160" t="str">
        <f t="shared" si="14"/>
        <v>X-2-f-1-24.5PG</v>
      </c>
      <c r="C160" t="s">
        <v>1648</v>
      </c>
      <c r="D160">
        <v>24.5</v>
      </c>
      <c r="E160" t="s">
        <v>1</v>
      </c>
      <c r="F160">
        <v>1</v>
      </c>
      <c r="G160">
        <v>3224.7743</v>
      </c>
      <c r="H160">
        <v>50</v>
      </c>
      <c r="I160" s="1">
        <v>7.63756E-8</v>
      </c>
      <c r="J160" t="s">
        <v>1648</v>
      </c>
      <c r="K160">
        <v>1</v>
      </c>
      <c r="L160">
        <v>24.5</v>
      </c>
      <c r="M160">
        <v>25</v>
      </c>
      <c r="N160" t="s">
        <v>1647</v>
      </c>
      <c r="O160">
        <v>2</v>
      </c>
      <c r="P160">
        <f t="shared" si="16"/>
        <v>24.5</v>
      </c>
      <c r="Q160" s="2" t="str">
        <f t="shared" si="16"/>
        <v>f</v>
      </c>
      <c r="R160" s="2">
        <f t="shared" si="15"/>
        <v>26</v>
      </c>
      <c r="S160">
        <f t="shared" si="12"/>
        <v>3224.7743</v>
      </c>
      <c r="T160" s="2" t="s">
        <v>0</v>
      </c>
      <c r="U160">
        <f t="shared" si="13"/>
        <v>1</v>
      </c>
      <c r="V160">
        <v>0</v>
      </c>
      <c r="W160">
        <v>0.5</v>
      </c>
      <c r="X160">
        <v>0.5</v>
      </c>
      <c r="Y160" s="3">
        <v>1</v>
      </c>
    </row>
    <row r="161" spans="1:25" x14ac:dyDescent="0.55000000000000004">
      <c r="A161" t="str">
        <f t="shared" si="14"/>
        <v>X-2-f-2-24.5PG</v>
      </c>
      <c r="C161" t="s">
        <v>1648</v>
      </c>
      <c r="D161">
        <v>24.5</v>
      </c>
      <c r="E161" t="s">
        <v>1</v>
      </c>
      <c r="F161">
        <v>2</v>
      </c>
      <c r="G161">
        <v>4292.4625999999998</v>
      </c>
      <c r="H161">
        <v>50</v>
      </c>
      <c r="I161" s="1">
        <v>4.5616999999999999E-10</v>
      </c>
      <c r="J161" t="s">
        <v>1648</v>
      </c>
      <c r="K161">
        <v>2</v>
      </c>
      <c r="L161">
        <v>24.5</v>
      </c>
      <c r="M161">
        <v>25</v>
      </c>
      <c r="N161" t="s">
        <v>1647</v>
      </c>
      <c r="O161">
        <v>2</v>
      </c>
      <c r="P161">
        <f t="shared" si="16"/>
        <v>24.5</v>
      </c>
      <c r="Q161" s="2" t="str">
        <f t="shared" si="16"/>
        <v>f</v>
      </c>
      <c r="R161" s="2">
        <f t="shared" si="15"/>
        <v>27</v>
      </c>
      <c r="S161">
        <f t="shared" si="12"/>
        <v>4292.4625999999998</v>
      </c>
      <c r="T161" s="2" t="s">
        <v>0</v>
      </c>
      <c r="U161">
        <f t="shared" si="13"/>
        <v>2</v>
      </c>
      <c r="V161">
        <v>0</v>
      </c>
      <c r="W161">
        <v>0.5</v>
      </c>
      <c r="X161">
        <v>0.5</v>
      </c>
      <c r="Y161" s="3">
        <v>1</v>
      </c>
    </row>
    <row r="162" spans="1:25" x14ac:dyDescent="0.55000000000000004">
      <c r="A162" t="str">
        <f t="shared" si="14"/>
        <v>X-1-e-1-25.5PG</v>
      </c>
      <c r="C162" t="s">
        <v>1648</v>
      </c>
      <c r="D162">
        <v>25.5</v>
      </c>
      <c r="E162" t="s">
        <v>2</v>
      </c>
      <c r="F162">
        <v>1</v>
      </c>
      <c r="G162">
        <v>3229.3245999999999</v>
      </c>
      <c r="H162">
        <v>52</v>
      </c>
      <c r="I162" s="1">
        <v>7.7716000000000006E-8</v>
      </c>
      <c r="J162" t="s">
        <v>1648</v>
      </c>
      <c r="K162">
        <v>1</v>
      </c>
      <c r="L162">
        <v>25.5</v>
      </c>
      <c r="M162">
        <v>25</v>
      </c>
      <c r="N162" t="s">
        <v>1646</v>
      </c>
      <c r="O162">
        <v>1</v>
      </c>
      <c r="P162">
        <f t="shared" si="16"/>
        <v>25.5</v>
      </c>
      <c r="Q162" s="2" t="str">
        <f t="shared" si="16"/>
        <v>e</v>
      </c>
      <c r="R162" s="2">
        <f t="shared" si="15"/>
        <v>27</v>
      </c>
      <c r="S162">
        <f t="shared" si="12"/>
        <v>3229.3245999999999</v>
      </c>
      <c r="T162" s="2" t="s">
        <v>0</v>
      </c>
      <c r="U162">
        <f t="shared" si="13"/>
        <v>1</v>
      </c>
      <c r="V162">
        <v>0</v>
      </c>
      <c r="W162">
        <v>0.5</v>
      </c>
      <c r="X162">
        <v>0.5</v>
      </c>
      <c r="Y162" s="3">
        <v>1</v>
      </c>
    </row>
    <row r="163" spans="1:25" x14ac:dyDescent="0.55000000000000004">
      <c r="A163" t="str">
        <f t="shared" si="14"/>
        <v>X-1-e-2-25.5PG</v>
      </c>
      <c r="C163" t="s">
        <v>1648</v>
      </c>
      <c r="D163">
        <v>25.5</v>
      </c>
      <c r="E163" t="s">
        <v>2</v>
      </c>
      <c r="F163">
        <v>2</v>
      </c>
      <c r="G163">
        <v>4296.8860999999997</v>
      </c>
      <c r="H163">
        <v>52</v>
      </c>
      <c r="I163" s="1">
        <v>4.6446000000000002E-10</v>
      </c>
      <c r="J163" t="s">
        <v>1648</v>
      </c>
      <c r="K163">
        <v>2</v>
      </c>
      <c r="L163">
        <v>25.5</v>
      </c>
      <c r="M163">
        <v>25</v>
      </c>
      <c r="N163" t="s">
        <v>1646</v>
      </c>
      <c r="O163">
        <v>1</v>
      </c>
      <c r="P163">
        <f t="shared" si="16"/>
        <v>25.5</v>
      </c>
      <c r="Q163" s="2" t="str">
        <f t="shared" si="16"/>
        <v>e</v>
      </c>
      <c r="R163" s="2">
        <f t="shared" si="15"/>
        <v>28</v>
      </c>
      <c r="S163">
        <f t="shared" si="12"/>
        <v>4296.8860999999997</v>
      </c>
      <c r="T163" s="2" t="s">
        <v>0</v>
      </c>
      <c r="U163">
        <f t="shared" si="13"/>
        <v>2</v>
      </c>
      <c r="V163">
        <v>0</v>
      </c>
      <c r="W163">
        <v>0.5</v>
      </c>
      <c r="X163">
        <v>0.5</v>
      </c>
      <c r="Y163" s="3">
        <v>1</v>
      </c>
    </row>
    <row r="164" spans="1:25" x14ac:dyDescent="0.55000000000000004">
      <c r="A164" t="str">
        <f t="shared" si="14"/>
        <v>X-2-f-1-25.5PG</v>
      </c>
      <c r="C164" t="s">
        <v>1648</v>
      </c>
      <c r="D164">
        <v>25.5</v>
      </c>
      <c r="E164" t="s">
        <v>1</v>
      </c>
      <c r="F164">
        <v>1</v>
      </c>
      <c r="G164">
        <v>3387.7635</v>
      </c>
      <c r="H164">
        <v>52</v>
      </c>
      <c r="I164" s="1">
        <v>3.6350200000000002E-8</v>
      </c>
      <c r="J164" t="s">
        <v>1648</v>
      </c>
      <c r="K164">
        <v>1</v>
      </c>
      <c r="L164">
        <v>25.5</v>
      </c>
      <c r="M164">
        <v>26</v>
      </c>
      <c r="N164" t="s">
        <v>1647</v>
      </c>
      <c r="O164">
        <v>2</v>
      </c>
      <c r="P164">
        <f t="shared" si="16"/>
        <v>25.5</v>
      </c>
      <c r="Q164" s="2" t="str">
        <f t="shared" si="16"/>
        <v>f</v>
      </c>
      <c r="R164" s="2">
        <f t="shared" si="15"/>
        <v>27</v>
      </c>
      <c r="S164">
        <f t="shared" si="12"/>
        <v>3387.7635</v>
      </c>
      <c r="T164" s="2" t="s">
        <v>0</v>
      </c>
      <c r="U164">
        <f t="shared" si="13"/>
        <v>1</v>
      </c>
      <c r="V164">
        <v>0</v>
      </c>
      <c r="W164">
        <v>0.5</v>
      </c>
      <c r="X164">
        <v>0.5</v>
      </c>
      <c r="Y164" s="3">
        <v>1</v>
      </c>
    </row>
    <row r="165" spans="1:25" x14ac:dyDescent="0.55000000000000004">
      <c r="A165" t="str">
        <f t="shared" si="14"/>
        <v>X-2-f-2-25.5PG</v>
      </c>
      <c r="C165" t="s">
        <v>1648</v>
      </c>
      <c r="D165">
        <v>25.5</v>
      </c>
      <c r="E165" t="s">
        <v>1</v>
      </c>
      <c r="F165">
        <v>2</v>
      </c>
      <c r="G165">
        <v>4452.0511999999999</v>
      </c>
      <c r="H165">
        <v>52</v>
      </c>
      <c r="I165" s="1">
        <v>2.2068000000000001E-10</v>
      </c>
      <c r="J165" t="s">
        <v>1648</v>
      </c>
      <c r="K165">
        <v>2</v>
      </c>
      <c r="L165">
        <v>25.5</v>
      </c>
      <c r="M165">
        <v>26</v>
      </c>
      <c r="N165" t="s">
        <v>1647</v>
      </c>
      <c r="O165">
        <v>2</v>
      </c>
      <c r="P165">
        <f t="shared" si="16"/>
        <v>25.5</v>
      </c>
      <c r="Q165" s="2" t="str">
        <f t="shared" si="16"/>
        <v>f</v>
      </c>
      <c r="R165" s="2">
        <f t="shared" si="15"/>
        <v>28</v>
      </c>
      <c r="S165">
        <f t="shared" si="12"/>
        <v>4452.0511999999999</v>
      </c>
      <c r="T165" s="2" t="s">
        <v>0</v>
      </c>
      <c r="U165">
        <f t="shared" si="13"/>
        <v>2</v>
      </c>
      <c r="V165">
        <v>0</v>
      </c>
      <c r="W165">
        <v>0.5</v>
      </c>
      <c r="X165">
        <v>0.5</v>
      </c>
      <c r="Y165" s="3">
        <v>1</v>
      </c>
    </row>
    <row r="166" spans="1:25" x14ac:dyDescent="0.55000000000000004">
      <c r="A166" t="str">
        <f t="shared" si="14"/>
        <v>X-1-e-1-26.5PG</v>
      </c>
      <c r="C166" t="s">
        <v>1648</v>
      </c>
      <c r="D166">
        <v>26.5</v>
      </c>
      <c r="E166" t="s">
        <v>2</v>
      </c>
      <c r="F166">
        <v>1</v>
      </c>
      <c r="G166">
        <v>3392.4739</v>
      </c>
      <c r="H166">
        <v>54</v>
      </c>
      <c r="I166" s="1">
        <v>3.6905099999999997E-8</v>
      </c>
      <c r="J166" t="s">
        <v>1648</v>
      </c>
      <c r="K166">
        <v>1</v>
      </c>
      <c r="L166">
        <v>26.5</v>
      </c>
      <c r="M166">
        <v>26</v>
      </c>
      <c r="N166" t="s">
        <v>1646</v>
      </c>
      <c r="O166">
        <v>1</v>
      </c>
      <c r="P166">
        <f t="shared" si="16"/>
        <v>26.5</v>
      </c>
      <c r="Q166" s="2" t="str">
        <f t="shared" si="16"/>
        <v>e</v>
      </c>
      <c r="R166" s="2">
        <f t="shared" si="15"/>
        <v>28</v>
      </c>
      <c r="S166">
        <f t="shared" si="12"/>
        <v>3392.4739</v>
      </c>
      <c r="T166" s="2" t="s">
        <v>0</v>
      </c>
      <c r="U166">
        <f t="shared" si="13"/>
        <v>1</v>
      </c>
      <c r="V166">
        <v>0</v>
      </c>
      <c r="W166">
        <v>0.5</v>
      </c>
      <c r="X166">
        <v>0.5</v>
      </c>
      <c r="Y166" s="3">
        <v>1</v>
      </c>
    </row>
    <row r="167" spans="1:25" x14ac:dyDescent="0.55000000000000004">
      <c r="A167" t="str">
        <f t="shared" si="14"/>
        <v>X-1-e-2-26.5PG</v>
      </c>
      <c r="C167" t="s">
        <v>1648</v>
      </c>
      <c r="D167">
        <v>26.5</v>
      </c>
      <c r="E167" t="s">
        <v>2</v>
      </c>
      <c r="F167">
        <v>2</v>
      </c>
      <c r="G167">
        <v>4456.63</v>
      </c>
      <c r="H167">
        <v>54</v>
      </c>
      <c r="I167" s="1">
        <v>2.2419E-10</v>
      </c>
      <c r="J167" t="s">
        <v>1648</v>
      </c>
      <c r="K167">
        <v>2</v>
      </c>
      <c r="L167">
        <v>26.5</v>
      </c>
      <c r="M167">
        <v>26</v>
      </c>
      <c r="N167" t="s">
        <v>1646</v>
      </c>
      <c r="O167">
        <v>1</v>
      </c>
      <c r="P167">
        <f t="shared" si="16"/>
        <v>26.5</v>
      </c>
      <c r="Q167" s="2" t="str">
        <f t="shared" si="16"/>
        <v>e</v>
      </c>
      <c r="R167" s="2">
        <f t="shared" si="15"/>
        <v>29</v>
      </c>
      <c r="S167">
        <f t="shared" si="12"/>
        <v>4456.63</v>
      </c>
      <c r="T167" s="2" t="s">
        <v>0</v>
      </c>
      <c r="U167">
        <f t="shared" si="13"/>
        <v>2</v>
      </c>
      <c r="V167">
        <v>0</v>
      </c>
      <c r="W167">
        <v>0.5</v>
      </c>
      <c r="X167">
        <v>0.5</v>
      </c>
      <c r="Y167" s="3">
        <v>1</v>
      </c>
    </row>
    <row r="168" spans="1:25" x14ac:dyDescent="0.55000000000000004">
      <c r="A168" t="str">
        <f t="shared" si="14"/>
        <v>X-2-f-1-26.5PG</v>
      </c>
      <c r="C168" t="s">
        <v>1648</v>
      </c>
      <c r="D168">
        <v>26.5</v>
      </c>
      <c r="E168" t="s">
        <v>1</v>
      </c>
      <c r="F168">
        <v>1</v>
      </c>
      <c r="G168">
        <v>3556.4182999999998</v>
      </c>
      <c r="H168">
        <v>54</v>
      </c>
      <c r="I168" s="1">
        <v>1.68119E-8</v>
      </c>
      <c r="J168" t="s">
        <v>1648</v>
      </c>
      <c r="K168">
        <v>1</v>
      </c>
      <c r="L168">
        <v>26.5</v>
      </c>
      <c r="M168">
        <v>27</v>
      </c>
      <c r="N168" t="s">
        <v>1647</v>
      </c>
      <c r="O168">
        <v>2</v>
      </c>
      <c r="P168">
        <f t="shared" si="16"/>
        <v>26.5</v>
      </c>
      <c r="Q168" s="2" t="str">
        <f t="shared" si="16"/>
        <v>f</v>
      </c>
      <c r="R168" s="2">
        <f t="shared" si="15"/>
        <v>28</v>
      </c>
      <c r="S168">
        <f t="shared" si="12"/>
        <v>3556.4182999999998</v>
      </c>
      <c r="T168" s="2" t="s">
        <v>0</v>
      </c>
      <c r="U168">
        <f t="shared" si="13"/>
        <v>1</v>
      </c>
      <c r="V168">
        <v>0</v>
      </c>
      <c r="W168">
        <v>0.5</v>
      </c>
      <c r="X168">
        <v>0.5</v>
      </c>
      <c r="Y168" s="3">
        <v>1</v>
      </c>
    </row>
    <row r="169" spans="1:25" x14ac:dyDescent="0.55000000000000004">
      <c r="A169" t="str">
        <f t="shared" si="14"/>
        <v>X-2-f-2-26.5PG</v>
      </c>
      <c r="C169" t="s">
        <v>1648</v>
      </c>
      <c r="D169">
        <v>26.5</v>
      </c>
      <c r="E169" t="s">
        <v>1</v>
      </c>
      <c r="F169">
        <v>2</v>
      </c>
      <c r="G169">
        <v>4617.1767</v>
      </c>
      <c r="H169">
        <v>54</v>
      </c>
      <c r="I169" s="1">
        <v>1.0381E-10</v>
      </c>
      <c r="J169" t="s">
        <v>1648</v>
      </c>
      <c r="K169">
        <v>2</v>
      </c>
      <c r="L169">
        <v>26.5</v>
      </c>
      <c r="M169">
        <v>27</v>
      </c>
      <c r="N169" t="s">
        <v>1647</v>
      </c>
      <c r="O169">
        <v>2</v>
      </c>
      <c r="P169">
        <f t="shared" si="16"/>
        <v>26.5</v>
      </c>
      <c r="Q169" s="2" t="str">
        <f t="shared" si="16"/>
        <v>f</v>
      </c>
      <c r="R169" s="2">
        <f t="shared" si="15"/>
        <v>29</v>
      </c>
      <c r="S169">
        <f t="shared" si="12"/>
        <v>4617.1767</v>
      </c>
      <c r="T169" s="2" t="s">
        <v>0</v>
      </c>
      <c r="U169">
        <f t="shared" si="13"/>
        <v>2</v>
      </c>
      <c r="V169">
        <v>0</v>
      </c>
      <c r="W169">
        <v>0.5</v>
      </c>
      <c r="X169">
        <v>0.5</v>
      </c>
      <c r="Y169" s="3">
        <v>1</v>
      </c>
    </row>
    <row r="170" spans="1:25" x14ac:dyDescent="0.55000000000000004">
      <c r="A170" t="str">
        <f t="shared" si="14"/>
        <v>X-1-e-1-27.5PG</v>
      </c>
      <c r="C170" t="s">
        <v>1648</v>
      </c>
      <c r="D170">
        <v>27.5</v>
      </c>
      <c r="E170" t="s">
        <v>2</v>
      </c>
      <c r="F170">
        <v>1</v>
      </c>
      <c r="G170">
        <v>3561.2869000000001</v>
      </c>
      <c r="H170">
        <v>56</v>
      </c>
      <c r="I170" s="1">
        <v>1.7032099999999999E-8</v>
      </c>
      <c r="J170" t="s">
        <v>1648</v>
      </c>
      <c r="K170">
        <v>1</v>
      </c>
      <c r="L170">
        <v>27.5</v>
      </c>
      <c r="M170">
        <v>27</v>
      </c>
      <c r="N170" t="s">
        <v>1646</v>
      </c>
      <c r="O170">
        <v>1</v>
      </c>
      <c r="P170">
        <f t="shared" si="16"/>
        <v>27.5</v>
      </c>
      <c r="Q170" s="2" t="str">
        <f t="shared" si="16"/>
        <v>e</v>
      </c>
      <c r="R170" s="2">
        <f t="shared" si="15"/>
        <v>29</v>
      </c>
      <c r="S170">
        <f t="shared" si="12"/>
        <v>3561.2869000000001</v>
      </c>
      <c r="T170" s="2" t="s">
        <v>0</v>
      </c>
      <c r="U170">
        <f t="shared" si="13"/>
        <v>1</v>
      </c>
      <c r="V170">
        <v>0</v>
      </c>
      <c r="W170">
        <v>0.5</v>
      </c>
      <c r="X170">
        <v>0.5</v>
      </c>
      <c r="Y170" s="3">
        <v>1</v>
      </c>
    </row>
    <row r="171" spans="1:25" x14ac:dyDescent="0.55000000000000004">
      <c r="A171" t="str">
        <f t="shared" si="14"/>
        <v>X-1-e-2-27.5PG</v>
      </c>
      <c r="C171" t="s">
        <v>1648</v>
      </c>
      <c r="D171">
        <v>27.5</v>
      </c>
      <c r="E171" t="s">
        <v>2</v>
      </c>
      <c r="F171">
        <v>2</v>
      </c>
      <c r="G171">
        <v>4621.9085999999998</v>
      </c>
      <c r="H171">
        <v>56</v>
      </c>
      <c r="I171" s="1">
        <v>1.0524E-10</v>
      </c>
      <c r="J171" t="s">
        <v>1648</v>
      </c>
      <c r="K171">
        <v>2</v>
      </c>
      <c r="L171">
        <v>27.5</v>
      </c>
      <c r="M171">
        <v>27</v>
      </c>
      <c r="N171" t="s">
        <v>1646</v>
      </c>
      <c r="O171">
        <v>1</v>
      </c>
      <c r="P171">
        <f t="shared" si="16"/>
        <v>27.5</v>
      </c>
      <c r="Q171" s="2" t="str">
        <f t="shared" si="16"/>
        <v>e</v>
      </c>
      <c r="R171" s="2">
        <f t="shared" si="15"/>
        <v>30</v>
      </c>
      <c r="S171">
        <f t="shared" si="12"/>
        <v>4621.9085999999998</v>
      </c>
      <c r="T171" s="2" t="s">
        <v>0</v>
      </c>
      <c r="U171">
        <f t="shared" si="13"/>
        <v>2</v>
      </c>
      <c r="V171">
        <v>0</v>
      </c>
      <c r="W171">
        <v>0.5</v>
      </c>
      <c r="X171">
        <v>0.5</v>
      </c>
      <c r="Y171" s="3">
        <v>1</v>
      </c>
    </row>
    <row r="172" spans="1:25" x14ac:dyDescent="0.55000000000000004">
      <c r="A172" t="str">
        <f t="shared" si="14"/>
        <v>X-2-f-1-27.5PG</v>
      </c>
      <c r="C172" t="s">
        <v>1648</v>
      </c>
      <c r="D172">
        <v>27.5</v>
      </c>
      <c r="E172" t="s">
        <v>1</v>
      </c>
      <c r="F172">
        <v>1</v>
      </c>
      <c r="G172">
        <v>3730.6732000000002</v>
      </c>
      <c r="H172">
        <v>56</v>
      </c>
      <c r="I172" s="1">
        <v>7.5590000000000001E-9</v>
      </c>
      <c r="J172" t="s">
        <v>1648</v>
      </c>
      <c r="K172">
        <v>1</v>
      </c>
      <c r="L172">
        <v>27.5</v>
      </c>
      <c r="M172">
        <v>28</v>
      </c>
      <c r="N172" t="s">
        <v>1647</v>
      </c>
      <c r="O172">
        <v>2</v>
      </c>
      <c r="P172">
        <f t="shared" si="16"/>
        <v>27.5</v>
      </c>
      <c r="Q172" s="2" t="str">
        <f t="shared" si="16"/>
        <v>f</v>
      </c>
      <c r="R172" s="2">
        <f t="shared" si="15"/>
        <v>29</v>
      </c>
      <c r="S172">
        <f t="shared" si="12"/>
        <v>3730.6732000000002</v>
      </c>
      <c r="T172" s="2" t="s">
        <v>0</v>
      </c>
      <c r="U172">
        <f t="shared" si="13"/>
        <v>1</v>
      </c>
      <c r="V172">
        <v>0</v>
      </c>
      <c r="W172">
        <v>0.5</v>
      </c>
      <c r="X172">
        <v>0.5</v>
      </c>
      <c r="Y172" s="3">
        <v>1</v>
      </c>
    </row>
    <row r="173" spans="1:25" x14ac:dyDescent="0.55000000000000004">
      <c r="A173" t="str">
        <f t="shared" si="14"/>
        <v>X-2-f-2-27.5PG</v>
      </c>
      <c r="C173" t="s">
        <v>1648</v>
      </c>
      <c r="D173">
        <v>27.5</v>
      </c>
      <c r="E173" t="s">
        <v>1</v>
      </c>
      <c r="F173">
        <v>2</v>
      </c>
      <c r="G173">
        <v>4787.7734</v>
      </c>
      <c r="H173">
        <v>56</v>
      </c>
      <c r="I173" s="1">
        <v>4.7499999999999998E-11</v>
      </c>
      <c r="J173" t="s">
        <v>1648</v>
      </c>
      <c r="K173">
        <v>2</v>
      </c>
      <c r="L173">
        <v>27.5</v>
      </c>
      <c r="M173">
        <v>28</v>
      </c>
      <c r="N173" t="s">
        <v>1647</v>
      </c>
      <c r="O173">
        <v>2</v>
      </c>
      <c r="P173">
        <f t="shared" si="16"/>
        <v>27.5</v>
      </c>
      <c r="Q173" s="2" t="str">
        <f t="shared" si="16"/>
        <v>f</v>
      </c>
      <c r="R173" s="2">
        <f t="shared" si="15"/>
        <v>30</v>
      </c>
      <c r="S173">
        <f t="shared" si="12"/>
        <v>4787.7734</v>
      </c>
      <c r="T173" s="2" t="s">
        <v>0</v>
      </c>
      <c r="U173">
        <f t="shared" si="13"/>
        <v>2</v>
      </c>
      <c r="V173">
        <v>0</v>
      </c>
      <c r="W173">
        <v>0.5</v>
      </c>
      <c r="X173">
        <v>0.5</v>
      </c>
      <c r="Y173" s="3">
        <v>1</v>
      </c>
    </row>
    <row r="174" spans="1:25" x14ac:dyDescent="0.55000000000000004">
      <c r="A174" t="str">
        <f t="shared" si="14"/>
        <v>X-1-e-1-28.5PG</v>
      </c>
      <c r="C174" t="s">
        <v>1648</v>
      </c>
      <c r="D174">
        <v>28.5</v>
      </c>
      <c r="E174" t="s">
        <v>2</v>
      </c>
      <c r="F174">
        <v>1</v>
      </c>
      <c r="G174">
        <v>3735.6977999999999</v>
      </c>
      <c r="H174">
        <v>58</v>
      </c>
      <c r="I174" s="1">
        <v>7.6425599999999997E-9</v>
      </c>
      <c r="J174" t="s">
        <v>1648</v>
      </c>
      <c r="K174">
        <v>1</v>
      </c>
      <c r="L174">
        <v>28.5</v>
      </c>
      <c r="M174">
        <v>28</v>
      </c>
      <c r="N174" t="s">
        <v>1646</v>
      </c>
      <c r="O174">
        <v>1</v>
      </c>
      <c r="P174">
        <f t="shared" si="16"/>
        <v>28.5</v>
      </c>
      <c r="Q174" s="2" t="str">
        <f t="shared" si="16"/>
        <v>e</v>
      </c>
      <c r="R174" s="2">
        <f t="shared" si="15"/>
        <v>30</v>
      </c>
      <c r="S174">
        <f t="shared" si="12"/>
        <v>3735.6977999999999</v>
      </c>
      <c r="T174" s="2" t="s">
        <v>0</v>
      </c>
      <c r="U174">
        <f t="shared" si="13"/>
        <v>1</v>
      </c>
      <c r="V174">
        <v>0</v>
      </c>
      <c r="W174">
        <v>0.5</v>
      </c>
      <c r="X174">
        <v>0.5</v>
      </c>
      <c r="Y174" s="3">
        <v>1</v>
      </c>
    </row>
    <row r="175" spans="1:25" x14ac:dyDescent="0.55000000000000004">
      <c r="A175" t="str">
        <f t="shared" si="14"/>
        <v>X-1-e-2-28.5PG</v>
      </c>
      <c r="C175" t="s">
        <v>1648</v>
      </c>
      <c r="D175">
        <v>28.5</v>
      </c>
      <c r="E175" t="s">
        <v>2</v>
      </c>
      <c r="F175">
        <v>2</v>
      </c>
      <c r="G175">
        <v>4792.6562999999996</v>
      </c>
      <c r="H175">
        <v>58</v>
      </c>
      <c r="I175" s="1">
        <v>4.8057E-11</v>
      </c>
      <c r="J175" t="s">
        <v>1648</v>
      </c>
      <c r="K175">
        <v>2</v>
      </c>
      <c r="L175">
        <v>28.5</v>
      </c>
      <c r="M175">
        <v>28</v>
      </c>
      <c r="N175" t="s">
        <v>1646</v>
      </c>
      <c r="O175">
        <v>1</v>
      </c>
      <c r="P175">
        <f t="shared" si="16"/>
        <v>28.5</v>
      </c>
      <c r="Q175" s="2" t="str">
        <f t="shared" si="16"/>
        <v>e</v>
      </c>
      <c r="R175" s="2">
        <f t="shared" si="15"/>
        <v>31</v>
      </c>
      <c r="S175">
        <f t="shared" si="12"/>
        <v>4792.6562999999996</v>
      </c>
      <c r="T175" s="2" t="s">
        <v>0</v>
      </c>
      <c r="U175">
        <f t="shared" si="13"/>
        <v>2</v>
      </c>
      <c r="V175">
        <v>0</v>
      </c>
      <c r="W175">
        <v>0.5</v>
      </c>
      <c r="X175">
        <v>0.5</v>
      </c>
      <c r="Y175" s="3">
        <v>1</v>
      </c>
    </row>
    <row r="176" spans="1:25" x14ac:dyDescent="0.55000000000000004">
      <c r="A176" t="str">
        <f t="shared" si="14"/>
        <v>X-2-f-1-28.5PG</v>
      </c>
      <c r="C176" t="s">
        <v>1648</v>
      </c>
      <c r="D176">
        <v>28.5</v>
      </c>
      <c r="E176" t="s">
        <v>1</v>
      </c>
      <c r="F176">
        <v>1</v>
      </c>
      <c r="G176">
        <v>3910.4605999999999</v>
      </c>
      <c r="H176">
        <v>58</v>
      </c>
      <c r="I176" s="1">
        <v>3.30548E-9</v>
      </c>
      <c r="J176" t="s">
        <v>1648</v>
      </c>
      <c r="K176">
        <v>1</v>
      </c>
      <c r="L176">
        <v>28.5</v>
      </c>
      <c r="M176">
        <v>29</v>
      </c>
      <c r="N176" t="s">
        <v>1647</v>
      </c>
      <c r="O176">
        <v>2</v>
      </c>
      <c r="P176">
        <f t="shared" si="16"/>
        <v>28.5</v>
      </c>
      <c r="Q176" s="2" t="str">
        <f t="shared" si="16"/>
        <v>f</v>
      </c>
      <c r="R176" s="2">
        <f t="shared" si="15"/>
        <v>30</v>
      </c>
      <c r="S176">
        <f t="shared" si="12"/>
        <v>3910.4605999999999</v>
      </c>
      <c r="T176" s="2" t="s">
        <v>0</v>
      </c>
      <c r="U176">
        <f t="shared" si="13"/>
        <v>1</v>
      </c>
      <c r="V176">
        <v>0</v>
      </c>
      <c r="W176">
        <v>0.5</v>
      </c>
      <c r="X176">
        <v>0.5</v>
      </c>
      <c r="Y176" s="3">
        <v>1</v>
      </c>
    </row>
    <row r="177" spans="1:25" x14ac:dyDescent="0.55000000000000004">
      <c r="A177" t="str">
        <f t="shared" si="14"/>
        <v>X-2-f-2-28.5PG</v>
      </c>
      <c r="C177" t="s">
        <v>1648</v>
      </c>
      <c r="D177">
        <v>28.5</v>
      </c>
      <c r="E177" t="s">
        <v>1</v>
      </c>
      <c r="F177">
        <v>2</v>
      </c>
      <c r="G177">
        <v>4963.7740000000003</v>
      </c>
      <c r="H177">
        <v>58</v>
      </c>
      <c r="I177" s="1">
        <v>2.1152E-11</v>
      </c>
      <c r="J177" t="s">
        <v>1648</v>
      </c>
      <c r="K177">
        <v>2</v>
      </c>
      <c r="L177">
        <v>28.5</v>
      </c>
      <c r="M177">
        <v>29</v>
      </c>
      <c r="N177" t="s">
        <v>1647</v>
      </c>
      <c r="O177">
        <v>2</v>
      </c>
      <c r="P177">
        <f t="shared" si="16"/>
        <v>28.5</v>
      </c>
      <c r="Q177" s="2" t="str">
        <f t="shared" si="16"/>
        <v>f</v>
      </c>
      <c r="R177" s="2">
        <f t="shared" si="15"/>
        <v>31</v>
      </c>
      <c r="S177">
        <f t="shared" si="12"/>
        <v>4963.7740000000003</v>
      </c>
      <c r="T177" s="2" t="s">
        <v>0</v>
      </c>
      <c r="U177">
        <f t="shared" si="13"/>
        <v>2</v>
      </c>
      <c r="V177">
        <v>0</v>
      </c>
      <c r="W177">
        <v>0.5</v>
      </c>
      <c r="X177">
        <v>0.5</v>
      </c>
      <c r="Y177" s="3">
        <v>1</v>
      </c>
    </row>
    <row r="178" spans="1:25" x14ac:dyDescent="0.55000000000000004">
      <c r="A178" t="str">
        <f t="shared" si="14"/>
        <v>X-1-e-1-29.5PG</v>
      </c>
      <c r="C178" t="s">
        <v>1648</v>
      </c>
      <c r="D178">
        <v>29.5</v>
      </c>
      <c r="E178" t="s">
        <v>2</v>
      </c>
      <c r="F178">
        <v>1</v>
      </c>
      <c r="G178">
        <v>3915.6388000000002</v>
      </c>
      <c r="H178">
        <v>60</v>
      </c>
      <c r="I178" s="1">
        <v>3.3355900000000001E-9</v>
      </c>
      <c r="J178" t="s">
        <v>1648</v>
      </c>
      <c r="K178">
        <v>1</v>
      </c>
      <c r="L178">
        <v>29.5</v>
      </c>
      <c r="M178">
        <v>29</v>
      </c>
      <c r="N178" t="s">
        <v>1646</v>
      </c>
      <c r="O178">
        <v>1</v>
      </c>
      <c r="P178">
        <f t="shared" si="16"/>
        <v>29.5</v>
      </c>
      <c r="Q178" s="2" t="str">
        <f t="shared" si="16"/>
        <v>e</v>
      </c>
      <c r="R178" s="2">
        <f t="shared" si="15"/>
        <v>31</v>
      </c>
      <c r="S178">
        <f t="shared" si="12"/>
        <v>3915.6388000000002</v>
      </c>
      <c r="T178" s="2" t="s">
        <v>0</v>
      </c>
      <c r="U178">
        <f t="shared" si="13"/>
        <v>1</v>
      </c>
      <c r="V178">
        <v>0</v>
      </c>
      <c r="W178">
        <v>0.5</v>
      </c>
      <c r="X178">
        <v>0.5</v>
      </c>
      <c r="Y178" s="3">
        <v>1</v>
      </c>
    </row>
    <row r="179" spans="1:25" x14ac:dyDescent="0.55000000000000004">
      <c r="A179" t="str">
        <f t="shared" si="14"/>
        <v>X-1-e-2-29.5PG</v>
      </c>
      <c r="C179" t="s">
        <v>1648</v>
      </c>
      <c r="D179">
        <v>29.5</v>
      </c>
      <c r="E179" t="s">
        <v>2</v>
      </c>
      <c r="F179">
        <v>2</v>
      </c>
      <c r="G179">
        <v>4968.8055999999997</v>
      </c>
      <c r="H179">
        <v>60</v>
      </c>
      <c r="I179" s="1">
        <v>2.1360000000000001E-11</v>
      </c>
      <c r="J179" t="s">
        <v>1648</v>
      </c>
      <c r="K179">
        <v>2</v>
      </c>
      <c r="L179">
        <v>29.5</v>
      </c>
      <c r="M179">
        <v>29</v>
      </c>
      <c r="N179" t="s">
        <v>1646</v>
      </c>
      <c r="O179">
        <v>1</v>
      </c>
      <c r="P179">
        <f t="shared" si="16"/>
        <v>29.5</v>
      </c>
      <c r="Q179" s="2" t="str">
        <f t="shared" si="16"/>
        <v>e</v>
      </c>
      <c r="R179" s="2">
        <f t="shared" si="15"/>
        <v>32</v>
      </c>
      <c r="S179">
        <f t="shared" si="12"/>
        <v>4968.8055999999997</v>
      </c>
      <c r="T179" s="2" t="s">
        <v>0</v>
      </c>
      <c r="U179">
        <f t="shared" si="13"/>
        <v>2</v>
      </c>
      <c r="V179">
        <v>0</v>
      </c>
      <c r="W179">
        <v>0.5</v>
      </c>
      <c r="X179">
        <v>0.5</v>
      </c>
      <c r="Y179" s="3">
        <v>1</v>
      </c>
    </row>
    <row r="180" spans="1:25" x14ac:dyDescent="0.55000000000000004">
      <c r="A180" t="str">
        <f t="shared" si="14"/>
        <v>X-2-f-1-29.5PG</v>
      </c>
      <c r="C180" t="s">
        <v>1648</v>
      </c>
      <c r="D180">
        <v>29.5</v>
      </c>
      <c r="E180" t="s">
        <v>1</v>
      </c>
      <c r="F180">
        <v>1</v>
      </c>
      <c r="G180">
        <v>4095.7109999999998</v>
      </c>
      <c r="H180">
        <v>60</v>
      </c>
      <c r="I180" s="1">
        <v>1.4064099999999999E-9</v>
      </c>
      <c r="J180" t="s">
        <v>1648</v>
      </c>
      <c r="K180">
        <v>1</v>
      </c>
      <c r="L180">
        <v>29.5</v>
      </c>
      <c r="M180">
        <v>30</v>
      </c>
      <c r="N180" t="s">
        <v>1647</v>
      </c>
      <c r="O180">
        <v>2</v>
      </c>
      <c r="P180">
        <f t="shared" si="16"/>
        <v>29.5</v>
      </c>
      <c r="Q180" s="2" t="str">
        <f t="shared" si="16"/>
        <v>f</v>
      </c>
      <c r="R180" s="2">
        <f t="shared" si="15"/>
        <v>31</v>
      </c>
      <c r="S180">
        <f t="shared" si="12"/>
        <v>4095.7109999999998</v>
      </c>
      <c r="T180" s="2" t="s">
        <v>0</v>
      </c>
      <c r="U180">
        <f t="shared" si="13"/>
        <v>1</v>
      </c>
      <c r="V180">
        <v>0</v>
      </c>
      <c r="W180">
        <v>0.5</v>
      </c>
      <c r="X180">
        <v>0.5</v>
      </c>
      <c r="Y180" s="3">
        <v>1</v>
      </c>
    </row>
    <row r="181" spans="1:25" x14ac:dyDescent="0.55000000000000004">
      <c r="A181" t="str">
        <f t="shared" si="14"/>
        <v>X-2-f-2-29.5PG</v>
      </c>
      <c r="C181" t="s">
        <v>1648</v>
      </c>
      <c r="D181">
        <v>29.5</v>
      </c>
      <c r="E181" t="s">
        <v>1</v>
      </c>
      <c r="F181">
        <v>2</v>
      </c>
      <c r="G181">
        <v>5145.1094000000003</v>
      </c>
      <c r="H181">
        <v>60</v>
      </c>
      <c r="I181" s="1">
        <v>9.1701999999999998E-12</v>
      </c>
      <c r="J181" t="s">
        <v>1648</v>
      </c>
      <c r="K181">
        <v>2</v>
      </c>
      <c r="L181">
        <v>29.5</v>
      </c>
      <c r="M181">
        <v>30</v>
      </c>
      <c r="N181" t="s">
        <v>1647</v>
      </c>
      <c r="O181">
        <v>2</v>
      </c>
      <c r="P181">
        <f t="shared" si="16"/>
        <v>29.5</v>
      </c>
      <c r="Q181" s="2" t="str">
        <f t="shared" si="16"/>
        <v>f</v>
      </c>
      <c r="R181" s="2">
        <f t="shared" si="15"/>
        <v>32</v>
      </c>
      <c r="S181">
        <f t="shared" si="12"/>
        <v>5145.1094000000003</v>
      </c>
      <c r="T181" s="2" t="s">
        <v>0</v>
      </c>
      <c r="U181">
        <f t="shared" si="13"/>
        <v>2</v>
      </c>
      <c r="V181">
        <v>0</v>
      </c>
      <c r="W181">
        <v>0.5</v>
      </c>
      <c r="X181">
        <v>0.5</v>
      </c>
      <c r="Y18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</vt:lpstr>
      <vt:lpstr>en</vt:lpstr>
      <vt:lpstr>PGOPHER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Yurchenko, Sergey</dc:creator>
  <cp:lastModifiedBy>Yurchenko, Sergey</cp:lastModifiedBy>
  <dcterms:created xsi:type="dcterms:W3CDTF">2024-07-19T09:50:09Z</dcterms:created>
  <dcterms:modified xsi:type="dcterms:W3CDTF">2024-07-26T11:13:35Z</dcterms:modified>
</cp:coreProperties>
</file>